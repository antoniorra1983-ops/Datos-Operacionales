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showInkAnnotation="0" defaultThemeVersion="124226"/>
  <xr:revisionPtr revIDLastSave="3" documentId="13_ncr:1_{02C79EC4-D17A-4F36-9FD3-7872D5DBF80A}" xr6:coauthVersionLast="47" xr6:coauthVersionMax="47" xr10:uidLastSave="{B26C6E62-2A3D-4A0A-9A1C-3D184293AFB8}"/>
  <bookViews>
    <workbookView xWindow="-120" yWindow="-120" windowWidth="29040" windowHeight="15720" tabRatio="686" activeTab="1" xr2:uid="{00000000-000D-0000-FFFF-FFFF00000000}"/>
  </bookViews>
  <sheets>
    <sheet name="Odometro-Kilometraje" sheetId="1" r:id="rId1"/>
    <sheet name="KM-Servicio" sheetId="2" r:id="rId2"/>
    <sheet name="Data Ocupacion" sheetId="3" r:id="rId3"/>
    <sheet name="Oferta Diaria" sheetId="4" r:id="rId4"/>
    <sheet name="UMR Resumen" sheetId="13" r:id="rId5"/>
    <sheet name="RESUMEN" sheetId="11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11" i="2" l="1"/>
  <c r="BF60" i="3"/>
  <c r="AD20" i="4" s="1"/>
  <c r="BF61" i="3"/>
  <c r="C244" i="2"/>
  <c r="C243" i="2"/>
  <c r="B244" i="2"/>
  <c r="B243" i="2"/>
  <c r="X210" i="2"/>
  <c r="X211" i="2"/>
  <c r="X212" i="2"/>
  <c r="H212" i="2"/>
  <c r="H210" i="2"/>
  <c r="E211" i="2"/>
  <c r="J244" i="2" s="1"/>
  <c r="H211" i="2"/>
  <c r="C212" i="2"/>
  <c r="B212" i="2"/>
  <c r="C176" i="2"/>
  <c r="B176" i="2"/>
  <c r="Y21" i="4"/>
  <c r="Z21" i="4"/>
  <c r="AA21" i="4"/>
  <c r="AB21" i="4"/>
  <c r="Y20" i="4"/>
  <c r="Y34" i="4"/>
  <c r="Y32" i="4"/>
  <c r="Y31" i="4"/>
  <c r="Y11" i="4"/>
  <c r="Y12" i="4"/>
  <c r="AX60" i="3"/>
  <c r="Z20" i="4" s="1"/>
  <c r="AZ60" i="3"/>
  <c r="AA20" i="4" s="1"/>
  <c r="BB60" i="3"/>
  <c r="AB20" i="4" s="1"/>
  <c r="BD60" i="3"/>
  <c r="AC20" i="4" s="1"/>
  <c r="AX61" i="3"/>
  <c r="AZ61" i="3"/>
  <c r="BB61" i="3"/>
  <c r="BD61" i="3"/>
  <c r="AC21" i="4" s="1"/>
  <c r="AD21" i="4"/>
  <c r="AX50" i="3"/>
  <c r="Z11" i="4" s="1"/>
  <c r="AZ50" i="3"/>
  <c r="AA11" i="4" s="1"/>
  <c r="BB50" i="3"/>
  <c r="AB11" i="4" s="1"/>
  <c r="BD50" i="3"/>
  <c r="AC11" i="4" s="1"/>
  <c r="BF50" i="3"/>
  <c r="AD11" i="4" s="1"/>
  <c r="AX51" i="3"/>
  <c r="Z12" i="4" s="1"/>
  <c r="AZ51" i="3"/>
  <c r="AA12" i="4" s="1"/>
  <c r="BB51" i="3"/>
  <c r="AB12" i="4" s="1"/>
  <c r="BD51" i="3"/>
  <c r="AC12" i="4" s="1"/>
  <c r="BF51" i="3"/>
  <c r="AD12" i="4" s="1"/>
  <c r="AX39" i="3"/>
  <c r="D174" i="2" s="1"/>
  <c r="AY39" i="3"/>
  <c r="E174" i="2" s="1"/>
  <c r="AZ39" i="3"/>
  <c r="D183" i="2" s="1"/>
  <c r="BA39" i="3"/>
  <c r="BB39" i="3"/>
  <c r="D192" i="2" s="1"/>
  <c r="BC39" i="3"/>
  <c r="E192" i="2" s="1"/>
  <c r="BD39" i="3"/>
  <c r="D201" i="2" s="1"/>
  <c r="BE39" i="3"/>
  <c r="E201" i="2" s="1"/>
  <c r="BF39" i="3"/>
  <c r="D210" i="2" s="1"/>
  <c r="BG39" i="3"/>
  <c r="E210" i="2" s="1"/>
  <c r="AX40" i="3"/>
  <c r="D175" i="2" s="1"/>
  <c r="AY40" i="3"/>
  <c r="E175" i="2" s="1"/>
  <c r="AZ40" i="3"/>
  <c r="D184" i="2" s="1"/>
  <c r="BA40" i="3"/>
  <c r="E184" i="2" s="1"/>
  <c r="BB40" i="3"/>
  <c r="BC40" i="3"/>
  <c r="E193" i="2" s="1"/>
  <c r="BD40" i="3"/>
  <c r="D202" i="2" s="1"/>
  <c r="BE40" i="3"/>
  <c r="E202" i="2" s="1"/>
  <c r="BF40" i="3"/>
  <c r="D211" i="2" s="1"/>
  <c r="G211" i="2" s="1"/>
  <c r="BG40" i="3"/>
  <c r="H201" i="2"/>
  <c r="X201" i="2" s="1"/>
  <c r="H202" i="2"/>
  <c r="X202" i="2" s="1"/>
  <c r="H192" i="2"/>
  <c r="X192" i="2" s="1"/>
  <c r="H193" i="2"/>
  <c r="X193" i="2" s="1"/>
  <c r="H174" i="2"/>
  <c r="X174" i="2" s="1"/>
  <c r="H175" i="2"/>
  <c r="X175" i="2" s="1"/>
  <c r="H183" i="2"/>
  <c r="X183" i="2" s="1"/>
  <c r="H184" i="2"/>
  <c r="X184" i="2" s="1"/>
  <c r="D193" i="2"/>
  <c r="C194" i="2"/>
  <c r="B194" i="2"/>
  <c r="C203" i="2"/>
  <c r="B203" i="2"/>
  <c r="C185" i="2"/>
  <c r="B185" i="2"/>
  <c r="D165" i="2"/>
  <c r="E165" i="2"/>
  <c r="D166" i="2"/>
  <c r="E166" i="2"/>
  <c r="AV61" i="3"/>
  <c r="AV60" i="3"/>
  <c r="AV51" i="3"/>
  <c r="AV50" i="3"/>
  <c r="AV40" i="3"/>
  <c r="AW40" i="3"/>
  <c r="AW39" i="3"/>
  <c r="AV39" i="3"/>
  <c r="H166" i="2"/>
  <c r="X166" i="2" s="1"/>
  <c r="H165" i="2"/>
  <c r="X165" i="2" s="1"/>
  <c r="C167" i="2"/>
  <c r="B167" i="2"/>
  <c r="G210" i="2" l="1"/>
  <c r="J210" i="2" s="1"/>
  <c r="L210" i="2" s="1"/>
  <c r="J243" i="2"/>
  <c r="K243" i="2" s="1"/>
  <c r="L243" i="2" s="1"/>
  <c r="J211" i="2"/>
  <c r="W211" i="2" s="1"/>
  <c r="I210" i="2"/>
  <c r="K210" i="2" s="1"/>
  <c r="I243" i="2"/>
  <c r="I211" i="2"/>
  <c r="I244" i="2"/>
  <c r="M244" i="2" s="1"/>
  <c r="K244" i="2"/>
  <c r="L244" i="2" s="1"/>
  <c r="N244" i="2"/>
  <c r="F244" i="2"/>
  <c r="G244" i="2" s="1"/>
  <c r="F243" i="2"/>
  <c r="G243" i="2" s="1"/>
  <c r="G192" i="2"/>
  <c r="J192" i="2" s="1"/>
  <c r="L192" i="2" s="1"/>
  <c r="G202" i="2"/>
  <c r="J202" i="2" s="1"/>
  <c r="L202" i="2" s="1"/>
  <c r="D244" i="2"/>
  <c r="E244" i="2" s="1"/>
  <c r="D243" i="2"/>
  <c r="E243" i="2" s="1"/>
  <c r="I184" i="2"/>
  <c r="K184" i="2" s="1"/>
  <c r="G175" i="2"/>
  <c r="J175" i="2" s="1"/>
  <c r="W175" i="2" s="1"/>
  <c r="G193" i="2"/>
  <c r="J193" i="2" s="1"/>
  <c r="W193" i="2" s="1"/>
  <c r="I193" i="2"/>
  <c r="G201" i="2"/>
  <c r="J201" i="2" s="1"/>
  <c r="W201" i="2" s="1"/>
  <c r="I201" i="2"/>
  <c r="I192" i="2"/>
  <c r="M192" i="2" s="1"/>
  <c r="E183" i="2"/>
  <c r="G183" i="2" s="1"/>
  <c r="I174" i="2"/>
  <c r="G174" i="2"/>
  <c r="I202" i="2"/>
  <c r="K202" i="2" s="1"/>
  <c r="I175" i="2"/>
  <c r="G184" i="2"/>
  <c r="J184" i="2" s="1"/>
  <c r="M202" i="2"/>
  <c r="G166" i="2"/>
  <c r="J166" i="2" s="1"/>
  <c r="L166" i="2" s="1"/>
  <c r="I166" i="2"/>
  <c r="K166" i="2" s="1"/>
  <c r="M210" i="2" l="1"/>
  <c r="L211" i="2"/>
  <c r="W210" i="2"/>
  <c r="M211" i="2"/>
  <c r="K211" i="2"/>
  <c r="M243" i="2"/>
  <c r="N243" i="2" s="1"/>
  <c r="L193" i="2"/>
  <c r="M184" i="2"/>
  <c r="L175" i="2"/>
  <c r="W202" i="2"/>
  <c r="W192" i="2"/>
  <c r="M174" i="2"/>
  <c r="K174" i="2"/>
  <c r="W184" i="2"/>
  <c r="L184" i="2"/>
  <c r="I183" i="2"/>
  <c r="K192" i="2"/>
  <c r="J183" i="2"/>
  <c r="J174" i="2"/>
  <c r="L201" i="2"/>
  <c r="M175" i="2"/>
  <c r="K175" i="2"/>
  <c r="K201" i="2"/>
  <c r="M201" i="2"/>
  <c r="K193" i="2"/>
  <c r="M193" i="2"/>
  <c r="W166" i="2"/>
  <c r="M166" i="2"/>
  <c r="L174" i="2" l="1"/>
  <c r="W174" i="2"/>
  <c r="W183" i="2"/>
  <c r="L183" i="2"/>
  <c r="K183" i="2"/>
  <c r="M183" i="2"/>
  <c r="C158" i="2" l="1"/>
  <c r="B158" i="2"/>
  <c r="C151" i="2"/>
  <c r="B151" i="2"/>
  <c r="C144" i="2"/>
  <c r="B144" i="2"/>
  <c r="C137" i="2"/>
  <c r="B137" i="2"/>
  <c r="C130" i="2" l="1"/>
  <c r="B130" i="2"/>
  <c r="C123" i="2"/>
  <c r="B123" i="2"/>
  <c r="C81" i="2"/>
  <c r="B81" i="2"/>
  <c r="C74" i="2"/>
  <c r="B74" i="2"/>
  <c r="C39" i="2"/>
  <c r="B39" i="2"/>
  <c r="X25" i="4"/>
  <c r="C25" i="4"/>
  <c r="C88" i="2"/>
  <c r="B88" i="2"/>
  <c r="S26" i="3" l="1"/>
  <c r="R26" i="3"/>
  <c r="G26" i="4"/>
  <c r="C26" i="4"/>
  <c r="D26" i="4"/>
  <c r="E26" i="4"/>
  <c r="F26" i="4"/>
  <c r="C116" i="2"/>
  <c r="B116" i="2"/>
  <c r="C109" i="2"/>
  <c r="B109" i="2"/>
  <c r="C102" i="2"/>
  <c r="B102" i="2"/>
  <c r="C95" i="2"/>
  <c r="B95" i="2"/>
  <c r="C67" i="2"/>
  <c r="B67" i="2"/>
  <c r="C60" i="2"/>
  <c r="B60" i="2"/>
  <c r="C53" i="2"/>
  <c r="B53" i="2"/>
  <c r="C46" i="2"/>
  <c r="B46" i="2"/>
  <c r="C18" i="2"/>
  <c r="B18" i="2"/>
  <c r="C11" i="2"/>
  <c r="B11" i="2"/>
  <c r="BG26" i="3"/>
  <c r="BF26" i="3"/>
  <c r="BA26" i="3"/>
  <c r="AZ26" i="3"/>
  <c r="AW26" i="3"/>
  <c r="AV26" i="3"/>
  <c r="AU26" i="3"/>
  <c r="AT26" i="3"/>
  <c r="AS26" i="3"/>
  <c r="AR26" i="3"/>
  <c r="AQ26" i="3"/>
  <c r="AP26" i="3"/>
  <c r="AK26" i="3"/>
  <c r="AJ26" i="3"/>
  <c r="AI26" i="3"/>
  <c r="AH26" i="3"/>
  <c r="AG26" i="3"/>
  <c r="AF26" i="3"/>
  <c r="AE26" i="3"/>
  <c r="AD26" i="3"/>
  <c r="AC26" i="3"/>
  <c r="AB26" i="3"/>
  <c r="Q26" i="3"/>
  <c r="P26" i="3"/>
  <c r="O26" i="3"/>
  <c r="N26" i="3"/>
  <c r="B32" i="2"/>
  <c r="C32" i="2"/>
  <c r="BC26" i="3"/>
  <c r="BB26" i="3"/>
  <c r="AA26" i="3"/>
  <c r="Z26" i="3"/>
  <c r="M26" i="3"/>
  <c r="L26" i="3"/>
  <c r="AM26" i="3"/>
  <c r="AL26" i="3"/>
  <c r="Y26" i="3"/>
  <c r="X26" i="3"/>
  <c r="K26" i="3"/>
  <c r="J26" i="3"/>
  <c r="AY26" i="3" l="1"/>
  <c r="AX26" i="3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AO26" i="3"/>
  <c r="AN26" i="3"/>
  <c r="W26" i="3"/>
  <c r="V26" i="3"/>
  <c r="U26" i="3"/>
  <c r="T26" i="3"/>
  <c r="H26" i="3"/>
  <c r="I26" i="3"/>
  <c r="F26" i="3" l="1"/>
  <c r="G26" i="3"/>
  <c r="E26" i="3"/>
  <c r="D26" i="3"/>
  <c r="C25" i="2" l="1"/>
  <c r="B25" i="2"/>
  <c r="B81" i="1"/>
  <c r="N11" i="2" s="1"/>
  <c r="C242" i="2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45" i="1"/>
  <c r="T237" i="2" l="1"/>
  <c r="AB2" i="2" l="1"/>
  <c r="AD24" i="4" l="1"/>
  <c r="AC24" i="4"/>
  <c r="B237" i="2" l="1"/>
  <c r="C241" i="2" l="1"/>
  <c r="C240" i="2"/>
  <c r="C239" i="2"/>
  <c r="C238" i="2"/>
  <c r="B242" i="2"/>
  <c r="B241" i="2"/>
  <c r="B240" i="2"/>
  <c r="B239" i="2"/>
  <c r="B238" i="2"/>
  <c r="C237" i="2"/>
  <c r="V237" i="2" l="1"/>
  <c r="U237" i="2"/>
  <c r="S237" i="2"/>
  <c r="R237" i="2"/>
  <c r="Q237" i="2"/>
  <c r="P237" i="2"/>
  <c r="G2" i="2"/>
  <c r="H59" i="2" l="1"/>
  <c r="X59" i="2" s="1"/>
  <c r="H58" i="2"/>
  <c r="X58" i="2" s="1"/>
  <c r="H57" i="2"/>
  <c r="X57" i="2" s="1"/>
  <c r="H56" i="2"/>
  <c r="X56" i="2" s="1"/>
  <c r="H55" i="2"/>
  <c r="X55" i="2" s="1"/>
  <c r="H54" i="2"/>
  <c r="X54" i="2" s="1"/>
  <c r="H80" i="2"/>
  <c r="X80" i="2" s="1"/>
  <c r="H79" i="2"/>
  <c r="X79" i="2" s="1"/>
  <c r="H78" i="2"/>
  <c r="X78" i="2" s="1"/>
  <c r="H77" i="2"/>
  <c r="H76" i="2"/>
  <c r="X76" i="2" s="1"/>
  <c r="H75" i="2"/>
  <c r="X75" i="2" s="1"/>
  <c r="H73" i="2"/>
  <c r="X73" i="2" s="1"/>
  <c r="H72" i="2"/>
  <c r="X72" i="2" s="1"/>
  <c r="H71" i="2"/>
  <c r="X71" i="2" s="1"/>
  <c r="H70" i="2"/>
  <c r="X70" i="2" s="1"/>
  <c r="H69" i="2"/>
  <c r="X69" i="2" s="1"/>
  <c r="H68" i="2"/>
  <c r="X68" i="2" s="1"/>
  <c r="H129" i="2"/>
  <c r="X129" i="2" s="1"/>
  <c r="H128" i="2"/>
  <c r="X128" i="2" s="1"/>
  <c r="H127" i="2"/>
  <c r="X127" i="2" s="1"/>
  <c r="H126" i="2"/>
  <c r="X126" i="2" s="1"/>
  <c r="H125" i="2"/>
  <c r="X125" i="2" s="1"/>
  <c r="H124" i="2"/>
  <c r="X124" i="2" s="1"/>
  <c r="H209" i="2"/>
  <c r="X209" i="2" s="1"/>
  <c r="H208" i="2"/>
  <c r="X208" i="2" s="1"/>
  <c r="H207" i="2"/>
  <c r="X207" i="2" s="1"/>
  <c r="H206" i="2"/>
  <c r="X206" i="2" s="1"/>
  <c r="H205" i="2"/>
  <c r="X205" i="2" s="1"/>
  <c r="H204" i="2"/>
  <c r="H200" i="2"/>
  <c r="X200" i="2" s="1"/>
  <c r="H199" i="2"/>
  <c r="X199" i="2" s="1"/>
  <c r="H198" i="2"/>
  <c r="X198" i="2" s="1"/>
  <c r="H197" i="2"/>
  <c r="X197" i="2" s="1"/>
  <c r="H196" i="2"/>
  <c r="X196" i="2" s="1"/>
  <c r="H195" i="2"/>
  <c r="H191" i="2"/>
  <c r="X191" i="2" s="1"/>
  <c r="H190" i="2"/>
  <c r="X190" i="2" s="1"/>
  <c r="H189" i="2"/>
  <c r="X189" i="2" s="1"/>
  <c r="H188" i="2"/>
  <c r="X188" i="2" s="1"/>
  <c r="H187" i="2"/>
  <c r="X187" i="2" s="1"/>
  <c r="H186" i="2"/>
  <c r="H182" i="2"/>
  <c r="X182" i="2" s="1"/>
  <c r="H181" i="2"/>
  <c r="X181" i="2" s="1"/>
  <c r="H180" i="2"/>
  <c r="X180" i="2" s="1"/>
  <c r="H179" i="2"/>
  <c r="X179" i="2" s="1"/>
  <c r="H178" i="2"/>
  <c r="X178" i="2" s="1"/>
  <c r="H177" i="2"/>
  <c r="H173" i="2"/>
  <c r="X173" i="2" s="1"/>
  <c r="H172" i="2"/>
  <c r="X172" i="2" s="1"/>
  <c r="H171" i="2"/>
  <c r="X171" i="2" s="1"/>
  <c r="H170" i="2"/>
  <c r="X170" i="2" s="1"/>
  <c r="H169" i="2"/>
  <c r="X169" i="2" s="1"/>
  <c r="H168" i="2"/>
  <c r="H164" i="2"/>
  <c r="X164" i="2" s="1"/>
  <c r="H163" i="2"/>
  <c r="X163" i="2" s="1"/>
  <c r="H162" i="2"/>
  <c r="X162" i="2" s="1"/>
  <c r="H161" i="2"/>
  <c r="X161" i="2" s="1"/>
  <c r="H160" i="2"/>
  <c r="X160" i="2" s="1"/>
  <c r="H159" i="2"/>
  <c r="H157" i="2"/>
  <c r="X157" i="2" s="1"/>
  <c r="H156" i="2"/>
  <c r="X156" i="2" s="1"/>
  <c r="H155" i="2"/>
  <c r="X155" i="2" s="1"/>
  <c r="H154" i="2"/>
  <c r="X154" i="2" s="1"/>
  <c r="H153" i="2"/>
  <c r="X153" i="2" s="1"/>
  <c r="H152" i="2"/>
  <c r="H150" i="2"/>
  <c r="X150" i="2" s="1"/>
  <c r="H149" i="2"/>
  <c r="X149" i="2" s="1"/>
  <c r="H148" i="2"/>
  <c r="X148" i="2" s="1"/>
  <c r="H147" i="2"/>
  <c r="X147" i="2" s="1"/>
  <c r="H146" i="2"/>
  <c r="X146" i="2" s="1"/>
  <c r="H145" i="2"/>
  <c r="X145" i="2" s="1"/>
  <c r="H143" i="2"/>
  <c r="X143" i="2" s="1"/>
  <c r="H142" i="2"/>
  <c r="X142" i="2" s="1"/>
  <c r="H141" i="2"/>
  <c r="X141" i="2" s="1"/>
  <c r="H140" i="2"/>
  <c r="X140" i="2" s="1"/>
  <c r="H139" i="2"/>
  <c r="X139" i="2" s="1"/>
  <c r="H138" i="2"/>
  <c r="X138" i="2" s="1"/>
  <c r="H136" i="2"/>
  <c r="X136" i="2" s="1"/>
  <c r="H135" i="2"/>
  <c r="H134" i="2"/>
  <c r="X134" i="2" s="1"/>
  <c r="H133" i="2"/>
  <c r="X133" i="2" s="1"/>
  <c r="H132" i="2"/>
  <c r="X132" i="2" s="1"/>
  <c r="H131" i="2"/>
  <c r="X131" i="2" s="1"/>
  <c r="H122" i="2"/>
  <c r="X122" i="2" s="1"/>
  <c r="H121" i="2"/>
  <c r="X121" i="2" s="1"/>
  <c r="H120" i="2"/>
  <c r="X120" i="2" s="1"/>
  <c r="H119" i="2"/>
  <c r="X119" i="2" s="1"/>
  <c r="H118" i="2"/>
  <c r="X118" i="2" s="1"/>
  <c r="H117" i="2"/>
  <c r="X117" i="2" s="1"/>
  <c r="H115" i="2"/>
  <c r="X115" i="2" s="1"/>
  <c r="H114" i="2"/>
  <c r="X114" i="2" s="1"/>
  <c r="H113" i="2"/>
  <c r="X113" i="2" s="1"/>
  <c r="H112" i="2"/>
  <c r="X112" i="2" s="1"/>
  <c r="H111" i="2"/>
  <c r="X111" i="2" s="1"/>
  <c r="H110" i="2"/>
  <c r="X110" i="2" s="1"/>
  <c r="H108" i="2"/>
  <c r="X108" i="2" s="1"/>
  <c r="H107" i="2"/>
  <c r="X107" i="2" s="1"/>
  <c r="H106" i="2"/>
  <c r="X106" i="2" s="1"/>
  <c r="H105" i="2"/>
  <c r="X105" i="2" s="1"/>
  <c r="H104" i="2"/>
  <c r="X104" i="2" s="1"/>
  <c r="H103" i="2"/>
  <c r="H101" i="2"/>
  <c r="X101" i="2" s="1"/>
  <c r="H100" i="2"/>
  <c r="X100" i="2" s="1"/>
  <c r="H99" i="2"/>
  <c r="X99" i="2" s="1"/>
  <c r="H98" i="2"/>
  <c r="H97" i="2"/>
  <c r="X97" i="2" s="1"/>
  <c r="H96" i="2"/>
  <c r="X96" i="2" s="1"/>
  <c r="H94" i="2"/>
  <c r="X94" i="2" s="1"/>
  <c r="H93" i="2"/>
  <c r="X93" i="2" s="1"/>
  <c r="H92" i="2"/>
  <c r="X92" i="2" s="1"/>
  <c r="H91" i="2"/>
  <c r="X91" i="2" s="1"/>
  <c r="H90" i="2"/>
  <c r="X90" i="2" s="1"/>
  <c r="H89" i="2"/>
  <c r="X89" i="2" s="1"/>
  <c r="H87" i="2"/>
  <c r="X87" i="2" s="1"/>
  <c r="H86" i="2"/>
  <c r="X86" i="2" s="1"/>
  <c r="H85" i="2"/>
  <c r="H84" i="2"/>
  <c r="X84" i="2" s="1"/>
  <c r="H83" i="2"/>
  <c r="X83" i="2" s="1"/>
  <c r="H82" i="2"/>
  <c r="X82" i="2" s="1"/>
  <c r="H66" i="2"/>
  <c r="X66" i="2" s="1"/>
  <c r="H65" i="2"/>
  <c r="X65" i="2" s="1"/>
  <c r="H64" i="2"/>
  <c r="X64" i="2" s="1"/>
  <c r="H63" i="2"/>
  <c r="X63" i="2" s="1"/>
  <c r="H62" i="2"/>
  <c r="X62" i="2" s="1"/>
  <c r="H61" i="2"/>
  <c r="X61" i="2" s="1"/>
  <c r="H52" i="2"/>
  <c r="X52" i="2" s="1"/>
  <c r="H51" i="2"/>
  <c r="X51" i="2" s="1"/>
  <c r="H50" i="2"/>
  <c r="X50" i="2" s="1"/>
  <c r="H49" i="2"/>
  <c r="X49" i="2" s="1"/>
  <c r="H48" i="2"/>
  <c r="X48" i="2" s="1"/>
  <c r="H47" i="2"/>
  <c r="X47" i="2" s="1"/>
  <c r="H45" i="2"/>
  <c r="X45" i="2" s="1"/>
  <c r="H44" i="2"/>
  <c r="X44" i="2" s="1"/>
  <c r="H43" i="2"/>
  <c r="X43" i="2" s="1"/>
  <c r="H42" i="2"/>
  <c r="X42" i="2" s="1"/>
  <c r="H41" i="2"/>
  <c r="X41" i="2" s="1"/>
  <c r="H40" i="2"/>
  <c r="X40" i="2" s="1"/>
  <c r="H38" i="2"/>
  <c r="X38" i="2" s="1"/>
  <c r="H37" i="2"/>
  <c r="X37" i="2" s="1"/>
  <c r="H36" i="2"/>
  <c r="X36" i="2" s="1"/>
  <c r="H35" i="2"/>
  <c r="X35" i="2" s="1"/>
  <c r="H34" i="2"/>
  <c r="X34" i="2" s="1"/>
  <c r="H33" i="2"/>
  <c r="X33" i="2" s="1"/>
  <c r="H31" i="2"/>
  <c r="X31" i="2" s="1"/>
  <c r="H30" i="2"/>
  <c r="X30" i="2" s="1"/>
  <c r="H29" i="2"/>
  <c r="X29" i="2" s="1"/>
  <c r="H28" i="2"/>
  <c r="X28" i="2" s="1"/>
  <c r="H27" i="2"/>
  <c r="X27" i="2" s="1"/>
  <c r="H26" i="2"/>
  <c r="X26" i="2" s="1"/>
  <c r="H24" i="2"/>
  <c r="X24" i="2" s="1"/>
  <c r="H23" i="2"/>
  <c r="X23" i="2" s="1"/>
  <c r="H22" i="2"/>
  <c r="H21" i="2"/>
  <c r="X21" i="2" s="1"/>
  <c r="H20" i="2"/>
  <c r="X20" i="2" s="1"/>
  <c r="H19" i="2"/>
  <c r="X19" i="2" s="1"/>
  <c r="H17" i="2"/>
  <c r="X17" i="2" s="1"/>
  <c r="H16" i="2"/>
  <c r="X16" i="2" s="1"/>
  <c r="H15" i="2"/>
  <c r="X15" i="2" s="1"/>
  <c r="H14" i="2"/>
  <c r="X14" i="2" s="1"/>
  <c r="H13" i="2"/>
  <c r="X13" i="2" s="1"/>
  <c r="H12" i="2"/>
  <c r="X12" i="2" s="1"/>
  <c r="H6" i="2"/>
  <c r="X6" i="2" s="1"/>
  <c r="H7" i="2"/>
  <c r="X7" i="2" s="1"/>
  <c r="H8" i="2"/>
  <c r="X8" i="2" s="1"/>
  <c r="H9" i="2"/>
  <c r="X9" i="2" s="1"/>
  <c r="H10" i="2"/>
  <c r="X10" i="2" s="1"/>
  <c r="H5" i="2"/>
  <c r="H176" i="2" l="1"/>
  <c r="X195" i="2"/>
  <c r="X203" i="2" s="1"/>
  <c r="H203" i="2"/>
  <c r="X186" i="2"/>
  <c r="X194" i="2" s="1"/>
  <c r="H194" i="2"/>
  <c r="X177" i="2"/>
  <c r="X185" i="2" s="1"/>
  <c r="H185" i="2"/>
  <c r="H167" i="2"/>
  <c r="H158" i="2"/>
  <c r="H109" i="2"/>
  <c r="X5" i="2"/>
  <c r="X11" i="2" s="1"/>
  <c r="H11" i="2"/>
  <c r="X159" i="2"/>
  <c r="X167" i="2" s="1"/>
  <c r="X130" i="2"/>
  <c r="H88" i="2"/>
  <c r="X123" i="2"/>
  <c r="X144" i="2"/>
  <c r="H102" i="2"/>
  <c r="H67" i="2"/>
  <c r="H74" i="2"/>
  <c r="X39" i="2"/>
  <c r="X46" i="2"/>
  <c r="X53" i="2"/>
  <c r="X18" i="2"/>
  <c r="X116" i="2"/>
  <c r="X74" i="2"/>
  <c r="H18" i="2"/>
  <c r="X152" i="2"/>
  <c r="X158" i="2" s="1"/>
  <c r="H46" i="2"/>
  <c r="H137" i="2"/>
  <c r="X98" i="2"/>
  <c r="X102" i="2" s="1"/>
  <c r="H53" i="2"/>
  <c r="X168" i="2"/>
  <c r="X176" i="2" s="1"/>
  <c r="X85" i="2"/>
  <c r="X88" i="2" s="1"/>
  <c r="X32" i="2"/>
  <c r="H60" i="2"/>
  <c r="H39" i="2"/>
  <c r="H95" i="2"/>
  <c r="H130" i="2"/>
  <c r="X103" i="2"/>
  <c r="X109" i="2" s="1"/>
  <c r="H144" i="2"/>
  <c r="H25" i="2"/>
  <c r="H81" i="2"/>
  <c r="X77" i="2"/>
  <c r="X81" i="2" s="1"/>
  <c r="H116" i="2"/>
  <c r="H123" i="2"/>
  <c r="X22" i="2"/>
  <c r="X25" i="2" s="1"/>
  <c r="X95" i="2"/>
  <c r="X67" i="2"/>
  <c r="H32" i="2"/>
  <c r="X135" i="2"/>
  <c r="X137" i="2" s="1"/>
  <c r="X204" i="2"/>
  <c r="H151" i="2"/>
  <c r="X151" i="2"/>
  <c r="X60" i="2"/>
  <c r="X237" i="2" l="1"/>
  <c r="Y23" i="4" l="1"/>
  <c r="AL33" i="3" l="1"/>
  <c r="AM33" i="3"/>
  <c r="AL34" i="3"/>
  <c r="AM34" i="3"/>
  <c r="AL35" i="3"/>
  <c r="AM35" i="3"/>
  <c r="AL36" i="3"/>
  <c r="AM36" i="3"/>
  <c r="AL37" i="3"/>
  <c r="AM37" i="3"/>
  <c r="AL38" i="3"/>
  <c r="AM38" i="3"/>
  <c r="AP54" i="3"/>
  <c r="AP55" i="3"/>
  <c r="AP56" i="3"/>
  <c r="AP57" i="3"/>
  <c r="AP58" i="3"/>
  <c r="AP59" i="3"/>
  <c r="AP44" i="3"/>
  <c r="AP45" i="3"/>
  <c r="AP46" i="3"/>
  <c r="AP47" i="3"/>
  <c r="AP48" i="3"/>
  <c r="AP49" i="3"/>
  <c r="AP33" i="3"/>
  <c r="AQ33" i="3"/>
  <c r="AP34" i="3"/>
  <c r="AQ34" i="3"/>
  <c r="AP35" i="3"/>
  <c r="AQ35" i="3"/>
  <c r="AP36" i="3"/>
  <c r="AQ36" i="3"/>
  <c r="AP37" i="3"/>
  <c r="AQ37" i="3"/>
  <c r="AP38" i="3"/>
  <c r="AQ38" i="3"/>
  <c r="AL59" i="3" l="1"/>
  <c r="AL58" i="3"/>
  <c r="AL57" i="3"/>
  <c r="AL56" i="3"/>
  <c r="AL55" i="3"/>
  <c r="AL54" i="3"/>
  <c r="AL49" i="3"/>
  <c r="AL48" i="3"/>
  <c r="AL47" i="3"/>
  <c r="AL46" i="3"/>
  <c r="AL45" i="3"/>
  <c r="AL44" i="3"/>
  <c r="R79" i="1" l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P44" i="3" l="1"/>
  <c r="P45" i="3"/>
  <c r="P46" i="3"/>
  <c r="P47" i="3"/>
  <c r="P48" i="3"/>
  <c r="P49" i="3"/>
  <c r="P54" i="3"/>
  <c r="P55" i="3"/>
  <c r="P56" i="3"/>
  <c r="P57" i="3"/>
  <c r="P58" i="3"/>
  <c r="P59" i="3"/>
  <c r="P33" i="3"/>
  <c r="D47" i="2" s="1"/>
  <c r="Q33" i="3"/>
  <c r="E47" i="2" s="1"/>
  <c r="P34" i="3"/>
  <c r="D48" i="2" s="1"/>
  <c r="Q34" i="3"/>
  <c r="E48" i="2" s="1"/>
  <c r="P35" i="3"/>
  <c r="D49" i="2" s="1"/>
  <c r="Q35" i="3"/>
  <c r="E49" i="2" s="1"/>
  <c r="P36" i="3"/>
  <c r="D50" i="2" s="1"/>
  <c r="Q36" i="3"/>
  <c r="E50" i="2" s="1"/>
  <c r="P37" i="3"/>
  <c r="D51" i="2" s="1"/>
  <c r="Q37" i="3"/>
  <c r="E51" i="2" s="1"/>
  <c r="P38" i="3"/>
  <c r="D52" i="2" s="1"/>
  <c r="Q38" i="3"/>
  <c r="E52" i="2" s="1"/>
  <c r="I50" i="2" l="1"/>
  <c r="K50" i="2" s="1"/>
  <c r="G47" i="2"/>
  <c r="J47" i="2" s="1"/>
  <c r="W47" i="2" s="1"/>
  <c r="G51" i="2"/>
  <c r="J51" i="2" s="1"/>
  <c r="L51" i="2" s="1"/>
  <c r="I51" i="2"/>
  <c r="G50" i="2"/>
  <c r="J50" i="2" s="1"/>
  <c r="L50" i="2" s="1"/>
  <c r="D53" i="2"/>
  <c r="I48" i="2"/>
  <c r="G48" i="2"/>
  <c r="J48" i="2" s="1"/>
  <c r="L48" i="2" s="1"/>
  <c r="I47" i="2"/>
  <c r="E53" i="2"/>
  <c r="I52" i="2"/>
  <c r="G52" i="2"/>
  <c r="J52" i="2" s="1"/>
  <c r="L52" i="2" s="1"/>
  <c r="I49" i="2"/>
  <c r="G49" i="2"/>
  <c r="J49" i="2" s="1"/>
  <c r="L49" i="2" s="1"/>
  <c r="E23" i="4"/>
  <c r="N54" i="3"/>
  <c r="N55" i="3"/>
  <c r="N56" i="3"/>
  <c r="N57" i="3"/>
  <c r="N58" i="3"/>
  <c r="N59" i="3"/>
  <c r="N44" i="3"/>
  <c r="N45" i="3"/>
  <c r="N46" i="3"/>
  <c r="N47" i="3"/>
  <c r="N48" i="3"/>
  <c r="N49" i="3"/>
  <c r="N33" i="3"/>
  <c r="O33" i="3"/>
  <c r="N34" i="3"/>
  <c r="O34" i="3"/>
  <c r="N35" i="3"/>
  <c r="O35" i="3"/>
  <c r="N36" i="3"/>
  <c r="O36" i="3"/>
  <c r="N37" i="3"/>
  <c r="O37" i="3"/>
  <c r="N38" i="3"/>
  <c r="O38" i="3"/>
  <c r="H10" i="13" l="1"/>
  <c r="M50" i="2"/>
  <c r="K47" i="2"/>
  <c r="M47" i="2"/>
  <c r="I53" i="2"/>
  <c r="K48" i="2"/>
  <c r="M48" i="2"/>
  <c r="G53" i="2"/>
  <c r="K52" i="2"/>
  <c r="M52" i="2"/>
  <c r="L47" i="2"/>
  <c r="L53" i="2" s="1"/>
  <c r="J53" i="2"/>
  <c r="K51" i="2"/>
  <c r="M51" i="2"/>
  <c r="M49" i="2"/>
  <c r="K49" i="2"/>
  <c r="M53" i="2" l="1"/>
  <c r="K53" i="2"/>
  <c r="AX54" i="3" l="1"/>
  <c r="AX55" i="3"/>
  <c r="AX56" i="3"/>
  <c r="AX57" i="3"/>
  <c r="AX58" i="3"/>
  <c r="AX59" i="3"/>
  <c r="AX44" i="3"/>
  <c r="AX45" i="3"/>
  <c r="AX46" i="3"/>
  <c r="AX47" i="3"/>
  <c r="AX48" i="3"/>
  <c r="AX49" i="3"/>
  <c r="AX33" i="3"/>
  <c r="D168" i="2" s="1"/>
  <c r="AY33" i="3"/>
  <c r="E168" i="2" s="1"/>
  <c r="AX34" i="3"/>
  <c r="D169" i="2" s="1"/>
  <c r="AY34" i="3"/>
  <c r="E169" i="2" s="1"/>
  <c r="AX35" i="3"/>
  <c r="AY35" i="3"/>
  <c r="AX36" i="3"/>
  <c r="D171" i="2" s="1"/>
  <c r="AY36" i="3"/>
  <c r="E171" i="2" s="1"/>
  <c r="AX37" i="3"/>
  <c r="D172" i="2" s="1"/>
  <c r="AY37" i="3"/>
  <c r="E172" i="2" s="1"/>
  <c r="AX38" i="3"/>
  <c r="D173" i="2" s="1"/>
  <c r="AY38" i="3"/>
  <c r="E173" i="2" s="1"/>
  <c r="E170" i="2" l="1"/>
  <c r="E176" i="2" s="1"/>
  <c r="AY41" i="3"/>
  <c r="D170" i="2"/>
  <c r="D176" i="2" s="1"/>
  <c r="AX41" i="3"/>
  <c r="AV54" i="3"/>
  <c r="AV55" i="3"/>
  <c r="AV56" i="3"/>
  <c r="AV57" i="3"/>
  <c r="AV58" i="3"/>
  <c r="AV59" i="3"/>
  <c r="AV44" i="3"/>
  <c r="AV45" i="3"/>
  <c r="AV46" i="3"/>
  <c r="AV47" i="3"/>
  <c r="AV48" i="3"/>
  <c r="AV49" i="3"/>
  <c r="AV33" i="3"/>
  <c r="AW33" i="3"/>
  <c r="AW41" i="3" s="1"/>
  <c r="AV34" i="3"/>
  <c r="D160" i="2" s="1"/>
  <c r="AW34" i="3"/>
  <c r="E160" i="2" s="1"/>
  <c r="AV35" i="3"/>
  <c r="AW35" i="3"/>
  <c r="E161" i="2" s="1"/>
  <c r="AV36" i="3"/>
  <c r="D162" i="2" s="1"/>
  <c r="AW36" i="3"/>
  <c r="E162" i="2" s="1"/>
  <c r="AV37" i="3"/>
  <c r="D163" i="2" s="1"/>
  <c r="AW37" i="3"/>
  <c r="E163" i="2" s="1"/>
  <c r="AV38" i="3"/>
  <c r="D164" i="2" s="1"/>
  <c r="AW38" i="3"/>
  <c r="E164" i="2" s="1"/>
  <c r="AV41" i="3" l="1"/>
  <c r="D161" i="2"/>
  <c r="E159" i="2"/>
  <c r="D159" i="2"/>
  <c r="D167" i="2" l="1"/>
  <c r="E167" i="2"/>
  <c r="I165" i="2"/>
  <c r="M165" i="2" s="1"/>
  <c r="G165" i="2"/>
  <c r="J165" i="2" s="1"/>
  <c r="H26" i="13"/>
  <c r="AT54" i="3"/>
  <c r="AT55" i="3"/>
  <c r="AT56" i="3"/>
  <c r="AT57" i="3"/>
  <c r="AT58" i="3"/>
  <c r="AT59" i="3"/>
  <c r="AT44" i="3"/>
  <c r="AT45" i="3"/>
  <c r="AT46" i="3"/>
  <c r="AT47" i="3"/>
  <c r="AT48" i="3"/>
  <c r="AT49" i="3"/>
  <c r="AT33" i="3"/>
  <c r="AU33" i="3"/>
  <c r="AT34" i="3"/>
  <c r="D153" i="2" s="1"/>
  <c r="AU34" i="3"/>
  <c r="E153" i="2" s="1"/>
  <c r="AT35" i="3"/>
  <c r="D154" i="2" s="1"/>
  <c r="AU35" i="3"/>
  <c r="E154" i="2" s="1"/>
  <c r="AT36" i="3"/>
  <c r="D155" i="2" s="1"/>
  <c r="AU36" i="3"/>
  <c r="E155" i="2" s="1"/>
  <c r="AT37" i="3"/>
  <c r="D156" i="2" s="1"/>
  <c r="AU37" i="3"/>
  <c r="E156" i="2" s="1"/>
  <c r="AT38" i="3"/>
  <c r="D157" i="2" s="1"/>
  <c r="AU38" i="3"/>
  <c r="E157" i="2" s="1"/>
  <c r="K165" i="2" l="1"/>
  <c r="L165" i="2"/>
  <c r="W165" i="2"/>
  <c r="E152" i="2"/>
  <c r="E158" i="2" s="1"/>
  <c r="AU41" i="3"/>
  <c r="D152" i="2"/>
  <c r="D158" i="2" s="1"/>
  <c r="AT41" i="3"/>
  <c r="AR54" i="3"/>
  <c r="AR55" i="3"/>
  <c r="AR56" i="3"/>
  <c r="AR57" i="3"/>
  <c r="AR58" i="3"/>
  <c r="AR59" i="3"/>
  <c r="AR44" i="3"/>
  <c r="AR45" i="3"/>
  <c r="AR46" i="3"/>
  <c r="AR47" i="3"/>
  <c r="AR48" i="3"/>
  <c r="AR49" i="3"/>
  <c r="AR33" i="3"/>
  <c r="D145" i="2" s="1"/>
  <c r="AS33" i="3"/>
  <c r="E145" i="2" s="1"/>
  <c r="AR34" i="3"/>
  <c r="D146" i="2" s="1"/>
  <c r="AS34" i="3"/>
  <c r="E146" i="2" s="1"/>
  <c r="AR35" i="3"/>
  <c r="D147" i="2" s="1"/>
  <c r="AS35" i="3"/>
  <c r="E147" i="2" s="1"/>
  <c r="AR36" i="3"/>
  <c r="D148" i="2" s="1"/>
  <c r="AS36" i="3"/>
  <c r="E148" i="2" s="1"/>
  <c r="AR37" i="3"/>
  <c r="D149" i="2" s="1"/>
  <c r="AS37" i="3"/>
  <c r="E149" i="2" s="1"/>
  <c r="AR38" i="3"/>
  <c r="D150" i="2" s="1"/>
  <c r="AS38" i="3"/>
  <c r="E150" i="2" s="1"/>
  <c r="AN54" i="3" l="1"/>
  <c r="AN55" i="3"/>
  <c r="AN56" i="3"/>
  <c r="AN57" i="3"/>
  <c r="AN58" i="3"/>
  <c r="AN59" i="3"/>
  <c r="AN44" i="3"/>
  <c r="AN45" i="3"/>
  <c r="AN46" i="3"/>
  <c r="AN47" i="3"/>
  <c r="AN48" i="3"/>
  <c r="AN49" i="3"/>
  <c r="AN33" i="3"/>
  <c r="AO33" i="3"/>
  <c r="AN34" i="3"/>
  <c r="AO34" i="3"/>
  <c r="AN35" i="3"/>
  <c r="AO35" i="3"/>
  <c r="AN36" i="3"/>
  <c r="AO36" i="3"/>
  <c r="AN37" i="3"/>
  <c r="AO37" i="3"/>
  <c r="AN38" i="3"/>
  <c r="AO38" i="3"/>
  <c r="AB54" i="3" l="1"/>
  <c r="AB55" i="3"/>
  <c r="AB56" i="3"/>
  <c r="AB57" i="3"/>
  <c r="AB58" i="3"/>
  <c r="AB59" i="3"/>
  <c r="AB44" i="3"/>
  <c r="AB45" i="3"/>
  <c r="AB46" i="3"/>
  <c r="AB47" i="3"/>
  <c r="AB48" i="3"/>
  <c r="AB49" i="3"/>
  <c r="AB33" i="3"/>
  <c r="D89" i="2" s="1"/>
  <c r="AC33" i="3"/>
  <c r="E89" i="2" s="1"/>
  <c r="AB34" i="3"/>
  <c r="AC34" i="3"/>
  <c r="AB35" i="3"/>
  <c r="AC35" i="3"/>
  <c r="AB36" i="3"/>
  <c r="AC36" i="3"/>
  <c r="AB37" i="3"/>
  <c r="AC37" i="3"/>
  <c r="AB38" i="3"/>
  <c r="AC38" i="3"/>
  <c r="Z54" i="3" l="1"/>
  <c r="Z55" i="3"/>
  <c r="Z56" i="3"/>
  <c r="Z57" i="3"/>
  <c r="Z58" i="3"/>
  <c r="Z59" i="3"/>
  <c r="Z44" i="3"/>
  <c r="Z45" i="3"/>
  <c r="Z46" i="3"/>
  <c r="Z47" i="3"/>
  <c r="Z48" i="3"/>
  <c r="Z49" i="3"/>
  <c r="Z33" i="3"/>
  <c r="AA33" i="3"/>
  <c r="Z34" i="3"/>
  <c r="AA34" i="3"/>
  <c r="Z35" i="3"/>
  <c r="AA35" i="3"/>
  <c r="Z36" i="3"/>
  <c r="AA36" i="3"/>
  <c r="Z37" i="3"/>
  <c r="AA37" i="3"/>
  <c r="Z38" i="3"/>
  <c r="AA38" i="3"/>
  <c r="X54" i="3" l="1"/>
  <c r="X55" i="3"/>
  <c r="X56" i="3"/>
  <c r="X57" i="3"/>
  <c r="X58" i="3"/>
  <c r="X59" i="3"/>
  <c r="X44" i="3"/>
  <c r="X45" i="3"/>
  <c r="X46" i="3"/>
  <c r="X47" i="3"/>
  <c r="X48" i="3"/>
  <c r="X49" i="3"/>
  <c r="X33" i="3"/>
  <c r="D75" i="2" s="1"/>
  <c r="Y33" i="3"/>
  <c r="E75" i="2" s="1"/>
  <c r="X34" i="3"/>
  <c r="Y34" i="3"/>
  <c r="X35" i="3"/>
  <c r="D77" i="2" s="1"/>
  <c r="Y35" i="3"/>
  <c r="E77" i="2" s="1"/>
  <c r="X36" i="3"/>
  <c r="D78" i="2" s="1"/>
  <c r="Y36" i="3"/>
  <c r="E78" i="2" s="1"/>
  <c r="X37" i="3"/>
  <c r="D79" i="2" s="1"/>
  <c r="Y37" i="3"/>
  <c r="E79" i="2" s="1"/>
  <c r="X38" i="3"/>
  <c r="D80" i="2" s="1"/>
  <c r="Y38" i="3"/>
  <c r="E80" i="2" s="1"/>
  <c r="E76" i="2" l="1"/>
  <c r="E81" i="2" s="1"/>
  <c r="Y41" i="3"/>
  <c r="D76" i="2"/>
  <c r="X41" i="3"/>
  <c r="I79" i="2"/>
  <c r="M79" i="2" s="1"/>
  <c r="G79" i="2"/>
  <c r="J79" i="2" s="1"/>
  <c r="L79" i="2" s="1"/>
  <c r="G80" i="2"/>
  <c r="J80" i="2" s="1"/>
  <c r="L80" i="2" s="1"/>
  <c r="I80" i="2"/>
  <c r="M80" i="2" s="1"/>
  <c r="I78" i="2"/>
  <c r="M78" i="2" s="1"/>
  <c r="G78" i="2"/>
  <c r="J78" i="2" s="1"/>
  <c r="I77" i="2"/>
  <c r="G77" i="2"/>
  <c r="J77" i="2" s="1"/>
  <c r="G75" i="2"/>
  <c r="I75" i="2"/>
  <c r="V54" i="3"/>
  <c r="V55" i="3"/>
  <c r="V56" i="3"/>
  <c r="V57" i="3"/>
  <c r="V58" i="3"/>
  <c r="V59" i="3"/>
  <c r="V44" i="3"/>
  <c r="V45" i="3"/>
  <c r="V46" i="3"/>
  <c r="V47" i="3"/>
  <c r="V48" i="3"/>
  <c r="V49" i="3"/>
  <c r="V33" i="3"/>
  <c r="W33" i="3"/>
  <c r="V34" i="3"/>
  <c r="W34" i="3"/>
  <c r="V35" i="3"/>
  <c r="W35" i="3"/>
  <c r="V36" i="3"/>
  <c r="W36" i="3"/>
  <c r="V37" i="3"/>
  <c r="W37" i="3"/>
  <c r="V38" i="3"/>
  <c r="W38" i="3"/>
  <c r="G76" i="2" l="1"/>
  <c r="J76" i="2" s="1"/>
  <c r="L76" i="2" s="1"/>
  <c r="I76" i="2"/>
  <c r="K76" i="2" s="1"/>
  <c r="D81" i="2"/>
  <c r="H14" i="13" s="1"/>
  <c r="K75" i="2"/>
  <c r="M75" i="2"/>
  <c r="W77" i="2"/>
  <c r="L77" i="2"/>
  <c r="W80" i="2"/>
  <c r="W78" i="2"/>
  <c r="L78" i="2"/>
  <c r="K80" i="2"/>
  <c r="W79" i="2"/>
  <c r="M77" i="2"/>
  <c r="K77" i="2"/>
  <c r="K78" i="2"/>
  <c r="J75" i="2"/>
  <c r="W75" i="2" s="1"/>
  <c r="K79" i="2"/>
  <c r="G81" i="2" l="1"/>
  <c r="W76" i="2"/>
  <c r="I81" i="2"/>
  <c r="M76" i="2"/>
  <c r="M81" i="2" s="1"/>
  <c r="J81" i="2"/>
  <c r="L75" i="2"/>
  <c r="L81" i="2" s="1"/>
  <c r="K81" i="2"/>
  <c r="H49" i="3" l="1"/>
  <c r="A12" i="2" l="1"/>
  <c r="BD54" i="3" l="1"/>
  <c r="BD55" i="3"/>
  <c r="BD56" i="3"/>
  <c r="BD57" i="3"/>
  <c r="BD58" i="3"/>
  <c r="BD59" i="3"/>
  <c r="BD44" i="3"/>
  <c r="BD45" i="3"/>
  <c r="BD46" i="3"/>
  <c r="BD47" i="3"/>
  <c r="BD48" i="3"/>
  <c r="BD49" i="3"/>
  <c r="BD33" i="3"/>
  <c r="BE33" i="3"/>
  <c r="BD34" i="3"/>
  <c r="BE34" i="3"/>
  <c r="BD35" i="3"/>
  <c r="BE35" i="3"/>
  <c r="BD36" i="3"/>
  <c r="BE36" i="3"/>
  <c r="BD37" i="3"/>
  <c r="BE37" i="3"/>
  <c r="BD38" i="3"/>
  <c r="BE38" i="3"/>
  <c r="BE41" i="3" l="1"/>
  <c r="BD41" i="3"/>
  <c r="U14" i="4"/>
  <c r="U15" i="4"/>
  <c r="U16" i="4"/>
  <c r="U17" i="4"/>
  <c r="U18" i="4"/>
  <c r="AJ54" i="3" l="1"/>
  <c r="AJ55" i="3"/>
  <c r="AJ56" i="3"/>
  <c r="AJ57" i="3"/>
  <c r="AJ58" i="3"/>
  <c r="AJ59" i="3"/>
  <c r="AJ44" i="3"/>
  <c r="AJ45" i="3"/>
  <c r="AJ46" i="3"/>
  <c r="AJ47" i="3"/>
  <c r="AJ48" i="3"/>
  <c r="AJ49" i="3"/>
  <c r="AJ33" i="3"/>
  <c r="AK33" i="3"/>
  <c r="AJ34" i="3"/>
  <c r="AK34" i="3"/>
  <c r="AJ35" i="3"/>
  <c r="AK35" i="3"/>
  <c r="AJ36" i="3"/>
  <c r="AK36" i="3"/>
  <c r="AJ37" i="3"/>
  <c r="AK37" i="3"/>
  <c r="AJ38" i="3"/>
  <c r="AK38" i="3"/>
  <c r="J23" i="4" l="1"/>
  <c r="R54" i="3"/>
  <c r="R55" i="3"/>
  <c r="R56" i="3"/>
  <c r="R57" i="3"/>
  <c r="R58" i="3"/>
  <c r="R59" i="3"/>
  <c r="R44" i="3"/>
  <c r="R45" i="3"/>
  <c r="R46" i="3"/>
  <c r="R47" i="3"/>
  <c r="R48" i="3"/>
  <c r="R49" i="3"/>
  <c r="R33" i="3"/>
  <c r="S33" i="3"/>
  <c r="R34" i="3"/>
  <c r="S34" i="3"/>
  <c r="R35" i="3"/>
  <c r="S35" i="3"/>
  <c r="R36" i="3"/>
  <c r="S36" i="3"/>
  <c r="R37" i="3"/>
  <c r="S37" i="3"/>
  <c r="R38" i="3"/>
  <c r="S38" i="3"/>
  <c r="S41" i="3" l="1"/>
  <c r="R41" i="3"/>
  <c r="G24" i="4" l="1"/>
  <c r="BC33" i="3" l="1"/>
  <c r="BB33" i="3"/>
  <c r="E186" i="2" l="1"/>
  <c r="D186" i="2"/>
  <c r="I186" i="2" l="1"/>
  <c r="M186" i="2" s="1"/>
  <c r="G186" i="2"/>
  <c r="J186" i="2" s="1"/>
  <c r="W186" i="2" s="1"/>
  <c r="K186" i="2" l="1"/>
  <c r="L186" i="2"/>
  <c r="E200" i="2" l="1"/>
  <c r="D200" i="2"/>
  <c r="E199" i="2"/>
  <c r="D199" i="2"/>
  <c r="E198" i="2"/>
  <c r="D198" i="2"/>
  <c r="E197" i="2"/>
  <c r="D197" i="2"/>
  <c r="D203" i="2" s="1"/>
  <c r="BF35" i="3"/>
  <c r="E196" i="2"/>
  <c r="D196" i="2"/>
  <c r="E195" i="2"/>
  <c r="D195" i="2"/>
  <c r="E203" i="2" l="1"/>
  <c r="D206" i="2"/>
  <c r="I199" i="2"/>
  <c r="G199" i="2"/>
  <c r="J199" i="2" s="1"/>
  <c r="L199" i="2" s="1"/>
  <c r="I196" i="2"/>
  <c r="G196" i="2"/>
  <c r="J196" i="2" s="1"/>
  <c r="I200" i="2"/>
  <c r="G200" i="2"/>
  <c r="J200" i="2" s="1"/>
  <c r="L200" i="2" s="1"/>
  <c r="G197" i="2"/>
  <c r="I197" i="2"/>
  <c r="G198" i="2"/>
  <c r="J198" i="2" s="1"/>
  <c r="L198" i="2" s="1"/>
  <c r="I198" i="2"/>
  <c r="I195" i="2"/>
  <c r="G195" i="2"/>
  <c r="BB59" i="3"/>
  <c r="BB58" i="3"/>
  <c r="BB57" i="3"/>
  <c r="BB56" i="3"/>
  <c r="BB55" i="3"/>
  <c r="BB54" i="3"/>
  <c r="BB49" i="3"/>
  <c r="AB10" i="4" s="1"/>
  <c r="BB48" i="3"/>
  <c r="AB9" i="4" s="1"/>
  <c r="BB47" i="3"/>
  <c r="BB46" i="3"/>
  <c r="BB45" i="3"/>
  <c r="BB44" i="3"/>
  <c r="BC37" i="3"/>
  <c r="E190" i="2" s="1"/>
  <c r="BC38" i="3"/>
  <c r="E191" i="2" s="1"/>
  <c r="BB38" i="3"/>
  <c r="D191" i="2" s="1"/>
  <c r="BB37" i="3"/>
  <c r="D190" i="2" s="1"/>
  <c r="BC36" i="3"/>
  <c r="E189" i="2" s="1"/>
  <c r="BB36" i="3"/>
  <c r="D189" i="2" s="1"/>
  <c r="BC35" i="3"/>
  <c r="BB35" i="3"/>
  <c r="BC34" i="3"/>
  <c r="BB34" i="3"/>
  <c r="I203" i="2" l="1"/>
  <c r="E188" i="2"/>
  <c r="BC41" i="3"/>
  <c r="D188" i="2"/>
  <c r="BB41" i="3"/>
  <c r="J197" i="2"/>
  <c r="G203" i="2"/>
  <c r="H30" i="13"/>
  <c r="L196" i="2"/>
  <c r="W196" i="2"/>
  <c r="I188" i="2"/>
  <c r="D187" i="2"/>
  <c r="E187" i="2"/>
  <c r="G189" i="2"/>
  <c r="J189" i="2" s="1"/>
  <c r="I189" i="2"/>
  <c r="G188" i="2"/>
  <c r="I190" i="2"/>
  <c r="G190" i="2"/>
  <c r="J190" i="2" s="1"/>
  <c r="I191" i="2"/>
  <c r="G191" i="2"/>
  <c r="J191" i="2" s="1"/>
  <c r="J195" i="2"/>
  <c r="W195" i="2" s="1"/>
  <c r="K195" i="2"/>
  <c r="M195" i="2"/>
  <c r="K198" i="2"/>
  <c r="M198" i="2"/>
  <c r="K197" i="2"/>
  <c r="M197" i="2"/>
  <c r="M200" i="2"/>
  <c r="K200" i="2"/>
  <c r="M196" i="2"/>
  <c r="K196" i="2"/>
  <c r="M199" i="2"/>
  <c r="K199" i="2"/>
  <c r="AZ59" i="3"/>
  <c r="AZ58" i="3"/>
  <c r="AZ57" i="3"/>
  <c r="AZ56" i="3"/>
  <c r="AZ55" i="3"/>
  <c r="AZ54" i="3"/>
  <c r="AZ49" i="3"/>
  <c r="AA10" i="4" s="1"/>
  <c r="AZ48" i="3"/>
  <c r="AA9" i="4" s="1"/>
  <c r="AZ47" i="3"/>
  <c r="AZ46" i="3"/>
  <c r="AZ45" i="3"/>
  <c r="AZ44" i="3"/>
  <c r="BA38" i="3"/>
  <c r="E182" i="2" s="1"/>
  <c r="AZ38" i="3"/>
  <c r="D182" i="2" s="1"/>
  <c r="BA37" i="3"/>
  <c r="E181" i="2" s="1"/>
  <c r="AZ37" i="3"/>
  <c r="D181" i="2" s="1"/>
  <c r="BA36" i="3"/>
  <c r="E180" i="2" s="1"/>
  <c r="AZ36" i="3"/>
  <c r="D180" i="2" s="1"/>
  <c r="BA35" i="3"/>
  <c r="AZ35" i="3"/>
  <c r="BA34" i="3"/>
  <c r="E178" i="2" s="1"/>
  <c r="AZ34" i="3"/>
  <c r="D178" i="2" s="1"/>
  <c r="BA33" i="3"/>
  <c r="AZ33" i="3"/>
  <c r="D194" i="2" l="1"/>
  <c r="E194" i="2"/>
  <c r="L197" i="2"/>
  <c r="J203" i="2"/>
  <c r="J188" i="2"/>
  <c r="W188" i="2" s="1"/>
  <c r="G194" i="2"/>
  <c r="M188" i="2"/>
  <c r="I194" i="2"/>
  <c r="M203" i="2"/>
  <c r="K203" i="2"/>
  <c r="D179" i="2"/>
  <c r="D185" i="2" s="1"/>
  <c r="AZ41" i="3"/>
  <c r="E179" i="2"/>
  <c r="BA41" i="3"/>
  <c r="H29" i="13"/>
  <c r="K188" i="2"/>
  <c r="L188" i="2"/>
  <c r="L189" i="2"/>
  <c r="W189" i="2"/>
  <c r="M191" i="2"/>
  <c r="K191" i="2"/>
  <c r="M190" i="2"/>
  <c r="K190" i="2"/>
  <c r="K189" i="2"/>
  <c r="M189" i="2"/>
  <c r="I187" i="2"/>
  <c r="G187" i="2"/>
  <c r="L190" i="2"/>
  <c r="W190" i="2"/>
  <c r="L191" i="2"/>
  <c r="W191" i="2"/>
  <c r="D177" i="2"/>
  <c r="E177" i="2"/>
  <c r="L195" i="2"/>
  <c r="G178" i="2"/>
  <c r="J178" i="2" s="1"/>
  <c r="L178" i="2" s="1"/>
  <c r="I178" i="2"/>
  <c r="I180" i="2"/>
  <c r="G180" i="2"/>
  <c r="J180" i="2" s="1"/>
  <c r="L180" i="2" s="1"/>
  <c r="I181" i="2"/>
  <c r="G181" i="2"/>
  <c r="J181" i="2" s="1"/>
  <c r="L181" i="2" s="1"/>
  <c r="I182" i="2"/>
  <c r="G182" i="2"/>
  <c r="J182" i="2" s="1"/>
  <c r="L182" i="2" s="1"/>
  <c r="E185" i="2" l="1"/>
  <c r="L203" i="2"/>
  <c r="G179" i="2"/>
  <c r="I179" i="2"/>
  <c r="G177" i="2"/>
  <c r="I177" i="2"/>
  <c r="M177" i="2" s="1"/>
  <c r="M187" i="2"/>
  <c r="M194" i="2" s="1"/>
  <c r="K187" i="2"/>
  <c r="K194" i="2" s="1"/>
  <c r="J187" i="2"/>
  <c r="W187" i="2" s="1"/>
  <c r="W194" i="2" s="1"/>
  <c r="Z194" i="2" s="1"/>
  <c r="M180" i="2"/>
  <c r="K180" i="2"/>
  <c r="M178" i="2"/>
  <c r="K178" i="2"/>
  <c r="K181" i="2"/>
  <c r="M181" i="2"/>
  <c r="K182" i="2"/>
  <c r="M182" i="2"/>
  <c r="K179" i="2"/>
  <c r="M179" i="2"/>
  <c r="G170" i="2"/>
  <c r="I170" i="2"/>
  <c r="I171" i="2"/>
  <c r="G171" i="2"/>
  <c r="J171" i="2" s="1"/>
  <c r="L171" i="2" s="1"/>
  <c r="I169" i="2"/>
  <c r="G169" i="2"/>
  <c r="J169" i="2" s="1"/>
  <c r="L169" i="2" s="1"/>
  <c r="I172" i="2"/>
  <c r="G172" i="2"/>
  <c r="J172" i="2" s="1"/>
  <c r="L172" i="2" s="1"/>
  <c r="I173" i="2"/>
  <c r="G173" i="2"/>
  <c r="J173" i="2" s="1"/>
  <c r="L173" i="2" s="1"/>
  <c r="U10" i="4"/>
  <c r="U9" i="4"/>
  <c r="J194" i="2" l="1"/>
  <c r="I185" i="2"/>
  <c r="M185" i="2"/>
  <c r="J170" i="2"/>
  <c r="J179" i="2"/>
  <c r="G185" i="2"/>
  <c r="H27" i="13"/>
  <c r="H28" i="13"/>
  <c r="J177" i="2"/>
  <c r="W177" i="2" s="1"/>
  <c r="K177" i="2"/>
  <c r="K185" i="2" s="1"/>
  <c r="L187" i="2"/>
  <c r="L194" i="2" s="1"/>
  <c r="I168" i="2"/>
  <c r="M168" i="2" s="1"/>
  <c r="G168" i="2"/>
  <c r="J168" i="2" s="1"/>
  <c r="W168" i="2" s="1"/>
  <c r="M169" i="2"/>
  <c r="K169" i="2"/>
  <c r="K173" i="2"/>
  <c r="M173" i="2"/>
  <c r="M171" i="2"/>
  <c r="K171" i="2"/>
  <c r="K172" i="2"/>
  <c r="M172" i="2"/>
  <c r="K170" i="2"/>
  <c r="M170" i="2"/>
  <c r="T10" i="4"/>
  <c r="T9" i="4"/>
  <c r="G176" i="2" l="1"/>
  <c r="M176" i="2"/>
  <c r="I176" i="2"/>
  <c r="L179" i="2"/>
  <c r="J185" i="2"/>
  <c r="L170" i="2"/>
  <c r="J176" i="2"/>
  <c r="L177" i="2"/>
  <c r="K168" i="2"/>
  <c r="K176" i="2" s="1"/>
  <c r="L168" i="2"/>
  <c r="AF59" i="3"/>
  <c r="AF58" i="3"/>
  <c r="AF57" i="3"/>
  <c r="AF56" i="3"/>
  <c r="AF55" i="3"/>
  <c r="AF54" i="3"/>
  <c r="AF49" i="3"/>
  <c r="AF48" i="3"/>
  <c r="AF47" i="3"/>
  <c r="AF46" i="3"/>
  <c r="AF45" i="3"/>
  <c r="AF44" i="3"/>
  <c r="AG38" i="3"/>
  <c r="AF38" i="3"/>
  <c r="AG37" i="3"/>
  <c r="AF37" i="3"/>
  <c r="AG36" i="3"/>
  <c r="AF36" i="3"/>
  <c r="AG35" i="3"/>
  <c r="AF35" i="3"/>
  <c r="AG34" i="3"/>
  <c r="AF34" i="3"/>
  <c r="AG33" i="3"/>
  <c r="AF33" i="3"/>
  <c r="L185" i="2" l="1"/>
  <c r="L176" i="2"/>
  <c r="AF41" i="3"/>
  <c r="AG41" i="3"/>
  <c r="E103" i="2"/>
  <c r="AD59" i="3"/>
  <c r="AD58" i="3"/>
  <c r="AD57" i="3"/>
  <c r="AD56" i="3"/>
  <c r="AD55" i="3"/>
  <c r="AD54" i="3"/>
  <c r="AD49" i="3"/>
  <c r="AD48" i="3"/>
  <c r="AD47" i="3"/>
  <c r="AD46" i="3"/>
  <c r="AD45" i="3"/>
  <c r="AD44" i="3"/>
  <c r="AE38" i="3"/>
  <c r="E101" i="2" s="1"/>
  <c r="AD38" i="3"/>
  <c r="D101" i="2" s="1"/>
  <c r="AE37" i="3"/>
  <c r="E100" i="2" s="1"/>
  <c r="AD37" i="3"/>
  <c r="D100" i="2" s="1"/>
  <c r="AE36" i="3"/>
  <c r="E99" i="2" s="1"/>
  <c r="AD36" i="3"/>
  <c r="D99" i="2" s="1"/>
  <c r="AE35" i="3"/>
  <c r="E98" i="2" s="1"/>
  <c r="AD35" i="3"/>
  <c r="D98" i="2" s="1"/>
  <c r="AE34" i="3"/>
  <c r="E97" i="2" s="1"/>
  <c r="AD34" i="3"/>
  <c r="D97" i="2" s="1"/>
  <c r="AE33" i="3"/>
  <c r="E96" i="2" s="1"/>
  <c r="AD33" i="3"/>
  <c r="D96" i="2" s="1"/>
  <c r="I96" i="2" l="1"/>
  <c r="I97" i="2"/>
  <c r="G97" i="2"/>
  <c r="J97" i="2" s="1"/>
  <c r="G96" i="2"/>
  <c r="J96" i="2" s="1"/>
  <c r="W96" i="2" s="1"/>
  <c r="G98" i="2"/>
  <c r="J98" i="2" s="1"/>
  <c r="I98" i="2"/>
  <c r="I99" i="2"/>
  <c r="G99" i="2"/>
  <c r="J99" i="2" s="1"/>
  <c r="G100" i="2"/>
  <c r="J100" i="2" s="1"/>
  <c r="I100" i="2"/>
  <c r="I101" i="2"/>
  <c r="G101" i="2"/>
  <c r="J101" i="2" s="1"/>
  <c r="L101" i="2" l="1"/>
  <c r="W101" i="2"/>
  <c r="L99" i="2"/>
  <c r="W99" i="2"/>
  <c r="L96" i="2"/>
  <c r="L97" i="2"/>
  <c r="W97" i="2"/>
  <c r="L100" i="2"/>
  <c r="W100" i="2"/>
  <c r="L98" i="2"/>
  <c r="W98" i="2"/>
  <c r="M97" i="2"/>
  <c r="K97" i="2"/>
  <c r="M100" i="2"/>
  <c r="K100" i="2"/>
  <c r="M98" i="2"/>
  <c r="K98" i="2"/>
  <c r="K96" i="2"/>
  <c r="M96" i="2"/>
  <c r="M101" i="2"/>
  <c r="K101" i="2"/>
  <c r="M99" i="2"/>
  <c r="K99" i="2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V45" i="1" l="1"/>
  <c r="F239" i="2" l="1"/>
  <c r="F240" i="2"/>
  <c r="C246" i="2" l="1"/>
  <c r="B246" i="2"/>
  <c r="Z23" i="4" l="1"/>
  <c r="Z25" i="4"/>
  <c r="Z24" i="4"/>
  <c r="L76" i="1" l="1"/>
  <c r="L77" i="1"/>
  <c r="L78" i="1"/>
  <c r="L79" i="1"/>
  <c r="K76" i="1" l="1"/>
  <c r="K77" i="1"/>
  <c r="K78" i="1"/>
  <c r="K79" i="1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G4" i="13" l="1"/>
  <c r="D25" i="4"/>
  <c r="B11" i="11" l="1"/>
  <c r="D24" i="4" l="1"/>
  <c r="D23" i="4" l="1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D25" i="4" l="1"/>
  <c r="AC25" i="4"/>
  <c r="AB25" i="4"/>
  <c r="AA25" i="4"/>
  <c r="Y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G25" i="4"/>
  <c r="F25" i="4"/>
  <c r="E25" i="4"/>
  <c r="I25" i="4"/>
  <c r="H25" i="4"/>
  <c r="T45" i="1" l="1"/>
  <c r="W45" i="1"/>
  <c r="X45" i="1"/>
  <c r="Y45" i="1"/>
  <c r="Z45" i="1"/>
  <c r="AA45" i="1"/>
  <c r="T46" i="1"/>
  <c r="V46" i="1"/>
  <c r="W46" i="1"/>
  <c r="X46" i="1"/>
  <c r="Y46" i="1"/>
  <c r="Z46" i="1"/>
  <c r="AA46" i="1"/>
  <c r="T47" i="1"/>
  <c r="V47" i="1"/>
  <c r="W47" i="1"/>
  <c r="X47" i="1"/>
  <c r="Y47" i="1"/>
  <c r="Z47" i="1"/>
  <c r="AA47" i="1"/>
  <c r="T48" i="1"/>
  <c r="V48" i="1"/>
  <c r="W48" i="1"/>
  <c r="X48" i="1"/>
  <c r="Y48" i="1"/>
  <c r="Z48" i="1"/>
  <c r="AA48" i="1"/>
  <c r="T49" i="1"/>
  <c r="V49" i="1"/>
  <c r="W49" i="1"/>
  <c r="X49" i="1"/>
  <c r="Y49" i="1"/>
  <c r="Z49" i="1"/>
  <c r="AA49" i="1"/>
  <c r="T50" i="1"/>
  <c r="V50" i="1"/>
  <c r="W50" i="1"/>
  <c r="X50" i="1"/>
  <c r="Y50" i="1"/>
  <c r="Z50" i="1"/>
  <c r="AA50" i="1"/>
  <c r="T51" i="1"/>
  <c r="V51" i="1"/>
  <c r="W51" i="1"/>
  <c r="X51" i="1"/>
  <c r="Y51" i="1"/>
  <c r="Z51" i="1"/>
  <c r="AA51" i="1"/>
  <c r="T52" i="1"/>
  <c r="V52" i="1"/>
  <c r="W52" i="1"/>
  <c r="X52" i="1"/>
  <c r="Y52" i="1"/>
  <c r="Z52" i="1"/>
  <c r="AA52" i="1"/>
  <c r="T53" i="1"/>
  <c r="V53" i="1"/>
  <c r="W53" i="1"/>
  <c r="X53" i="1"/>
  <c r="Y53" i="1"/>
  <c r="Z53" i="1"/>
  <c r="AA53" i="1"/>
  <c r="T54" i="1"/>
  <c r="V54" i="1"/>
  <c r="W54" i="1"/>
  <c r="X54" i="1"/>
  <c r="Y54" i="1"/>
  <c r="Z54" i="1"/>
  <c r="AA54" i="1"/>
  <c r="T55" i="1"/>
  <c r="V55" i="1"/>
  <c r="W55" i="1"/>
  <c r="X55" i="1"/>
  <c r="Y55" i="1"/>
  <c r="Z55" i="1"/>
  <c r="AA55" i="1"/>
  <c r="T56" i="1"/>
  <c r="V56" i="1"/>
  <c r="W56" i="1"/>
  <c r="X56" i="1"/>
  <c r="Y56" i="1"/>
  <c r="Z56" i="1"/>
  <c r="AA56" i="1"/>
  <c r="T57" i="1"/>
  <c r="V57" i="1"/>
  <c r="W57" i="1"/>
  <c r="X57" i="1"/>
  <c r="Y57" i="1"/>
  <c r="Z57" i="1"/>
  <c r="AA57" i="1"/>
  <c r="T58" i="1"/>
  <c r="V58" i="1"/>
  <c r="W58" i="1"/>
  <c r="X58" i="1"/>
  <c r="Y58" i="1"/>
  <c r="Z58" i="1"/>
  <c r="AA58" i="1"/>
  <c r="T59" i="1"/>
  <c r="V59" i="1"/>
  <c r="W59" i="1"/>
  <c r="X59" i="1"/>
  <c r="Y59" i="1"/>
  <c r="Z59" i="1"/>
  <c r="AA59" i="1"/>
  <c r="T60" i="1"/>
  <c r="V60" i="1"/>
  <c r="W60" i="1"/>
  <c r="X60" i="1"/>
  <c r="Y60" i="1"/>
  <c r="Z60" i="1"/>
  <c r="AA60" i="1"/>
  <c r="T61" i="1"/>
  <c r="V61" i="1"/>
  <c r="W61" i="1"/>
  <c r="X61" i="1"/>
  <c r="Y61" i="1"/>
  <c r="Z61" i="1"/>
  <c r="AA61" i="1"/>
  <c r="T62" i="1"/>
  <c r="V62" i="1"/>
  <c r="W62" i="1"/>
  <c r="X62" i="1"/>
  <c r="Y62" i="1"/>
  <c r="Z62" i="1"/>
  <c r="AA62" i="1"/>
  <c r="T63" i="1"/>
  <c r="V63" i="1"/>
  <c r="W63" i="1"/>
  <c r="X63" i="1"/>
  <c r="Y63" i="1"/>
  <c r="Z63" i="1"/>
  <c r="AA63" i="1"/>
  <c r="T64" i="1"/>
  <c r="V64" i="1"/>
  <c r="W64" i="1"/>
  <c r="X64" i="1"/>
  <c r="Y64" i="1"/>
  <c r="Z64" i="1"/>
  <c r="AA64" i="1"/>
  <c r="T65" i="1"/>
  <c r="V65" i="1"/>
  <c r="W65" i="1"/>
  <c r="X65" i="1"/>
  <c r="Y65" i="1"/>
  <c r="Z65" i="1"/>
  <c r="AA65" i="1"/>
  <c r="T66" i="1"/>
  <c r="V66" i="1"/>
  <c r="W66" i="1"/>
  <c r="X66" i="1"/>
  <c r="Y66" i="1"/>
  <c r="Z66" i="1"/>
  <c r="AA66" i="1"/>
  <c r="T67" i="1"/>
  <c r="V67" i="1"/>
  <c r="W67" i="1"/>
  <c r="X67" i="1"/>
  <c r="Y67" i="1"/>
  <c r="Z67" i="1"/>
  <c r="AA67" i="1"/>
  <c r="T68" i="1"/>
  <c r="V68" i="1"/>
  <c r="W68" i="1"/>
  <c r="X68" i="1"/>
  <c r="Y68" i="1"/>
  <c r="Z68" i="1"/>
  <c r="AA68" i="1"/>
  <c r="T69" i="1"/>
  <c r="V69" i="1"/>
  <c r="W69" i="1"/>
  <c r="X69" i="1"/>
  <c r="Y69" i="1"/>
  <c r="Z69" i="1"/>
  <c r="AA69" i="1"/>
  <c r="T70" i="1"/>
  <c r="V70" i="1"/>
  <c r="W70" i="1"/>
  <c r="X70" i="1"/>
  <c r="Y70" i="1"/>
  <c r="Z70" i="1"/>
  <c r="AA70" i="1"/>
  <c r="T71" i="1"/>
  <c r="V71" i="1"/>
  <c r="W71" i="1"/>
  <c r="X71" i="1"/>
  <c r="Y71" i="1"/>
  <c r="Z71" i="1"/>
  <c r="AA71" i="1"/>
  <c r="T72" i="1"/>
  <c r="V72" i="1"/>
  <c r="W72" i="1"/>
  <c r="X72" i="1"/>
  <c r="Y72" i="1"/>
  <c r="Z72" i="1"/>
  <c r="AA72" i="1"/>
  <c r="T73" i="1"/>
  <c r="V73" i="1"/>
  <c r="W73" i="1"/>
  <c r="X73" i="1"/>
  <c r="Y73" i="1"/>
  <c r="Z73" i="1"/>
  <c r="AA73" i="1"/>
  <c r="T74" i="1"/>
  <c r="V74" i="1"/>
  <c r="W74" i="1"/>
  <c r="X74" i="1"/>
  <c r="Y74" i="1"/>
  <c r="Z74" i="1"/>
  <c r="AA74" i="1"/>
  <c r="T75" i="1"/>
  <c r="V75" i="1"/>
  <c r="W75" i="1"/>
  <c r="X75" i="1"/>
  <c r="Y75" i="1"/>
  <c r="Z75" i="1"/>
  <c r="AA75" i="1"/>
  <c r="T76" i="1"/>
  <c r="V76" i="1"/>
  <c r="W76" i="1"/>
  <c r="X76" i="1"/>
  <c r="Y76" i="1"/>
  <c r="Z76" i="1"/>
  <c r="AA76" i="1"/>
  <c r="T77" i="1"/>
  <c r="V77" i="1"/>
  <c r="W77" i="1"/>
  <c r="X77" i="1"/>
  <c r="Y77" i="1"/>
  <c r="Z77" i="1"/>
  <c r="AA77" i="1"/>
  <c r="T78" i="1"/>
  <c r="V78" i="1"/>
  <c r="W78" i="1"/>
  <c r="X78" i="1"/>
  <c r="Y78" i="1"/>
  <c r="Z78" i="1"/>
  <c r="AA78" i="1"/>
  <c r="T79" i="1"/>
  <c r="V79" i="1"/>
  <c r="W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AD23" i="4" l="1"/>
  <c r="G11" i="13" l="1"/>
  <c r="G12" i="13" l="1"/>
  <c r="C45" i="1" l="1"/>
  <c r="D45" i="1"/>
  <c r="F45" i="1"/>
  <c r="G45" i="1"/>
  <c r="H45" i="1"/>
  <c r="I45" i="1"/>
  <c r="J45" i="1"/>
  <c r="K45" i="1"/>
  <c r="L45" i="1"/>
  <c r="M45" i="1"/>
  <c r="N45" i="1"/>
  <c r="Q45" i="1"/>
  <c r="C46" i="1"/>
  <c r="D46" i="1"/>
  <c r="F46" i="1"/>
  <c r="G46" i="1"/>
  <c r="H46" i="1"/>
  <c r="I46" i="1"/>
  <c r="J46" i="1"/>
  <c r="K46" i="1"/>
  <c r="L46" i="1"/>
  <c r="M46" i="1"/>
  <c r="N46" i="1"/>
  <c r="Q46" i="1"/>
  <c r="C47" i="1"/>
  <c r="D47" i="1"/>
  <c r="F47" i="1"/>
  <c r="G47" i="1"/>
  <c r="H47" i="1"/>
  <c r="I47" i="1"/>
  <c r="J47" i="1"/>
  <c r="K47" i="1"/>
  <c r="L47" i="1"/>
  <c r="M47" i="1"/>
  <c r="N47" i="1"/>
  <c r="Q47" i="1"/>
  <c r="C48" i="1"/>
  <c r="D48" i="1"/>
  <c r="F48" i="1"/>
  <c r="G48" i="1"/>
  <c r="H48" i="1"/>
  <c r="I48" i="1"/>
  <c r="J48" i="1"/>
  <c r="K48" i="1"/>
  <c r="L48" i="1"/>
  <c r="M48" i="1"/>
  <c r="N48" i="1"/>
  <c r="Q48" i="1"/>
  <c r="C49" i="1"/>
  <c r="D49" i="1"/>
  <c r="F49" i="1"/>
  <c r="G49" i="1"/>
  <c r="H49" i="1"/>
  <c r="I49" i="1"/>
  <c r="J49" i="1"/>
  <c r="K49" i="1"/>
  <c r="L49" i="1"/>
  <c r="M49" i="1"/>
  <c r="N49" i="1"/>
  <c r="Q49" i="1"/>
  <c r="C50" i="1"/>
  <c r="D50" i="1"/>
  <c r="F50" i="1"/>
  <c r="G50" i="1"/>
  <c r="H50" i="1"/>
  <c r="I50" i="1"/>
  <c r="J50" i="1"/>
  <c r="K50" i="1"/>
  <c r="L50" i="1"/>
  <c r="M50" i="1"/>
  <c r="N50" i="1"/>
  <c r="Q50" i="1"/>
  <c r="C51" i="1"/>
  <c r="D51" i="1"/>
  <c r="F51" i="1"/>
  <c r="G51" i="1"/>
  <c r="H51" i="1"/>
  <c r="I51" i="1"/>
  <c r="J51" i="1"/>
  <c r="K51" i="1"/>
  <c r="L51" i="1"/>
  <c r="M51" i="1"/>
  <c r="N51" i="1"/>
  <c r="Q51" i="1"/>
  <c r="C52" i="1"/>
  <c r="D52" i="1"/>
  <c r="F52" i="1"/>
  <c r="G52" i="1"/>
  <c r="H52" i="1"/>
  <c r="I52" i="1"/>
  <c r="J52" i="1"/>
  <c r="K52" i="1"/>
  <c r="L52" i="1"/>
  <c r="M52" i="1"/>
  <c r="N52" i="1"/>
  <c r="Q52" i="1"/>
  <c r="C53" i="1"/>
  <c r="D53" i="1"/>
  <c r="F53" i="1"/>
  <c r="G53" i="1"/>
  <c r="H53" i="1"/>
  <c r="I53" i="1"/>
  <c r="J53" i="1"/>
  <c r="K53" i="1"/>
  <c r="L53" i="1"/>
  <c r="M53" i="1"/>
  <c r="N53" i="1"/>
  <c r="Q53" i="1"/>
  <c r="C54" i="1"/>
  <c r="D54" i="1"/>
  <c r="F54" i="1"/>
  <c r="G54" i="1"/>
  <c r="H54" i="1"/>
  <c r="I54" i="1"/>
  <c r="J54" i="1"/>
  <c r="K54" i="1"/>
  <c r="L54" i="1"/>
  <c r="M54" i="1"/>
  <c r="N54" i="1"/>
  <c r="Q54" i="1"/>
  <c r="C55" i="1"/>
  <c r="D55" i="1"/>
  <c r="F55" i="1"/>
  <c r="G55" i="1"/>
  <c r="H55" i="1"/>
  <c r="I55" i="1"/>
  <c r="J55" i="1"/>
  <c r="K55" i="1"/>
  <c r="L55" i="1"/>
  <c r="M55" i="1"/>
  <c r="N55" i="1"/>
  <c r="Q55" i="1"/>
  <c r="C56" i="1"/>
  <c r="D56" i="1"/>
  <c r="F56" i="1"/>
  <c r="G56" i="1"/>
  <c r="H56" i="1"/>
  <c r="I56" i="1"/>
  <c r="J56" i="1"/>
  <c r="K56" i="1"/>
  <c r="L56" i="1"/>
  <c r="M56" i="1"/>
  <c r="N56" i="1"/>
  <c r="Q56" i="1"/>
  <c r="C57" i="1"/>
  <c r="D57" i="1"/>
  <c r="F57" i="1"/>
  <c r="G57" i="1"/>
  <c r="H57" i="1"/>
  <c r="I57" i="1"/>
  <c r="J57" i="1"/>
  <c r="K57" i="1"/>
  <c r="L57" i="1"/>
  <c r="M57" i="1"/>
  <c r="N57" i="1"/>
  <c r="Q57" i="1"/>
  <c r="C58" i="1"/>
  <c r="D58" i="1"/>
  <c r="F58" i="1"/>
  <c r="G58" i="1"/>
  <c r="H58" i="1"/>
  <c r="I58" i="1"/>
  <c r="J58" i="1"/>
  <c r="K58" i="1"/>
  <c r="L58" i="1"/>
  <c r="M58" i="1"/>
  <c r="N58" i="1"/>
  <c r="Q58" i="1"/>
  <c r="C59" i="1"/>
  <c r="D59" i="1"/>
  <c r="F59" i="1"/>
  <c r="G59" i="1"/>
  <c r="H59" i="1"/>
  <c r="I59" i="1"/>
  <c r="J59" i="1"/>
  <c r="K59" i="1"/>
  <c r="L59" i="1"/>
  <c r="M59" i="1"/>
  <c r="N59" i="1"/>
  <c r="Q59" i="1"/>
  <c r="C60" i="1"/>
  <c r="D60" i="1"/>
  <c r="F60" i="1"/>
  <c r="G60" i="1"/>
  <c r="H60" i="1"/>
  <c r="I60" i="1"/>
  <c r="J60" i="1"/>
  <c r="K60" i="1"/>
  <c r="L60" i="1"/>
  <c r="M60" i="1"/>
  <c r="N60" i="1"/>
  <c r="Q60" i="1"/>
  <c r="C61" i="1"/>
  <c r="D61" i="1"/>
  <c r="F61" i="1"/>
  <c r="G61" i="1"/>
  <c r="H61" i="1"/>
  <c r="I61" i="1"/>
  <c r="J61" i="1"/>
  <c r="K61" i="1"/>
  <c r="L61" i="1"/>
  <c r="M61" i="1"/>
  <c r="N61" i="1"/>
  <c r="C62" i="1"/>
  <c r="D62" i="1"/>
  <c r="F62" i="1"/>
  <c r="G62" i="1"/>
  <c r="H62" i="1"/>
  <c r="I62" i="1"/>
  <c r="J62" i="1"/>
  <c r="K62" i="1"/>
  <c r="L62" i="1"/>
  <c r="M62" i="1"/>
  <c r="N62" i="1"/>
  <c r="C63" i="1"/>
  <c r="D63" i="1"/>
  <c r="F63" i="1"/>
  <c r="G63" i="1"/>
  <c r="H63" i="1"/>
  <c r="I63" i="1"/>
  <c r="J63" i="1"/>
  <c r="K63" i="1"/>
  <c r="L63" i="1"/>
  <c r="M63" i="1"/>
  <c r="N63" i="1"/>
  <c r="C64" i="1"/>
  <c r="D64" i="1"/>
  <c r="F64" i="1"/>
  <c r="G64" i="1"/>
  <c r="H64" i="1"/>
  <c r="I64" i="1"/>
  <c r="J64" i="1"/>
  <c r="K64" i="1"/>
  <c r="L64" i="1"/>
  <c r="M64" i="1"/>
  <c r="N64" i="1"/>
  <c r="C65" i="1"/>
  <c r="D65" i="1"/>
  <c r="F65" i="1"/>
  <c r="G65" i="1"/>
  <c r="H65" i="1"/>
  <c r="I65" i="1"/>
  <c r="J65" i="1"/>
  <c r="K65" i="1"/>
  <c r="L65" i="1"/>
  <c r="M65" i="1"/>
  <c r="N65" i="1"/>
  <c r="C66" i="1"/>
  <c r="D66" i="1"/>
  <c r="F66" i="1"/>
  <c r="G66" i="1"/>
  <c r="H66" i="1"/>
  <c r="I66" i="1"/>
  <c r="J66" i="1"/>
  <c r="K66" i="1"/>
  <c r="L66" i="1"/>
  <c r="M66" i="1"/>
  <c r="N66" i="1"/>
  <c r="C67" i="1"/>
  <c r="D67" i="1"/>
  <c r="F67" i="1"/>
  <c r="G67" i="1"/>
  <c r="H67" i="1"/>
  <c r="I67" i="1"/>
  <c r="J67" i="1"/>
  <c r="K67" i="1"/>
  <c r="L67" i="1"/>
  <c r="M67" i="1"/>
  <c r="N67" i="1"/>
  <c r="C68" i="1"/>
  <c r="D68" i="1"/>
  <c r="F68" i="1"/>
  <c r="G68" i="1"/>
  <c r="H68" i="1"/>
  <c r="I68" i="1"/>
  <c r="J68" i="1"/>
  <c r="K68" i="1"/>
  <c r="L68" i="1"/>
  <c r="M68" i="1"/>
  <c r="N68" i="1"/>
  <c r="C69" i="1"/>
  <c r="D69" i="1"/>
  <c r="F69" i="1"/>
  <c r="G69" i="1"/>
  <c r="H69" i="1"/>
  <c r="I69" i="1"/>
  <c r="J69" i="1"/>
  <c r="K69" i="1"/>
  <c r="L69" i="1"/>
  <c r="M69" i="1"/>
  <c r="N69" i="1"/>
  <c r="C70" i="1"/>
  <c r="D70" i="1"/>
  <c r="F70" i="1"/>
  <c r="G70" i="1"/>
  <c r="H70" i="1"/>
  <c r="I70" i="1"/>
  <c r="J70" i="1"/>
  <c r="K70" i="1"/>
  <c r="L70" i="1"/>
  <c r="M70" i="1"/>
  <c r="N70" i="1"/>
  <c r="C71" i="1"/>
  <c r="D71" i="1"/>
  <c r="F71" i="1"/>
  <c r="G71" i="1"/>
  <c r="H71" i="1"/>
  <c r="I71" i="1"/>
  <c r="J71" i="1"/>
  <c r="K71" i="1"/>
  <c r="L71" i="1"/>
  <c r="M71" i="1"/>
  <c r="N71" i="1"/>
  <c r="C72" i="1"/>
  <c r="D72" i="1"/>
  <c r="F72" i="1"/>
  <c r="G72" i="1"/>
  <c r="H72" i="1"/>
  <c r="I72" i="1"/>
  <c r="J72" i="1"/>
  <c r="K72" i="1"/>
  <c r="L72" i="1"/>
  <c r="M72" i="1"/>
  <c r="N72" i="1"/>
  <c r="C73" i="1"/>
  <c r="D73" i="1"/>
  <c r="F73" i="1"/>
  <c r="G73" i="1"/>
  <c r="H73" i="1"/>
  <c r="I73" i="1"/>
  <c r="J73" i="1"/>
  <c r="K73" i="1"/>
  <c r="L73" i="1"/>
  <c r="M73" i="1"/>
  <c r="N73" i="1"/>
  <c r="C74" i="1"/>
  <c r="D74" i="1"/>
  <c r="F74" i="1"/>
  <c r="G74" i="1"/>
  <c r="H74" i="1"/>
  <c r="I74" i="1"/>
  <c r="J74" i="1"/>
  <c r="K74" i="1"/>
  <c r="L74" i="1"/>
  <c r="M74" i="1"/>
  <c r="N74" i="1"/>
  <c r="C75" i="1"/>
  <c r="D75" i="1"/>
  <c r="F75" i="1"/>
  <c r="G75" i="1"/>
  <c r="H75" i="1"/>
  <c r="I75" i="1"/>
  <c r="J75" i="1"/>
  <c r="K75" i="1"/>
  <c r="L75" i="1"/>
  <c r="M75" i="1"/>
  <c r="N75" i="1"/>
  <c r="C76" i="1"/>
  <c r="D76" i="1"/>
  <c r="F76" i="1"/>
  <c r="G76" i="1"/>
  <c r="H76" i="1"/>
  <c r="I76" i="1"/>
  <c r="J76" i="1"/>
  <c r="M76" i="1"/>
  <c r="N76" i="1"/>
  <c r="C77" i="1"/>
  <c r="D77" i="1"/>
  <c r="F77" i="1"/>
  <c r="G77" i="1"/>
  <c r="H77" i="1"/>
  <c r="I77" i="1"/>
  <c r="J77" i="1"/>
  <c r="M77" i="1"/>
  <c r="N77" i="1"/>
  <c r="C78" i="1"/>
  <c r="D78" i="1"/>
  <c r="F78" i="1"/>
  <c r="G78" i="1"/>
  <c r="H78" i="1"/>
  <c r="I78" i="1"/>
  <c r="J78" i="1"/>
  <c r="M78" i="1"/>
  <c r="N78" i="1"/>
  <c r="C79" i="1"/>
  <c r="D79" i="1"/>
  <c r="F79" i="1"/>
  <c r="G79" i="1"/>
  <c r="H79" i="1"/>
  <c r="I79" i="1"/>
  <c r="J79" i="1"/>
  <c r="M79" i="1"/>
  <c r="N79" i="1"/>
  <c r="AC23" i="4" l="1"/>
  <c r="AB24" i="4" l="1"/>
  <c r="AB23" i="4"/>
  <c r="AA24" i="4" l="1"/>
  <c r="AA23" i="4"/>
  <c r="Y24" i="4" l="1"/>
  <c r="Y33" i="4" s="1"/>
  <c r="X24" i="4"/>
  <c r="W24" i="4"/>
  <c r="X23" i="4"/>
  <c r="W23" i="4"/>
  <c r="V24" i="4" l="1"/>
  <c r="V23" i="4"/>
  <c r="U24" i="4"/>
  <c r="T24" i="4"/>
  <c r="U23" i="4"/>
  <c r="T23" i="4"/>
  <c r="U33" i="4" l="1"/>
  <c r="S23" i="4"/>
  <c r="S24" i="4"/>
  <c r="R24" i="4"/>
  <c r="R23" i="4"/>
  <c r="Q24" i="4" l="1"/>
  <c r="Q23" i="4"/>
  <c r="P24" i="4" l="1"/>
  <c r="P23" i="4"/>
  <c r="O24" i="4" l="1"/>
  <c r="O23" i="4"/>
  <c r="N24" i="4" l="1"/>
  <c r="N23" i="4"/>
  <c r="M23" i="4" l="1"/>
  <c r="L23" i="4"/>
  <c r="M24" i="4"/>
  <c r="L24" i="4"/>
  <c r="K24" i="4"/>
  <c r="K23" i="4"/>
  <c r="J24" i="4"/>
  <c r="I24" i="4" l="1"/>
  <c r="I23" i="4"/>
  <c r="H24" i="4" l="1"/>
  <c r="H23" i="4"/>
  <c r="G23" i="4"/>
  <c r="F24" i="4"/>
  <c r="F23" i="4"/>
  <c r="E24" i="4"/>
  <c r="C24" i="4"/>
  <c r="C23" i="4"/>
  <c r="C81" i="1" l="1"/>
  <c r="N18" i="2" s="1"/>
  <c r="Q81" i="1"/>
  <c r="N116" i="2" s="1"/>
  <c r="B19" i="13" s="1"/>
  <c r="AC81" i="1"/>
  <c r="N212" i="2" s="1"/>
  <c r="B31" i="13" s="1"/>
  <c r="O81" i="1"/>
  <c r="N102" i="2" s="1"/>
  <c r="K81" i="1"/>
  <c r="G81" i="1"/>
  <c r="F81" i="1"/>
  <c r="N39" i="2" s="1"/>
  <c r="N81" i="1"/>
  <c r="N95" i="2" s="1"/>
  <c r="B16" i="13" s="1"/>
  <c r="J81" i="1"/>
  <c r="N67" i="2" s="1"/>
  <c r="M81" i="1"/>
  <c r="N88" i="2" s="1"/>
  <c r="I81" i="1"/>
  <c r="N60" i="2" s="1"/>
  <c r="B11" i="13" s="1"/>
  <c r="E81" i="1"/>
  <c r="N32" i="2" s="1"/>
  <c r="P81" i="1"/>
  <c r="N109" i="2" s="1"/>
  <c r="L81" i="1"/>
  <c r="N81" i="2" s="1"/>
  <c r="H81" i="1"/>
  <c r="N53" i="2" s="1"/>
  <c r="D81" i="1"/>
  <c r="N25" i="2" s="1"/>
  <c r="AB81" i="1"/>
  <c r="N203" i="2" s="1"/>
  <c r="AA81" i="1"/>
  <c r="N194" i="2" s="1"/>
  <c r="Z81" i="1"/>
  <c r="N185" i="2" s="1"/>
  <c r="Y81" i="1"/>
  <c r="N176" i="2" s="1"/>
  <c r="X81" i="1"/>
  <c r="N167" i="2" s="1"/>
  <c r="W81" i="1"/>
  <c r="N158" i="2" s="1"/>
  <c r="R81" i="1"/>
  <c r="N123" i="2" s="1"/>
  <c r="B20" i="13" s="1"/>
  <c r="V81" i="1"/>
  <c r="N151" i="2" s="1"/>
  <c r="U81" i="1"/>
  <c r="T81" i="1"/>
  <c r="N137" i="2" s="1"/>
  <c r="S81" i="1"/>
  <c r="N130" i="2" s="1"/>
  <c r="O194" i="2" l="1"/>
  <c r="N74" i="2"/>
  <c r="B13" i="13" s="1"/>
  <c r="B10" i="13"/>
  <c r="B12" i="13"/>
  <c r="B21" i="13"/>
  <c r="B28" i="13"/>
  <c r="B27" i="13"/>
  <c r="B25" i="13"/>
  <c r="B24" i="13"/>
  <c r="N46" i="2"/>
  <c r="B9" i="13" s="1"/>
  <c r="B26" i="13"/>
  <c r="B18" i="13"/>
  <c r="B7" i="13"/>
  <c r="B8" i="13"/>
  <c r="B6" i="13"/>
  <c r="B5" i="13"/>
  <c r="G30" i="13"/>
  <c r="G9" i="13" l="1"/>
  <c r="G8" i="13"/>
  <c r="V8" i="4" l="1"/>
  <c r="C251" i="2" l="1"/>
  <c r="B4" i="13" l="1"/>
  <c r="D58" i="2" l="1"/>
  <c r="T33" i="3" l="1"/>
  <c r="D61" i="2" s="1"/>
  <c r="G26" i="13" l="1"/>
  <c r="G25" i="13" l="1"/>
  <c r="G22" i="13" l="1"/>
  <c r="G21" i="13" l="1"/>
  <c r="G20" i="13" l="1"/>
  <c r="G18" i="13" l="1"/>
  <c r="G15" i="13" l="1"/>
  <c r="G14" i="13" l="1"/>
  <c r="G13" i="13" l="1"/>
  <c r="G10" i="13" l="1"/>
  <c r="G7" i="13" l="1"/>
  <c r="G6" i="13" l="1"/>
  <c r="G5" i="13" l="1"/>
  <c r="G31" i="13" l="1"/>
  <c r="G24" i="13"/>
  <c r="G23" i="13"/>
  <c r="G16" i="13" l="1"/>
  <c r="G17" i="13"/>
  <c r="G28" i="13" l="1"/>
  <c r="G29" i="13" l="1"/>
  <c r="G19" i="13" l="1"/>
  <c r="G27" i="13" l="1"/>
  <c r="G36" i="13" s="1"/>
  <c r="B251" i="2"/>
  <c r="D70" i="2"/>
  <c r="BF58" i="3"/>
  <c r="AH58" i="3"/>
  <c r="T58" i="3"/>
  <c r="L58" i="3"/>
  <c r="J58" i="3"/>
  <c r="H58" i="3"/>
  <c r="F58" i="3"/>
  <c r="D58" i="3"/>
  <c r="BF48" i="3"/>
  <c r="AD9" i="4" s="1"/>
  <c r="AC9" i="4"/>
  <c r="Z9" i="4"/>
  <c r="Y9" i="4"/>
  <c r="X9" i="4"/>
  <c r="W9" i="4"/>
  <c r="V9" i="4"/>
  <c r="S9" i="4"/>
  <c r="AH48" i="3"/>
  <c r="R9" i="4" s="1"/>
  <c r="Q9" i="4"/>
  <c r="P9" i="4"/>
  <c r="O9" i="4"/>
  <c r="N9" i="4"/>
  <c r="M9" i="4"/>
  <c r="L9" i="4"/>
  <c r="T48" i="3"/>
  <c r="K9" i="4" s="1"/>
  <c r="J9" i="4"/>
  <c r="I9" i="4"/>
  <c r="H9" i="4"/>
  <c r="L48" i="3"/>
  <c r="G9" i="4" s="1"/>
  <c r="J48" i="3"/>
  <c r="F9" i="4" s="1"/>
  <c r="H48" i="3"/>
  <c r="E9" i="4" s="1"/>
  <c r="F48" i="3"/>
  <c r="D9" i="4" s="1"/>
  <c r="D48" i="3"/>
  <c r="C9" i="4" s="1"/>
  <c r="BG37" i="3"/>
  <c r="E208" i="2" s="1"/>
  <c r="BF37" i="3"/>
  <c r="E142" i="2"/>
  <c r="D142" i="2"/>
  <c r="E135" i="2"/>
  <c r="D135" i="2"/>
  <c r="E128" i="2"/>
  <c r="D128" i="2"/>
  <c r="E121" i="2"/>
  <c r="D121" i="2"/>
  <c r="AI37" i="3"/>
  <c r="E114" i="2" s="1"/>
  <c r="AH37" i="3"/>
  <c r="D114" i="2" s="1"/>
  <c r="E107" i="2"/>
  <c r="D107" i="2"/>
  <c r="E93" i="2"/>
  <c r="D93" i="2"/>
  <c r="E86" i="2"/>
  <c r="D86" i="2"/>
  <c r="E72" i="2"/>
  <c r="D72" i="2"/>
  <c r="U37" i="3"/>
  <c r="E65" i="2" s="1"/>
  <c r="T37" i="3"/>
  <c r="D65" i="2" s="1"/>
  <c r="E58" i="2"/>
  <c r="E44" i="2"/>
  <c r="D44" i="2"/>
  <c r="M37" i="3"/>
  <c r="E37" i="2" s="1"/>
  <c r="L37" i="3"/>
  <c r="D37" i="2" s="1"/>
  <c r="K37" i="3"/>
  <c r="E30" i="2" s="1"/>
  <c r="J37" i="3"/>
  <c r="D30" i="2" s="1"/>
  <c r="I37" i="3"/>
  <c r="E23" i="2" s="1"/>
  <c r="H37" i="3"/>
  <c r="D23" i="2" s="1"/>
  <c r="G37" i="3"/>
  <c r="F37" i="3"/>
  <c r="E37" i="3"/>
  <c r="E9" i="2" s="1"/>
  <c r="D37" i="3"/>
  <c r="D9" i="2" s="1"/>
  <c r="D132" i="2"/>
  <c r="E132" i="2"/>
  <c r="D133" i="2"/>
  <c r="E133" i="2"/>
  <c r="D134" i="2"/>
  <c r="E134" i="2"/>
  <c r="D136" i="2"/>
  <c r="E136" i="2"/>
  <c r="L33" i="3"/>
  <c r="L34" i="3"/>
  <c r="D34" i="2" s="1"/>
  <c r="L35" i="3"/>
  <c r="D35" i="2" s="1"/>
  <c r="L36" i="3"/>
  <c r="D36" i="2" s="1"/>
  <c r="L38" i="3"/>
  <c r="D38" i="2" s="1"/>
  <c r="L44" i="3"/>
  <c r="BG34" i="3"/>
  <c r="E205" i="2" s="1"/>
  <c r="BF34" i="3"/>
  <c r="D205" i="2" s="1"/>
  <c r="A19" i="2"/>
  <c r="A26" i="2" s="1"/>
  <c r="A33" i="2" s="1"/>
  <c r="A40" i="2" s="1"/>
  <c r="O10" i="4"/>
  <c r="O8" i="4"/>
  <c r="O7" i="4"/>
  <c r="O6" i="4"/>
  <c r="N18" i="4"/>
  <c r="N17" i="4"/>
  <c r="N16" i="4"/>
  <c r="N15" i="4"/>
  <c r="N14" i="4"/>
  <c r="N10" i="4"/>
  <c r="N8" i="4"/>
  <c r="N7" i="4"/>
  <c r="N6" i="4"/>
  <c r="N5" i="4"/>
  <c r="T54" i="3"/>
  <c r="K14" i="4" s="1"/>
  <c r="O18" i="4"/>
  <c r="O17" i="4"/>
  <c r="O16" i="4"/>
  <c r="O15" i="4"/>
  <c r="O14" i="4"/>
  <c r="E94" i="2"/>
  <c r="D94" i="2"/>
  <c r="E92" i="2"/>
  <c r="D92" i="2"/>
  <c r="E91" i="2"/>
  <c r="D91" i="2"/>
  <c r="E90" i="2"/>
  <c r="D90" i="2"/>
  <c r="E87" i="2"/>
  <c r="D87" i="2"/>
  <c r="E85" i="2"/>
  <c r="D85" i="2"/>
  <c r="E84" i="2"/>
  <c r="D84" i="2"/>
  <c r="E83" i="2"/>
  <c r="D83" i="2"/>
  <c r="O5" i="4"/>
  <c r="AC18" i="4"/>
  <c r="AC17" i="4"/>
  <c r="AC16" i="4"/>
  <c r="AC15" i="4"/>
  <c r="AC14" i="4"/>
  <c r="AC10" i="4"/>
  <c r="AC8" i="4"/>
  <c r="AC7" i="4"/>
  <c r="AC6" i="4"/>
  <c r="AC5" i="4"/>
  <c r="AB18" i="4"/>
  <c r="AB17" i="4"/>
  <c r="AB16" i="4"/>
  <c r="AB15" i="4"/>
  <c r="AB14" i="4"/>
  <c r="AB8" i="4"/>
  <c r="AB7" i="4"/>
  <c r="AB6" i="4"/>
  <c r="AB5" i="4"/>
  <c r="D138" i="2"/>
  <c r="BF59" i="3"/>
  <c r="AA18" i="4"/>
  <c r="Z18" i="4"/>
  <c r="Y18" i="4"/>
  <c r="X18" i="4"/>
  <c r="W18" i="4"/>
  <c r="V18" i="4"/>
  <c r="T18" i="4"/>
  <c r="S18" i="4"/>
  <c r="AH59" i="3"/>
  <c r="R18" i="4" s="1"/>
  <c r="Q18" i="4"/>
  <c r="P18" i="4"/>
  <c r="M18" i="4"/>
  <c r="L18" i="4"/>
  <c r="T59" i="3"/>
  <c r="K18" i="4" s="1"/>
  <c r="J18" i="4"/>
  <c r="I18" i="4"/>
  <c r="H18" i="4"/>
  <c r="L59" i="3"/>
  <c r="G18" i="4" s="1"/>
  <c r="J59" i="3"/>
  <c r="F18" i="4" s="1"/>
  <c r="H59" i="3"/>
  <c r="E18" i="4" s="1"/>
  <c r="F59" i="3"/>
  <c r="D18" i="4" s="1"/>
  <c r="D59" i="3"/>
  <c r="C18" i="4" s="1"/>
  <c r="BF57" i="3"/>
  <c r="AA17" i="4"/>
  <c r="Z17" i="4"/>
  <c r="Y17" i="4"/>
  <c r="X17" i="4"/>
  <c r="W17" i="4"/>
  <c r="V17" i="4"/>
  <c r="T17" i="4"/>
  <c r="S17" i="4"/>
  <c r="AH57" i="3"/>
  <c r="R17" i="4" s="1"/>
  <c r="Q17" i="4"/>
  <c r="P17" i="4"/>
  <c r="M17" i="4"/>
  <c r="L17" i="4"/>
  <c r="T57" i="3"/>
  <c r="K17" i="4" s="1"/>
  <c r="J17" i="4"/>
  <c r="I17" i="4"/>
  <c r="H17" i="4"/>
  <c r="L57" i="3"/>
  <c r="G17" i="4" s="1"/>
  <c r="J57" i="3"/>
  <c r="F17" i="4" s="1"/>
  <c r="H57" i="3"/>
  <c r="E17" i="4" s="1"/>
  <c r="F57" i="3"/>
  <c r="D57" i="3"/>
  <c r="C17" i="4" s="1"/>
  <c r="BF56" i="3"/>
  <c r="AA16" i="4"/>
  <c r="Z16" i="4"/>
  <c r="Y16" i="4"/>
  <c r="X16" i="4"/>
  <c r="W16" i="4"/>
  <c r="V16" i="4"/>
  <c r="T16" i="4"/>
  <c r="S16" i="4"/>
  <c r="AH56" i="3"/>
  <c r="R16" i="4" s="1"/>
  <c r="Q16" i="4"/>
  <c r="P16" i="4"/>
  <c r="M16" i="4"/>
  <c r="L16" i="4"/>
  <c r="T56" i="3"/>
  <c r="K16" i="4" s="1"/>
  <c r="J16" i="4"/>
  <c r="I16" i="4"/>
  <c r="H16" i="4"/>
  <c r="L56" i="3"/>
  <c r="G16" i="4" s="1"/>
  <c r="J56" i="3"/>
  <c r="F16" i="4" s="1"/>
  <c r="H56" i="3"/>
  <c r="E16" i="4" s="1"/>
  <c r="F56" i="3"/>
  <c r="D56" i="3"/>
  <c r="C16" i="4" s="1"/>
  <c r="BF55" i="3"/>
  <c r="AD15" i="4" s="1"/>
  <c r="AA15" i="4"/>
  <c r="Z15" i="4"/>
  <c r="Y15" i="4"/>
  <c r="X15" i="4"/>
  <c r="W15" i="4"/>
  <c r="V15" i="4"/>
  <c r="T15" i="4"/>
  <c r="S15" i="4"/>
  <c r="AH55" i="3"/>
  <c r="R15" i="4" s="1"/>
  <c r="Q15" i="4"/>
  <c r="P15" i="4"/>
  <c r="M15" i="4"/>
  <c r="L15" i="4"/>
  <c r="T55" i="3"/>
  <c r="K15" i="4" s="1"/>
  <c r="J15" i="4"/>
  <c r="I15" i="4"/>
  <c r="H15" i="4"/>
  <c r="L55" i="3"/>
  <c r="G15" i="4" s="1"/>
  <c r="J55" i="3"/>
  <c r="F15" i="4" s="1"/>
  <c r="H55" i="3"/>
  <c r="E15" i="4" s="1"/>
  <c r="F55" i="3"/>
  <c r="D15" i="4" s="1"/>
  <c r="D55" i="3"/>
  <c r="C15" i="4" s="1"/>
  <c r="BF54" i="3"/>
  <c r="AA14" i="4"/>
  <c r="Z14" i="4"/>
  <c r="Y14" i="4"/>
  <c r="X14" i="4"/>
  <c r="W14" i="4"/>
  <c r="V14" i="4"/>
  <c r="T14" i="4"/>
  <c r="S14" i="4"/>
  <c r="AH54" i="3"/>
  <c r="R14" i="4" s="1"/>
  <c r="Q14" i="4"/>
  <c r="P14" i="4"/>
  <c r="M14" i="4"/>
  <c r="L14" i="4"/>
  <c r="J14" i="4"/>
  <c r="J33" i="4" s="1"/>
  <c r="L54" i="3"/>
  <c r="J54" i="3"/>
  <c r="F14" i="4" s="1"/>
  <c r="H54" i="3"/>
  <c r="E14" i="4" s="1"/>
  <c r="F54" i="3"/>
  <c r="D14" i="4" s="1"/>
  <c r="D54" i="3"/>
  <c r="C14" i="4" s="1"/>
  <c r="BF49" i="3"/>
  <c r="AD10" i="4" s="1"/>
  <c r="Z10" i="4"/>
  <c r="Y10" i="4"/>
  <c r="X10" i="4"/>
  <c r="W10" i="4"/>
  <c r="V10" i="4"/>
  <c r="S10" i="4"/>
  <c r="AH49" i="3"/>
  <c r="R10" i="4" s="1"/>
  <c r="Q10" i="4"/>
  <c r="P10" i="4"/>
  <c r="M10" i="4"/>
  <c r="L10" i="4"/>
  <c r="T49" i="3"/>
  <c r="K10" i="4" s="1"/>
  <c r="J10" i="4"/>
  <c r="L49" i="3"/>
  <c r="J49" i="3"/>
  <c r="F10" i="4" s="1"/>
  <c r="E10" i="4"/>
  <c r="F49" i="3"/>
  <c r="D10" i="4" s="1"/>
  <c r="D49" i="3"/>
  <c r="C10" i="4" s="1"/>
  <c r="BF47" i="3"/>
  <c r="AA8" i="4"/>
  <c r="Z8" i="4"/>
  <c r="Y8" i="4"/>
  <c r="X8" i="4"/>
  <c r="W8" i="4"/>
  <c r="U8" i="4"/>
  <c r="T8" i="4"/>
  <c r="S8" i="4"/>
  <c r="AH47" i="3"/>
  <c r="R8" i="4" s="1"/>
  <c r="Q8" i="4"/>
  <c r="P8" i="4"/>
  <c r="M8" i="4"/>
  <c r="L8" i="4"/>
  <c r="T47" i="3"/>
  <c r="K8" i="4" s="1"/>
  <c r="J8" i="4"/>
  <c r="L47" i="3"/>
  <c r="J47" i="3"/>
  <c r="F8" i="4" s="1"/>
  <c r="H47" i="3"/>
  <c r="E8" i="4" s="1"/>
  <c r="F47" i="3"/>
  <c r="D8" i="4" s="1"/>
  <c r="D47" i="3"/>
  <c r="C8" i="4" s="1"/>
  <c r="BF46" i="3"/>
  <c r="AA7" i="4"/>
  <c r="Z7" i="4"/>
  <c r="Y7" i="4"/>
  <c r="X7" i="4"/>
  <c r="W7" i="4"/>
  <c r="V7" i="4"/>
  <c r="U7" i="4"/>
  <c r="T7" i="4"/>
  <c r="S7" i="4"/>
  <c r="AH46" i="3"/>
  <c r="R7" i="4" s="1"/>
  <c r="Q7" i="4"/>
  <c r="P7" i="4"/>
  <c r="M7" i="4"/>
  <c r="L7" i="4"/>
  <c r="T46" i="3"/>
  <c r="K7" i="4" s="1"/>
  <c r="J7" i="4"/>
  <c r="L46" i="3"/>
  <c r="J46" i="3"/>
  <c r="F7" i="4" s="1"/>
  <c r="H46" i="3"/>
  <c r="E7" i="4" s="1"/>
  <c r="F46" i="3"/>
  <c r="D7" i="4" s="1"/>
  <c r="D46" i="3"/>
  <c r="C7" i="4" s="1"/>
  <c r="BF45" i="3"/>
  <c r="AA6" i="4"/>
  <c r="Z6" i="4"/>
  <c r="Y6" i="4"/>
  <c r="X6" i="4"/>
  <c r="W6" i="4"/>
  <c r="V6" i="4"/>
  <c r="U6" i="4"/>
  <c r="T6" i="4"/>
  <c r="S6" i="4"/>
  <c r="AH45" i="3"/>
  <c r="R6" i="4" s="1"/>
  <c r="Q6" i="4"/>
  <c r="P6" i="4"/>
  <c r="M6" i="4"/>
  <c r="L6" i="4"/>
  <c r="T45" i="3"/>
  <c r="K6" i="4" s="1"/>
  <c r="J6" i="4"/>
  <c r="L45" i="3"/>
  <c r="J45" i="3"/>
  <c r="F6" i="4" s="1"/>
  <c r="H45" i="3"/>
  <c r="E6" i="4" s="1"/>
  <c r="F45" i="3"/>
  <c r="D6" i="4" s="1"/>
  <c r="D45" i="3"/>
  <c r="C6" i="4" s="1"/>
  <c r="BF44" i="3"/>
  <c r="AA5" i="4"/>
  <c r="Z5" i="4"/>
  <c r="Y5" i="4"/>
  <c r="X5" i="4"/>
  <c r="W5" i="4"/>
  <c r="V5" i="4"/>
  <c r="U5" i="4"/>
  <c r="T5" i="4"/>
  <c r="S5" i="4"/>
  <c r="AH44" i="3"/>
  <c r="R5" i="4" s="1"/>
  <c r="Q5" i="4"/>
  <c r="P5" i="4"/>
  <c r="M5" i="4"/>
  <c r="L5" i="4"/>
  <c r="T44" i="3"/>
  <c r="K5" i="4" s="1"/>
  <c r="J5" i="4"/>
  <c r="J44" i="3"/>
  <c r="F5" i="4" s="1"/>
  <c r="H44" i="3"/>
  <c r="E5" i="4" s="1"/>
  <c r="F44" i="3"/>
  <c r="D5" i="4" s="1"/>
  <c r="D44" i="3"/>
  <c r="C5" i="4" s="1"/>
  <c r="BG38" i="3"/>
  <c r="E209" i="2" s="1"/>
  <c r="BF38" i="3"/>
  <c r="D209" i="2" s="1"/>
  <c r="E143" i="2"/>
  <c r="D143" i="2"/>
  <c r="E129" i="2"/>
  <c r="D129" i="2"/>
  <c r="E122" i="2"/>
  <c r="D122" i="2"/>
  <c r="AI38" i="3"/>
  <c r="E115" i="2" s="1"/>
  <c r="AH38" i="3"/>
  <c r="D115" i="2" s="1"/>
  <c r="E108" i="2"/>
  <c r="D108" i="2"/>
  <c r="E73" i="2"/>
  <c r="D73" i="2"/>
  <c r="U38" i="3"/>
  <c r="E66" i="2" s="1"/>
  <c r="T38" i="3"/>
  <c r="D66" i="2" s="1"/>
  <c r="E59" i="2"/>
  <c r="D59" i="2"/>
  <c r="E45" i="2"/>
  <c r="D45" i="2"/>
  <c r="M38" i="3"/>
  <c r="E38" i="2" s="1"/>
  <c r="K38" i="3"/>
  <c r="E31" i="2" s="1"/>
  <c r="J38" i="3"/>
  <c r="D31" i="2" s="1"/>
  <c r="I38" i="3"/>
  <c r="E24" i="2" s="1"/>
  <c r="H38" i="3"/>
  <c r="D24" i="2" s="1"/>
  <c r="G38" i="3"/>
  <c r="F38" i="3"/>
  <c r="E38" i="3"/>
  <c r="E10" i="2" s="1"/>
  <c r="D38" i="3"/>
  <c r="D10" i="2" s="1"/>
  <c r="BG36" i="3"/>
  <c r="E207" i="2" s="1"/>
  <c r="BF36" i="3"/>
  <c r="D207" i="2" s="1"/>
  <c r="E141" i="2"/>
  <c r="D141" i="2"/>
  <c r="E127" i="2"/>
  <c r="D127" i="2"/>
  <c r="E120" i="2"/>
  <c r="D120" i="2"/>
  <c r="AI36" i="3"/>
  <c r="E113" i="2" s="1"/>
  <c r="AH36" i="3"/>
  <c r="D113" i="2" s="1"/>
  <c r="E106" i="2"/>
  <c r="D106" i="2"/>
  <c r="E71" i="2"/>
  <c r="D71" i="2"/>
  <c r="U36" i="3"/>
  <c r="E64" i="2" s="1"/>
  <c r="T36" i="3"/>
  <c r="D64" i="2" s="1"/>
  <c r="E57" i="2"/>
  <c r="D57" i="2"/>
  <c r="E43" i="2"/>
  <c r="D43" i="2"/>
  <c r="M36" i="3"/>
  <c r="E36" i="2" s="1"/>
  <c r="K36" i="3"/>
  <c r="E29" i="2" s="1"/>
  <c r="J36" i="3"/>
  <c r="D29" i="2" s="1"/>
  <c r="I36" i="3"/>
  <c r="E22" i="2" s="1"/>
  <c r="H36" i="3"/>
  <c r="D22" i="2" s="1"/>
  <c r="G36" i="3"/>
  <c r="F36" i="3"/>
  <c r="E36" i="3"/>
  <c r="E8" i="2" s="1"/>
  <c r="D36" i="3"/>
  <c r="D8" i="2" s="1"/>
  <c r="BG35" i="3"/>
  <c r="E140" i="2"/>
  <c r="D140" i="2"/>
  <c r="E126" i="2"/>
  <c r="D126" i="2"/>
  <c r="E119" i="2"/>
  <c r="D119" i="2"/>
  <c r="AI35" i="3"/>
  <c r="E112" i="2" s="1"/>
  <c r="AH35" i="3"/>
  <c r="D112" i="2" s="1"/>
  <c r="E105" i="2"/>
  <c r="D105" i="2"/>
  <c r="U35" i="3"/>
  <c r="E63" i="2" s="1"/>
  <c r="T35" i="3"/>
  <c r="D63" i="2" s="1"/>
  <c r="E56" i="2"/>
  <c r="D56" i="2"/>
  <c r="E42" i="2"/>
  <c r="D42" i="2"/>
  <c r="M35" i="3"/>
  <c r="E35" i="2" s="1"/>
  <c r="K35" i="3"/>
  <c r="E28" i="2" s="1"/>
  <c r="J35" i="3"/>
  <c r="D28" i="2" s="1"/>
  <c r="I35" i="3"/>
  <c r="E21" i="2" s="1"/>
  <c r="H35" i="3"/>
  <c r="D21" i="2" s="1"/>
  <c r="G35" i="3"/>
  <c r="F35" i="3"/>
  <c r="E35" i="3"/>
  <c r="E7" i="2" s="1"/>
  <c r="D35" i="3"/>
  <c r="E139" i="2"/>
  <c r="D139" i="2"/>
  <c r="E125" i="2"/>
  <c r="D125" i="2"/>
  <c r="E118" i="2"/>
  <c r="D118" i="2"/>
  <c r="AI34" i="3"/>
  <c r="E111" i="2" s="1"/>
  <c r="AH34" i="3"/>
  <c r="D111" i="2" s="1"/>
  <c r="E104" i="2"/>
  <c r="D104" i="2"/>
  <c r="E69" i="2"/>
  <c r="D69" i="2"/>
  <c r="U34" i="3"/>
  <c r="E62" i="2" s="1"/>
  <c r="T34" i="3"/>
  <c r="D62" i="2" s="1"/>
  <c r="E55" i="2"/>
  <c r="D55" i="2"/>
  <c r="E41" i="2"/>
  <c r="D41" i="2"/>
  <c r="M34" i="3"/>
  <c r="E34" i="2" s="1"/>
  <c r="K34" i="3"/>
  <c r="E27" i="2" s="1"/>
  <c r="J34" i="3"/>
  <c r="D27" i="2" s="1"/>
  <c r="I34" i="3"/>
  <c r="E20" i="2" s="1"/>
  <c r="H34" i="3"/>
  <c r="D20" i="2" s="1"/>
  <c r="G34" i="3"/>
  <c r="F34" i="3"/>
  <c r="E34" i="3"/>
  <c r="E6" i="2" s="1"/>
  <c r="D34" i="3"/>
  <c r="D6" i="2" s="1"/>
  <c r="BG33" i="3"/>
  <c r="BF33" i="3"/>
  <c r="D204" i="2" s="1"/>
  <c r="E138" i="2"/>
  <c r="E124" i="2"/>
  <c r="D124" i="2"/>
  <c r="E117" i="2"/>
  <c r="D117" i="2"/>
  <c r="AI33" i="3"/>
  <c r="E110" i="2" s="1"/>
  <c r="AH33" i="3"/>
  <c r="D110" i="2" s="1"/>
  <c r="E68" i="2"/>
  <c r="D68" i="2"/>
  <c r="U33" i="3"/>
  <c r="D54" i="2"/>
  <c r="M33" i="3"/>
  <c r="K33" i="3"/>
  <c r="J33" i="3"/>
  <c r="D26" i="2" s="1"/>
  <c r="I33" i="3"/>
  <c r="H33" i="3"/>
  <c r="G33" i="3"/>
  <c r="F33" i="3"/>
  <c r="E33" i="3"/>
  <c r="D33" i="3"/>
  <c r="D5" i="2" s="1"/>
  <c r="AA31" i="4" l="1"/>
  <c r="AA34" i="4"/>
  <c r="AA32" i="4"/>
  <c r="AA37" i="4" s="1"/>
  <c r="AA33" i="4"/>
  <c r="AA35" i="4" s="1"/>
  <c r="AB31" i="4"/>
  <c r="AB34" i="4"/>
  <c r="AC32" i="4"/>
  <c r="AC33" i="4"/>
  <c r="AB32" i="4"/>
  <c r="AB37" i="4" s="1"/>
  <c r="AB33" i="4"/>
  <c r="AB35" i="4" s="1"/>
  <c r="E206" i="2"/>
  <c r="BG41" i="3"/>
  <c r="AC31" i="4"/>
  <c r="AC34" i="4"/>
  <c r="Z31" i="4"/>
  <c r="Z34" i="4"/>
  <c r="Z32" i="4"/>
  <c r="Z33" i="4"/>
  <c r="D208" i="2"/>
  <c r="D212" i="2" s="1"/>
  <c r="BF41" i="3"/>
  <c r="X33" i="4"/>
  <c r="X35" i="4" s="1"/>
  <c r="T33" i="4"/>
  <c r="T35" i="4" s="1"/>
  <c r="N33" i="4"/>
  <c r="N35" i="4" s="1"/>
  <c r="O33" i="4"/>
  <c r="M33" i="4"/>
  <c r="M35" i="4" s="1"/>
  <c r="R33" i="4"/>
  <c r="R35" i="4" s="1"/>
  <c r="Q33" i="4"/>
  <c r="Q35" i="4" s="1"/>
  <c r="S33" i="4"/>
  <c r="S35" i="4" s="1"/>
  <c r="V33" i="4"/>
  <c r="W33" i="4"/>
  <c r="P33" i="4"/>
  <c r="L33" i="4"/>
  <c r="L35" i="4" s="1"/>
  <c r="K33" i="4"/>
  <c r="K35" i="4" s="1"/>
  <c r="C33" i="4"/>
  <c r="X31" i="4"/>
  <c r="X34" i="4"/>
  <c r="X32" i="4"/>
  <c r="Q32" i="4"/>
  <c r="Q37" i="4" s="1"/>
  <c r="Q31" i="4"/>
  <c r="Q34" i="4"/>
  <c r="E109" i="2"/>
  <c r="E33" i="4"/>
  <c r="E35" i="4" s="1"/>
  <c r="F33" i="4"/>
  <c r="F35" i="4" s="1"/>
  <c r="C32" i="4"/>
  <c r="C31" i="4"/>
  <c r="I241" i="2"/>
  <c r="D7" i="2"/>
  <c r="I239" i="2" s="1"/>
  <c r="D41" i="3"/>
  <c r="J240" i="2"/>
  <c r="I242" i="2"/>
  <c r="I240" i="2"/>
  <c r="I238" i="2"/>
  <c r="J238" i="2"/>
  <c r="Y37" i="4"/>
  <c r="E34" i="4"/>
  <c r="D34" i="4"/>
  <c r="J34" i="4"/>
  <c r="C34" i="4"/>
  <c r="M34" i="4"/>
  <c r="J241" i="2"/>
  <c r="J242" i="2"/>
  <c r="J32" i="4"/>
  <c r="J37" i="4" s="1"/>
  <c r="J31" i="4"/>
  <c r="D60" i="2"/>
  <c r="M32" i="4"/>
  <c r="M37" i="4" s="1"/>
  <c r="M31" i="4"/>
  <c r="I24" i="2"/>
  <c r="K24" i="2" s="1"/>
  <c r="G24" i="2"/>
  <c r="J24" i="2" s="1"/>
  <c r="F41" i="3"/>
  <c r="E18" i="2"/>
  <c r="G41" i="3"/>
  <c r="D31" i="4"/>
  <c r="E5" i="2"/>
  <c r="E11" i="2" s="1"/>
  <c r="E41" i="3"/>
  <c r="D144" i="2"/>
  <c r="E204" i="2"/>
  <c r="E212" i="2" s="1"/>
  <c r="Z37" i="4"/>
  <c r="AC37" i="4"/>
  <c r="I41" i="3"/>
  <c r="E31" i="4"/>
  <c r="D19" i="2"/>
  <c r="H41" i="3"/>
  <c r="E32" i="4"/>
  <c r="E37" i="4" s="1"/>
  <c r="L34" i="4"/>
  <c r="E61" i="2"/>
  <c r="E67" i="2" s="1"/>
  <c r="U41" i="3"/>
  <c r="E70" i="2"/>
  <c r="E74" i="2" s="1"/>
  <c r="L31" i="4"/>
  <c r="L32" i="4"/>
  <c r="L37" i="4" s="1"/>
  <c r="V41" i="3"/>
  <c r="W41" i="3"/>
  <c r="D74" i="2"/>
  <c r="U34" i="4"/>
  <c r="T34" i="4"/>
  <c r="I207" i="2"/>
  <c r="G207" i="2"/>
  <c r="J207" i="2" s="1"/>
  <c r="L207" i="2" s="1"/>
  <c r="I205" i="2"/>
  <c r="G205" i="2"/>
  <c r="J205" i="2" s="1"/>
  <c r="L205" i="2" s="1"/>
  <c r="G209" i="2"/>
  <c r="J209" i="2" s="1"/>
  <c r="L209" i="2" s="1"/>
  <c r="I209" i="2"/>
  <c r="G208" i="2"/>
  <c r="J208" i="2" s="1"/>
  <c r="L208" i="2" s="1"/>
  <c r="I164" i="2"/>
  <c r="G164" i="2"/>
  <c r="J164" i="2" s="1"/>
  <c r="L164" i="2" s="1"/>
  <c r="G142" i="2"/>
  <c r="J142" i="2" s="1"/>
  <c r="L142" i="2" s="1"/>
  <c r="I142" i="2"/>
  <c r="I140" i="2"/>
  <c r="G140" i="2"/>
  <c r="J140" i="2" s="1"/>
  <c r="L140" i="2" s="1"/>
  <c r="I139" i="2"/>
  <c r="G139" i="2"/>
  <c r="J139" i="2" s="1"/>
  <c r="L139" i="2" s="1"/>
  <c r="I149" i="2"/>
  <c r="G149" i="2"/>
  <c r="J149" i="2" s="1"/>
  <c r="L149" i="2" s="1"/>
  <c r="G147" i="2"/>
  <c r="J147" i="2" s="1"/>
  <c r="L147" i="2" s="1"/>
  <c r="I147" i="2"/>
  <c r="I141" i="2"/>
  <c r="G141" i="2"/>
  <c r="J141" i="2" s="1"/>
  <c r="L141" i="2" s="1"/>
  <c r="I145" i="2"/>
  <c r="G145" i="2"/>
  <c r="J145" i="2" s="1"/>
  <c r="W145" i="2" s="1"/>
  <c r="I146" i="2"/>
  <c r="G146" i="2"/>
  <c r="J146" i="2" s="1"/>
  <c r="L146" i="2" s="1"/>
  <c r="I148" i="2"/>
  <c r="G148" i="2"/>
  <c r="J148" i="2" s="1"/>
  <c r="L148" i="2" s="1"/>
  <c r="G143" i="2"/>
  <c r="J143" i="2" s="1"/>
  <c r="L143" i="2" s="1"/>
  <c r="I143" i="2"/>
  <c r="G163" i="2"/>
  <c r="J163" i="2" s="1"/>
  <c r="L163" i="2" s="1"/>
  <c r="I163" i="2"/>
  <c r="G160" i="2"/>
  <c r="J160" i="2" s="1"/>
  <c r="L160" i="2" s="1"/>
  <c r="I160" i="2"/>
  <c r="G161" i="2"/>
  <c r="J161" i="2" s="1"/>
  <c r="L161" i="2" s="1"/>
  <c r="I161" i="2"/>
  <c r="G159" i="2"/>
  <c r="I159" i="2"/>
  <c r="G150" i="2"/>
  <c r="J150" i="2" s="1"/>
  <c r="L150" i="2" s="1"/>
  <c r="I150" i="2"/>
  <c r="I162" i="2"/>
  <c r="G162" i="2"/>
  <c r="J162" i="2" s="1"/>
  <c r="L162" i="2" s="1"/>
  <c r="I138" i="2"/>
  <c r="G138" i="2"/>
  <c r="J138" i="2" s="1"/>
  <c r="W138" i="2" s="1"/>
  <c r="I122" i="2"/>
  <c r="G122" i="2"/>
  <c r="J122" i="2" s="1"/>
  <c r="L122" i="2" s="1"/>
  <c r="I120" i="2"/>
  <c r="G120" i="2"/>
  <c r="J120" i="2" s="1"/>
  <c r="L120" i="2" s="1"/>
  <c r="G121" i="2"/>
  <c r="J121" i="2" s="1"/>
  <c r="L121" i="2" s="1"/>
  <c r="I121" i="2"/>
  <c r="G119" i="2"/>
  <c r="J119" i="2" s="1"/>
  <c r="L119" i="2" s="1"/>
  <c r="I119" i="2"/>
  <c r="G117" i="2"/>
  <c r="J117" i="2" s="1"/>
  <c r="W117" i="2" s="1"/>
  <c r="I117" i="2"/>
  <c r="G118" i="2"/>
  <c r="J118" i="2" s="1"/>
  <c r="I118" i="2"/>
  <c r="I115" i="2"/>
  <c r="G115" i="2"/>
  <c r="J115" i="2" s="1"/>
  <c r="L115" i="2" s="1"/>
  <c r="I114" i="2"/>
  <c r="G114" i="2"/>
  <c r="J114" i="2" s="1"/>
  <c r="L114" i="2" s="1"/>
  <c r="G110" i="2"/>
  <c r="J110" i="2" s="1"/>
  <c r="W110" i="2" s="1"/>
  <c r="I110" i="2"/>
  <c r="G111" i="2"/>
  <c r="J111" i="2" s="1"/>
  <c r="W111" i="2" s="1"/>
  <c r="I111" i="2"/>
  <c r="I112" i="2"/>
  <c r="G112" i="2"/>
  <c r="J112" i="2" s="1"/>
  <c r="L112" i="2" s="1"/>
  <c r="I113" i="2"/>
  <c r="G113" i="2"/>
  <c r="J113" i="2" s="1"/>
  <c r="L113" i="2" s="1"/>
  <c r="G93" i="2"/>
  <c r="J93" i="2" s="1"/>
  <c r="L93" i="2" s="1"/>
  <c r="I93" i="2"/>
  <c r="I89" i="2"/>
  <c r="G89" i="2"/>
  <c r="J89" i="2" s="1"/>
  <c r="W89" i="2" s="1"/>
  <c r="I90" i="2"/>
  <c r="G90" i="2"/>
  <c r="J90" i="2" s="1"/>
  <c r="L90" i="2" s="1"/>
  <c r="G91" i="2"/>
  <c r="J91" i="2" s="1"/>
  <c r="L91" i="2" s="1"/>
  <c r="I91" i="2"/>
  <c r="I92" i="2"/>
  <c r="G92" i="2"/>
  <c r="J92" i="2" s="1"/>
  <c r="L92" i="2" s="1"/>
  <c r="I94" i="2"/>
  <c r="G94" i="2"/>
  <c r="J94" i="2" s="1"/>
  <c r="L94" i="2" s="1"/>
  <c r="P34" i="4"/>
  <c r="O34" i="4"/>
  <c r="R34" i="4"/>
  <c r="V34" i="4"/>
  <c r="S34" i="4"/>
  <c r="W34" i="4"/>
  <c r="N34" i="4"/>
  <c r="K34" i="4"/>
  <c r="F34" i="4"/>
  <c r="N32" i="4"/>
  <c r="N37" i="4" s="1"/>
  <c r="G125" i="2"/>
  <c r="J125" i="2" s="1"/>
  <c r="W125" i="2" s="1"/>
  <c r="I125" i="2"/>
  <c r="I128" i="2"/>
  <c r="G128" i="2"/>
  <c r="J128" i="2" s="1"/>
  <c r="L128" i="2" s="1"/>
  <c r="I126" i="2"/>
  <c r="G126" i="2"/>
  <c r="J126" i="2" s="1"/>
  <c r="L126" i="2" s="1"/>
  <c r="I124" i="2"/>
  <c r="G124" i="2"/>
  <c r="D130" i="2"/>
  <c r="I127" i="2"/>
  <c r="G127" i="2"/>
  <c r="J127" i="2" s="1"/>
  <c r="L127" i="2" s="1"/>
  <c r="E130" i="2"/>
  <c r="I129" i="2"/>
  <c r="G129" i="2"/>
  <c r="J129" i="2" s="1"/>
  <c r="L129" i="2" s="1"/>
  <c r="I13" i="2"/>
  <c r="G13" i="2"/>
  <c r="J13" i="2" s="1"/>
  <c r="L13" i="2" s="1"/>
  <c r="G16" i="2"/>
  <c r="J16" i="2" s="1"/>
  <c r="L16" i="2" s="1"/>
  <c r="I16" i="2"/>
  <c r="G15" i="2"/>
  <c r="J15" i="2" s="1"/>
  <c r="L15" i="2" s="1"/>
  <c r="I15" i="2"/>
  <c r="I14" i="2"/>
  <c r="G14" i="2"/>
  <c r="J14" i="2" s="1"/>
  <c r="L14" i="2" s="1"/>
  <c r="I17" i="2"/>
  <c r="G17" i="2"/>
  <c r="J17" i="2" s="1"/>
  <c r="L17" i="2" s="1"/>
  <c r="D67" i="2"/>
  <c r="E33" i="2"/>
  <c r="E39" i="2" s="1"/>
  <c r="M41" i="3"/>
  <c r="Q41" i="3"/>
  <c r="D116" i="2"/>
  <c r="AH41" i="3"/>
  <c r="T41" i="3"/>
  <c r="E82" i="2"/>
  <c r="E88" i="2" s="1"/>
  <c r="AA41" i="3"/>
  <c r="D40" i="2"/>
  <c r="N41" i="3"/>
  <c r="E116" i="2"/>
  <c r="AI41" i="3"/>
  <c r="AP41" i="3"/>
  <c r="AB41" i="3"/>
  <c r="D32" i="2"/>
  <c r="J41" i="3"/>
  <c r="E40" i="2"/>
  <c r="E46" i="2" s="1"/>
  <c r="O41" i="3"/>
  <c r="E54" i="2"/>
  <c r="D103" i="2"/>
  <c r="D109" i="2" s="1"/>
  <c r="AJ41" i="3"/>
  <c r="E144" i="2"/>
  <c r="AQ41" i="3"/>
  <c r="AC41" i="3"/>
  <c r="E131" i="2"/>
  <c r="E137" i="2" s="1"/>
  <c r="AO41" i="3"/>
  <c r="D102" i="2"/>
  <c r="AD41" i="3"/>
  <c r="AL41" i="3"/>
  <c r="E151" i="2"/>
  <c r="AS41" i="3"/>
  <c r="E19" i="2"/>
  <c r="E25" i="2" s="1"/>
  <c r="AE41" i="3"/>
  <c r="AM41" i="3"/>
  <c r="D33" i="2"/>
  <c r="L41" i="3"/>
  <c r="E26" i="2"/>
  <c r="E32" i="2" s="1"/>
  <c r="K41" i="3"/>
  <c r="P41" i="3"/>
  <c r="AK41" i="3"/>
  <c r="AR41" i="3"/>
  <c r="D82" i="2"/>
  <c r="D88" i="2" s="1"/>
  <c r="Z41" i="3"/>
  <c r="D131" i="2"/>
  <c r="D137" i="2" s="1"/>
  <c r="AN41" i="3"/>
  <c r="K32" i="4"/>
  <c r="K37" i="4" s="1"/>
  <c r="K31" i="4"/>
  <c r="U35" i="4"/>
  <c r="AD5" i="4"/>
  <c r="AD6" i="4"/>
  <c r="AD7" i="4"/>
  <c r="AD8" i="4"/>
  <c r="AD14" i="4"/>
  <c r="AD16" i="4"/>
  <c r="AD17" i="4"/>
  <c r="AD18" i="4"/>
  <c r="I23" i="2"/>
  <c r="M23" i="2" s="1"/>
  <c r="G23" i="2"/>
  <c r="J23" i="2" s="1"/>
  <c r="L23" i="2" s="1"/>
  <c r="I20" i="2"/>
  <c r="M20" i="2" s="1"/>
  <c r="G20" i="2"/>
  <c r="J20" i="2" s="1"/>
  <c r="G22" i="2"/>
  <c r="J22" i="2" s="1"/>
  <c r="L22" i="2" s="1"/>
  <c r="I22" i="2"/>
  <c r="M22" i="2" s="1"/>
  <c r="I21" i="2"/>
  <c r="M21" i="2" s="1"/>
  <c r="G21" i="2"/>
  <c r="J21" i="2" s="1"/>
  <c r="L21" i="2" s="1"/>
  <c r="I58" i="2"/>
  <c r="M58" i="2" s="1"/>
  <c r="G58" i="2"/>
  <c r="J58" i="2" s="1"/>
  <c r="L58" i="2" s="1"/>
  <c r="I56" i="2"/>
  <c r="M56" i="2" s="1"/>
  <c r="G56" i="2"/>
  <c r="J56" i="2" s="1"/>
  <c r="L56" i="2" s="1"/>
  <c r="I59" i="2"/>
  <c r="M59" i="2" s="1"/>
  <c r="G59" i="2"/>
  <c r="J59" i="2" s="1"/>
  <c r="L59" i="2" s="1"/>
  <c r="I55" i="2"/>
  <c r="M55" i="2" s="1"/>
  <c r="G55" i="2"/>
  <c r="J55" i="2" s="1"/>
  <c r="W55" i="2" s="1"/>
  <c r="I57" i="2"/>
  <c r="M57" i="2" s="1"/>
  <c r="G57" i="2"/>
  <c r="J57" i="2" s="1"/>
  <c r="L57" i="2" s="1"/>
  <c r="G41" i="2"/>
  <c r="J41" i="2" s="1"/>
  <c r="W41" i="2" s="1"/>
  <c r="I41" i="2"/>
  <c r="M41" i="2" s="1"/>
  <c r="G42" i="2"/>
  <c r="J42" i="2" s="1"/>
  <c r="L42" i="2" s="1"/>
  <c r="I42" i="2"/>
  <c r="M42" i="2" s="1"/>
  <c r="G45" i="2"/>
  <c r="J45" i="2" s="1"/>
  <c r="L45" i="2" s="1"/>
  <c r="I45" i="2"/>
  <c r="M45" i="2" s="1"/>
  <c r="G44" i="2"/>
  <c r="J44" i="2" s="1"/>
  <c r="L44" i="2" s="1"/>
  <c r="I44" i="2"/>
  <c r="M44" i="2" s="1"/>
  <c r="I43" i="2"/>
  <c r="M43" i="2" s="1"/>
  <c r="G43" i="2"/>
  <c r="J43" i="2" s="1"/>
  <c r="L43" i="2" s="1"/>
  <c r="G38" i="2"/>
  <c r="J38" i="2" s="1"/>
  <c r="L38" i="2" s="1"/>
  <c r="I38" i="2"/>
  <c r="M38" i="2" s="1"/>
  <c r="I37" i="2"/>
  <c r="M37" i="2" s="1"/>
  <c r="G37" i="2"/>
  <c r="J37" i="2" s="1"/>
  <c r="L37" i="2" s="1"/>
  <c r="D16" i="4"/>
  <c r="D17" i="4"/>
  <c r="G64" i="2"/>
  <c r="J64" i="2" s="1"/>
  <c r="L64" i="2" s="1"/>
  <c r="I64" i="2"/>
  <c r="M64" i="2" s="1"/>
  <c r="G63" i="2"/>
  <c r="J63" i="2" s="1"/>
  <c r="L63" i="2" s="1"/>
  <c r="I63" i="2"/>
  <c r="M63" i="2" s="1"/>
  <c r="G62" i="2"/>
  <c r="I62" i="2"/>
  <c r="M62" i="2" s="1"/>
  <c r="G65" i="2"/>
  <c r="J65" i="2" s="1"/>
  <c r="L65" i="2" s="1"/>
  <c r="I65" i="2"/>
  <c r="M65" i="2" s="1"/>
  <c r="I5" i="4"/>
  <c r="I6" i="4"/>
  <c r="I7" i="4"/>
  <c r="I8" i="4"/>
  <c r="I10" i="4"/>
  <c r="I14" i="4"/>
  <c r="I33" i="4" s="1"/>
  <c r="I66" i="2"/>
  <c r="M66" i="2" s="1"/>
  <c r="O32" i="4"/>
  <c r="U32" i="4"/>
  <c r="U37" i="4" s="1"/>
  <c r="W32" i="4"/>
  <c r="W37" i="4" s="1"/>
  <c r="S32" i="4"/>
  <c r="S37" i="4" s="1"/>
  <c r="F32" i="4"/>
  <c r="F37" i="4" s="1"/>
  <c r="T32" i="4"/>
  <c r="T37" i="4" s="1"/>
  <c r="V32" i="4"/>
  <c r="V37" i="4" s="1"/>
  <c r="P32" i="4"/>
  <c r="P37" i="4" s="1"/>
  <c r="R32" i="4"/>
  <c r="I105" i="2"/>
  <c r="M105" i="2" s="1"/>
  <c r="G105" i="2"/>
  <c r="J105" i="2" s="1"/>
  <c r="W105" i="2" s="1"/>
  <c r="I106" i="2"/>
  <c r="M106" i="2" s="1"/>
  <c r="G106" i="2"/>
  <c r="J106" i="2" s="1"/>
  <c r="W106" i="2" s="1"/>
  <c r="I108" i="2"/>
  <c r="M108" i="2" s="1"/>
  <c r="G108" i="2"/>
  <c r="J108" i="2" s="1"/>
  <c r="L108" i="2" s="1"/>
  <c r="I104" i="2"/>
  <c r="M104" i="2" s="1"/>
  <c r="G104" i="2"/>
  <c r="J104" i="2" s="1"/>
  <c r="L104" i="2" s="1"/>
  <c r="I107" i="2"/>
  <c r="M107" i="2" s="1"/>
  <c r="G107" i="2"/>
  <c r="J107" i="2" s="1"/>
  <c r="L107" i="2" s="1"/>
  <c r="A47" i="2"/>
  <c r="A54" i="2" s="1"/>
  <c r="A61" i="2" s="1"/>
  <c r="A68" i="2" s="1"/>
  <c r="I29" i="2"/>
  <c r="M29" i="2" s="1"/>
  <c r="G29" i="2"/>
  <c r="J29" i="2" s="1"/>
  <c r="L29" i="2" s="1"/>
  <c r="G28" i="2"/>
  <c r="J28" i="2" s="1"/>
  <c r="L28" i="2" s="1"/>
  <c r="I28" i="2"/>
  <c r="M28" i="2" s="1"/>
  <c r="G31" i="2"/>
  <c r="J31" i="2" s="1"/>
  <c r="L31" i="2" s="1"/>
  <c r="I31" i="2"/>
  <c r="M31" i="2" s="1"/>
  <c r="I27" i="2"/>
  <c r="M27" i="2" s="1"/>
  <c r="G27" i="2"/>
  <c r="J27" i="2" s="1"/>
  <c r="W27" i="2" s="1"/>
  <c r="I30" i="2"/>
  <c r="M30" i="2" s="1"/>
  <c r="G30" i="2"/>
  <c r="J30" i="2" s="1"/>
  <c r="L30" i="2" s="1"/>
  <c r="H5" i="4"/>
  <c r="H6" i="4"/>
  <c r="H7" i="4"/>
  <c r="H8" i="4"/>
  <c r="H10" i="4"/>
  <c r="H14" i="4"/>
  <c r="H33" i="4" s="1"/>
  <c r="G6" i="4"/>
  <c r="G7" i="4"/>
  <c r="G8" i="4"/>
  <c r="G10" i="4"/>
  <c r="G14" i="4"/>
  <c r="G33" i="4" s="1"/>
  <c r="G5" i="4"/>
  <c r="D251" i="2"/>
  <c r="G71" i="2"/>
  <c r="J71" i="2" s="1"/>
  <c r="L71" i="2" s="1"/>
  <c r="D242" i="2"/>
  <c r="E242" i="2" s="1"/>
  <c r="I8" i="2"/>
  <c r="G85" i="2"/>
  <c r="J85" i="2" s="1"/>
  <c r="L85" i="2" s="1"/>
  <c r="I71" i="2"/>
  <c r="I10" i="2"/>
  <c r="G73" i="2"/>
  <c r="J73" i="2" s="1"/>
  <c r="L73" i="2" s="1"/>
  <c r="I73" i="2"/>
  <c r="F242" i="2"/>
  <c r="G242" i="2" s="1"/>
  <c r="D238" i="2"/>
  <c r="E238" i="2" s="1"/>
  <c r="P31" i="4"/>
  <c r="G8" i="2"/>
  <c r="J8" i="2" s="1"/>
  <c r="D239" i="2"/>
  <c r="E239" i="2" s="1"/>
  <c r="N31" i="4"/>
  <c r="I83" i="2"/>
  <c r="M83" i="2" s="1"/>
  <c r="G83" i="2"/>
  <c r="J83" i="2" s="1"/>
  <c r="F31" i="4"/>
  <c r="G10" i="2"/>
  <c r="J10" i="2" s="1"/>
  <c r="I69" i="2"/>
  <c r="M69" i="2" s="1"/>
  <c r="G72" i="2"/>
  <c r="J72" i="2" s="1"/>
  <c r="L72" i="2" s="1"/>
  <c r="I155" i="2"/>
  <c r="M155" i="2" s="1"/>
  <c r="G155" i="2"/>
  <c r="J155" i="2" s="1"/>
  <c r="I153" i="2"/>
  <c r="M153" i="2" s="1"/>
  <c r="G153" i="2"/>
  <c r="J153" i="2" s="1"/>
  <c r="W153" i="2" s="1"/>
  <c r="I157" i="2"/>
  <c r="M157" i="2" s="1"/>
  <c r="G157" i="2"/>
  <c r="J157" i="2" s="1"/>
  <c r="I156" i="2"/>
  <c r="M156" i="2" s="1"/>
  <c r="G156" i="2"/>
  <c r="J156" i="2" s="1"/>
  <c r="D237" i="2"/>
  <c r="F238" i="2"/>
  <c r="G238" i="2" s="1"/>
  <c r="G239" i="2"/>
  <c r="G9" i="2"/>
  <c r="J9" i="2" s="1"/>
  <c r="I9" i="2"/>
  <c r="I86" i="2"/>
  <c r="M86" i="2" s="1"/>
  <c r="G86" i="2"/>
  <c r="J86" i="2" s="1"/>
  <c r="L86" i="2" s="1"/>
  <c r="G69" i="2"/>
  <c r="J69" i="2" s="1"/>
  <c r="W69" i="2" s="1"/>
  <c r="I72" i="2"/>
  <c r="M72" i="2" s="1"/>
  <c r="I84" i="2"/>
  <c r="M84" i="2" s="1"/>
  <c r="G84" i="2"/>
  <c r="J84" i="2" s="1"/>
  <c r="L84" i="2" s="1"/>
  <c r="O31" i="4"/>
  <c r="I87" i="2"/>
  <c r="M87" i="2" s="1"/>
  <c r="G87" i="2"/>
  <c r="J87" i="2" s="1"/>
  <c r="L87" i="2" s="1"/>
  <c r="I85" i="2"/>
  <c r="M85" i="2" s="1"/>
  <c r="B22" i="13"/>
  <c r="B29" i="13"/>
  <c r="B15" i="13"/>
  <c r="B14" i="13"/>
  <c r="W31" i="4"/>
  <c r="V31" i="4"/>
  <c r="N144" i="2"/>
  <c r="B23" i="13" s="1"/>
  <c r="F237" i="2"/>
  <c r="F246" i="2" s="1"/>
  <c r="F241" i="2"/>
  <c r="G240" i="2"/>
  <c r="D240" i="2"/>
  <c r="E240" i="2" s="1"/>
  <c r="D241" i="2"/>
  <c r="I134" i="2"/>
  <c r="M134" i="2" s="1"/>
  <c r="G134" i="2"/>
  <c r="U31" i="4"/>
  <c r="G132" i="2"/>
  <c r="I132" i="2"/>
  <c r="M132" i="2" s="1"/>
  <c r="G133" i="2"/>
  <c r="I133" i="2"/>
  <c r="M133" i="2" s="1"/>
  <c r="G135" i="2"/>
  <c r="J135" i="2" s="1"/>
  <c r="L135" i="2" s="1"/>
  <c r="I135" i="2"/>
  <c r="M135" i="2" s="1"/>
  <c r="T31" i="4"/>
  <c r="S31" i="4"/>
  <c r="R31" i="4"/>
  <c r="G206" i="2" l="1"/>
  <c r="I206" i="2"/>
  <c r="AD32" i="4"/>
  <c r="AD37" i="4" s="1"/>
  <c r="AD33" i="4"/>
  <c r="AD31" i="4"/>
  <c r="AD34" i="4"/>
  <c r="I208" i="2"/>
  <c r="K208" i="2" s="1"/>
  <c r="I167" i="2"/>
  <c r="G167" i="2"/>
  <c r="L105" i="2"/>
  <c r="L111" i="2"/>
  <c r="L106" i="2"/>
  <c r="G7" i="2"/>
  <c r="J7" i="2" s="1"/>
  <c r="L7" i="2" s="1"/>
  <c r="D11" i="2"/>
  <c r="I7" i="2"/>
  <c r="K7" i="2" s="1"/>
  <c r="D33" i="4"/>
  <c r="D35" i="4" s="1"/>
  <c r="E237" i="2"/>
  <c r="D246" i="2"/>
  <c r="D6" i="11" s="1"/>
  <c r="L125" i="2"/>
  <c r="H7" i="13"/>
  <c r="H12" i="13"/>
  <c r="H19" i="13"/>
  <c r="H15" i="13"/>
  <c r="I237" i="2"/>
  <c r="I246" i="2" s="1"/>
  <c r="H18" i="13"/>
  <c r="H22" i="13"/>
  <c r="H13" i="13"/>
  <c r="H31" i="13"/>
  <c r="H23" i="13"/>
  <c r="H21" i="13"/>
  <c r="J237" i="2"/>
  <c r="J239" i="2"/>
  <c r="L118" i="2"/>
  <c r="W118" i="2"/>
  <c r="K241" i="2"/>
  <c r="K240" i="2"/>
  <c r="L240" i="2" s="1"/>
  <c r="M241" i="2"/>
  <c r="M240" i="2"/>
  <c r="N240" i="2" s="1"/>
  <c r="D18" i="2"/>
  <c r="H5" i="13" s="1"/>
  <c r="K238" i="2"/>
  <c r="L238" i="2" s="1"/>
  <c r="M238" i="2"/>
  <c r="N238" i="2" s="1"/>
  <c r="M242" i="2"/>
  <c r="N242" i="2" s="1"/>
  <c r="K242" i="2"/>
  <c r="L242" i="2" s="1"/>
  <c r="L117" i="2"/>
  <c r="G54" i="2"/>
  <c r="G60" i="2" s="1"/>
  <c r="E60" i="2"/>
  <c r="H11" i="13" s="1"/>
  <c r="L145" i="2"/>
  <c r="L110" i="2"/>
  <c r="L10" i="2"/>
  <c r="L8" i="2"/>
  <c r="M9" i="2"/>
  <c r="L9" i="2"/>
  <c r="A75" i="2"/>
  <c r="A82" i="2" s="1"/>
  <c r="A89" i="2" s="1"/>
  <c r="A96" i="2" s="1"/>
  <c r="A103" i="2" s="1"/>
  <c r="A110" i="2" s="1"/>
  <c r="A117" i="2" s="1"/>
  <c r="A124" i="2" s="1"/>
  <c r="A131" i="2" s="1"/>
  <c r="A138" i="2" s="1"/>
  <c r="A145" i="2" s="1"/>
  <c r="A152" i="2" s="1"/>
  <c r="A159" i="2" s="1"/>
  <c r="A168" i="2" s="1"/>
  <c r="I12" i="2"/>
  <c r="I18" i="2" s="1"/>
  <c r="G12" i="2"/>
  <c r="J12" i="2" s="1"/>
  <c r="W12" i="2" s="1"/>
  <c r="L138" i="2"/>
  <c r="G204" i="2"/>
  <c r="G212" i="2" s="1"/>
  <c r="L24" i="2"/>
  <c r="W24" i="2"/>
  <c r="M24" i="2"/>
  <c r="I204" i="2"/>
  <c r="D32" i="4"/>
  <c r="D37" i="4" s="1"/>
  <c r="G237" i="2"/>
  <c r="G70" i="2"/>
  <c r="J70" i="2" s="1"/>
  <c r="W70" i="2" s="1"/>
  <c r="I70" i="2"/>
  <c r="K70" i="2" s="1"/>
  <c r="J159" i="2"/>
  <c r="J167" i="2" s="1"/>
  <c r="I32" i="4"/>
  <c r="I37" i="4" s="1"/>
  <c r="W205" i="2"/>
  <c r="L89" i="2"/>
  <c r="L20" i="2"/>
  <c r="W20" i="2"/>
  <c r="M209" i="2"/>
  <c r="K209" i="2"/>
  <c r="K205" i="2"/>
  <c r="M205" i="2"/>
  <c r="M206" i="2"/>
  <c r="K206" i="2"/>
  <c r="M207" i="2"/>
  <c r="K207" i="2"/>
  <c r="K147" i="2"/>
  <c r="M147" i="2"/>
  <c r="K138" i="2"/>
  <c r="M138" i="2"/>
  <c r="M143" i="2"/>
  <c r="K143" i="2"/>
  <c r="M162" i="2"/>
  <c r="K162" i="2"/>
  <c r="M149" i="2"/>
  <c r="K149" i="2"/>
  <c r="M150" i="2"/>
  <c r="K150" i="2"/>
  <c r="M148" i="2"/>
  <c r="K148" i="2"/>
  <c r="M139" i="2"/>
  <c r="K139" i="2"/>
  <c r="M159" i="2"/>
  <c r="K159" i="2"/>
  <c r="M146" i="2"/>
  <c r="K146" i="2"/>
  <c r="M140" i="2"/>
  <c r="K140" i="2"/>
  <c r="M161" i="2"/>
  <c r="K161" i="2"/>
  <c r="M142" i="2"/>
  <c r="K142" i="2"/>
  <c r="K145" i="2"/>
  <c r="M145" i="2"/>
  <c r="K160" i="2"/>
  <c r="M160" i="2"/>
  <c r="M163" i="2"/>
  <c r="K163" i="2"/>
  <c r="M141" i="2"/>
  <c r="K141" i="2"/>
  <c r="K164" i="2"/>
  <c r="M164" i="2"/>
  <c r="K117" i="2"/>
  <c r="M117" i="2"/>
  <c r="K119" i="2"/>
  <c r="M119" i="2"/>
  <c r="M118" i="2"/>
  <c r="K118" i="2"/>
  <c r="M121" i="2"/>
  <c r="K121" i="2"/>
  <c r="M120" i="2"/>
  <c r="K120" i="2"/>
  <c r="K122" i="2"/>
  <c r="M122" i="2"/>
  <c r="K113" i="2"/>
  <c r="M113" i="2"/>
  <c r="M112" i="2"/>
  <c r="K112" i="2"/>
  <c r="K111" i="2"/>
  <c r="M111" i="2"/>
  <c r="K110" i="2"/>
  <c r="M110" i="2"/>
  <c r="M114" i="2"/>
  <c r="K114" i="2"/>
  <c r="M115" i="2"/>
  <c r="K115" i="2"/>
  <c r="M94" i="2"/>
  <c r="K94" i="2"/>
  <c r="K92" i="2"/>
  <c r="M92" i="2"/>
  <c r="K91" i="2"/>
  <c r="M91" i="2"/>
  <c r="K90" i="2"/>
  <c r="M90" i="2"/>
  <c r="M89" i="2"/>
  <c r="K89" i="2"/>
  <c r="K93" i="2"/>
  <c r="M93" i="2"/>
  <c r="L55" i="2"/>
  <c r="W139" i="2"/>
  <c r="H34" i="4"/>
  <c r="G34" i="4"/>
  <c r="I34" i="4"/>
  <c r="W142" i="2"/>
  <c r="O35" i="4"/>
  <c r="K127" i="2"/>
  <c r="M127" i="2"/>
  <c r="G130" i="2"/>
  <c r="J124" i="2"/>
  <c r="W124" i="2" s="1"/>
  <c r="M124" i="2"/>
  <c r="K124" i="2"/>
  <c r="I130" i="2"/>
  <c r="M126" i="2"/>
  <c r="K126" i="2"/>
  <c r="M128" i="2"/>
  <c r="K128" i="2"/>
  <c r="M129" i="2"/>
  <c r="K129" i="2"/>
  <c r="M125" i="2"/>
  <c r="K125" i="2"/>
  <c r="M17" i="2"/>
  <c r="K17" i="2"/>
  <c r="M15" i="2"/>
  <c r="K15" i="2"/>
  <c r="K16" i="2"/>
  <c r="M16" i="2"/>
  <c r="K14" i="2"/>
  <c r="M14" i="2"/>
  <c r="M13" i="2"/>
  <c r="K13" i="2"/>
  <c r="G40" i="2"/>
  <c r="J40" i="2" s="1"/>
  <c r="W40" i="2" s="1"/>
  <c r="I131" i="2"/>
  <c r="M131" i="2" s="1"/>
  <c r="I82" i="2"/>
  <c r="J62" i="2"/>
  <c r="W62" i="2" s="1"/>
  <c r="G131" i="2"/>
  <c r="J131" i="2" s="1"/>
  <c r="W131" i="2" s="1"/>
  <c r="I40" i="2"/>
  <c r="M40" i="2" s="1"/>
  <c r="D46" i="2"/>
  <c r="H9" i="13" s="1"/>
  <c r="I19" i="2"/>
  <c r="M19" i="2" s="1"/>
  <c r="G152" i="2"/>
  <c r="I103" i="2"/>
  <c r="G26" i="2"/>
  <c r="J26" i="2" s="1"/>
  <c r="W26" i="2" s="1"/>
  <c r="I152" i="2"/>
  <c r="I26" i="2"/>
  <c r="M26" i="2" s="1"/>
  <c r="G82" i="2"/>
  <c r="G88" i="2" s="1"/>
  <c r="I154" i="2"/>
  <c r="M154" i="2" s="1"/>
  <c r="G103" i="2"/>
  <c r="H25" i="13"/>
  <c r="D25" i="2"/>
  <c r="H6" i="13" s="1"/>
  <c r="I54" i="2"/>
  <c r="I60" i="2" s="1"/>
  <c r="G19" i="2"/>
  <c r="J19" i="2" s="1"/>
  <c r="W19" i="2" s="1"/>
  <c r="G154" i="2"/>
  <c r="J154" i="2" s="1"/>
  <c r="W154" i="2" s="1"/>
  <c r="C35" i="4"/>
  <c r="W150" i="2"/>
  <c r="W180" i="2"/>
  <c r="P38" i="4"/>
  <c r="I17" i="13" s="1"/>
  <c r="P35" i="4"/>
  <c r="W127" i="2"/>
  <c r="W170" i="2"/>
  <c r="W149" i="2"/>
  <c r="W91" i="2"/>
  <c r="W157" i="2"/>
  <c r="L157" i="2"/>
  <c r="W155" i="2"/>
  <c r="L155" i="2"/>
  <c r="W208" i="2"/>
  <c r="W94" i="2"/>
  <c r="W181" i="2"/>
  <c r="W182" i="2"/>
  <c r="K73" i="2"/>
  <c r="M73" i="2"/>
  <c r="K8" i="2"/>
  <c r="M8" i="2"/>
  <c r="W140" i="2"/>
  <c r="W143" i="2"/>
  <c r="Z38" i="4"/>
  <c r="I27" i="13" s="1"/>
  <c r="Z35" i="4"/>
  <c r="Y36" i="4"/>
  <c r="Y35" i="4"/>
  <c r="W128" i="2"/>
  <c r="W126" i="2"/>
  <c r="W198" i="2"/>
  <c r="W129" i="2"/>
  <c r="W93" i="2"/>
  <c r="W200" i="2"/>
  <c r="K71" i="2"/>
  <c r="M71" i="2"/>
  <c r="J36" i="4"/>
  <c r="J35" i="4"/>
  <c r="W36" i="4"/>
  <c r="W35" i="4"/>
  <c r="W90" i="2"/>
  <c r="W83" i="2"/>
  <c r="L83" i="2"/>
  <c r="W164" i="2"/>
  <c r="L27" i="2"/>
  <c r="W199" i="2"/>
  <c r="W148" i="2"/>
  <c r="W146" i="2"/>
  <c r="W92" i="2"/>
  <c r="L69" i="2"/>
  <c r="W156" i="2"/>
  <c r="L156" i="2"/>
  <c r="L153" i="2"/>
  <c r="W209" i="2"/>
  <c r="K10" i="2"/>
  <c r="M10" i="2"/>
  <c r="W141" i="2"/>
  <c r="W48" i="2"/>
  <c r="V36" i="4"/>
  <c r="V35" i="4"/>
  <c r="L41" i="2"/>
  <c r="AC38" i="4"/>
  <c r="I30" i="13" s="1"/>
  <c r="AC35" i="4"/>
  <c r="E241" i="2"/>
  <c r="G241" i="2"/>
  <c r="X37" i="4"/>
  <c r="X38" i="4"/>
  <c r="O37" i="4"/>
  <c r="B30" i="13"/>
  <c r="K22" i="2"/>
  <c r="K20" i="2"/>
  <c r="W21" i="2"/>
  <c r="W23" i="2"/>
  <c r="W22" i="2"/>
  <c r="K21" i="2"/>
  <c r="K23" i="2"/>
  <c r="J133" i="2"/>
  <c r="J132" i="2"/>
  <c r="L132" i="2" s="1"/>
  <c r="J134" i="2"/>
  <c r="L134" i="2" s="1"/>
  <c r="K58" i="2"/>
  <c r="K59" i="2"/>
  <c r="K57" i="2"/>
  <c r="K55" i="2"/>
  <c r="K56" i="2"/>
  <c r="G32" i="4"/>
  <c r="G37" i="4" s="1"/>
  <c r="W104" i="2"/>
  <c r="W44" i="2"/>
  <c r="K45" i="2"/>
  <c r="K41" i="2"/>
  <c r="K43" i="2"/>
  <c r="K44" i="2"/>
  <c r="K42" i="2"/>
  <c r="K37" i="2"/>
  <c r="K38" i="2"/>
  <c r="I35" i="2"/>
  <c r="M35" i="2" s="1"/>
  <c r="G35" i="2"/>
  <c r="J35" i="2" s="1"/>
  <c r="L35" i="2" s="1"/>
  <c r="I34" i="2"/>
  <c r="M34" i="2" s="1"/>
  <c r="G34" i="2"/>
  <c r="J34" i="2" s="1"/>
  <c r="I36" i="2"/>
  <c r="M36" i="2" s="1"/>
  <c r="G36" i="2"/>
  <c r="J36" i="2" s="1"/>
  <c r="L36" i="2" s="1"/>
  <c r="I33" i="2"/>
  <c r="M33" i="2" s="1"/>
  <c r="D39" i="2"/>
  <c r="H8" i="13" s="1"/>
  <c r="G33" i="2"/>
  <c r="I31" i="4"/>
  <c r="K62" i="2"/>
  <c r="K63" i="2"/>
  <c r="K65" i="2"/>
  <c r="K64" i="2"/>
  <c r="I61" i="2"/>
  <c r="I67" i="2" s="1"/>
  <c r="G61" i="2"/>
  <c r="J61" i="2" s="1"/>
  <c r="W61" i="2" s="1"/>
  <c r="K66" i="2"/>
  <c r="G66" i="2"/>
  <c r="J66" i="2" s="1"/>
  <c r="L66" i="2" s="1"/>
  <c r="H32" i="4"/>
  <c r="H37" i="4" s="1"/>
  <c r="K106" i="2"/>
  <c r="K105" i="2"/>
  <c r="K108" i="2"/>
  <c r="K107" i="2"/>
  <c r="K104" i="2"/>
  <c r="B17" i="13"/>
  <c r="B36" i="13" s="1"/>
  <c r="W135" i="2"/>
  <c r="C248" i="2"/>
  <c r="D5" i="11" s="1"/>
  <c r="W63" i="2"/>
  <c r="W38" i="2"/>
  <c r="W28" i="2"/>
  <c r="W114" i="2"/>
  <c r="W115" i="2"/>
  <c r="W87" i="2"/>
  <c r="W64" i="2"/>
  <c r="W108" i="2"/>
  <c r="W73" i="2"/>
  <c r="W30" i="2"/>
  <c r="W31" i="2"/>
  <c r="W37" i="2"/>
  <c r="W112" i="2"/>
  <c r="W65" i="2"/>
  <c r="W72" i="2"/>
  <c r="W29" i="2"/>
  <c r="W113" i="2"/>
  <c r="W107" i="2"/>
  <c r="W84" i="2"/>
  <c r="W86" i="2"/>
  <c r="W85" i="2"/>
  <c r="W71" i="2"/>
  <c r="W16" i="2"/>
  <c r="W14" i="2"/>
  <c r="W17" i="2"/>
  <c r="W15" i="2"/>
  <c r="W9" i="2"/>
  <c r="W8" i="2"/>
  <c r="W10" i="2"/>
  <c r="H31" i="4"/>
  <c r="K27" i="2"/>
  <c r="K28" i="2"/>
  <c r="K29" i="2"/>
  <c r="K30" i="2"/>
  <c r="K31" i="2"/>
  <c r="G31" i="4"/>
  <c r="C37" i="4"/>
  <c r="C36" i="4"/>
  <c r="D123" i="2"/>
  <c r="C38" i="4"/>
  <c r="D95" i="2"/>
  <c r="P36" i="4"/>
  <c r="G6" i="2"/>
  <c r="J6" i="2" s="1"/>
  <c r="R38" i="4"/>
  <c r="I19" i="13" s="1"/>
  <c r="R36" i="4"/>
  <c r="Q36" i="4"/>
  <c r="Q38" i="4"/>
  <c r="I18" i="13" s="1"/>
  <c r="N36" i="4"/>
  <c r="N38" i="4"/>
  <c r="I15" i="13" s="1"/>
  <c r="M38" i="4"/>
  <c r="I14" i="13" s="1"/>
  <c r="M36" i="4"/>
  <c r="E123" i="2"/>
  <c r="K69" i="2"/>
  <c r="K36" i="4"/>
  <c r="K38" i="4"/>
  <c r="I12" i="13" s="1"/>
  <c r="J38" i="4"/>
  <c r="I11" i="13" s="1"/>
  <c r="Z36" i="4"/>
  <c r="K83" i="2"/>
  <c r="I136" i="2"/>
  <c r="I68" i="2"/>
  <c r="M68" i="2" s="1"/>
  <c r="E38" i="4"/>
  <c r="I6" i="13" s="1"/>
  <c r="E36" i="4"/>
  <c r="K157" i="2"/>
  <c r="K153" i="2"/>
  <c r="X36" i="4"/>
  <c r="K156" i="2"/>
  <c r="K155" i="2"/>
  <c r="L38" i="4"/>
  <c r="I13" i="13" s="1"/>
  <c r="L36" i="4"/>
  <c r="K72" i="2"/>
  <c r="K87" i="2"/>
  <c r="I6" i="2"/>
  <c r="Y38" i="4"/>
  <c r="I26" i="13" s="1"/>
  <c r="E95" i="2"/>
  <c r="F38" i="4"/>
  <c r="I7" i="13" s="1"/>
  <c r="F36" i="4"/>
  <c r="K9" i="2"/>
  <c r="E102" i="2"/>
  <c r="H17" i="13" s="1"/>
  <c r="O38" i="4"/>
  <c r="O36" i="4"/>
  <c r="G5" i="2"/>
  <c r="I5" i="2"/>
  <c r="G136" i="2"/>
  <c r="K85" i="2"/>
  <c r="K84" i="2"/>
  <c r="G68" i="2"/>
  <c r="K86" i="2"/>
  <c r="W38" i="4"/>
  <c r="I24" i="13" s="1"/>
  <c r="V38" i="4"/>
  <c r="I23" i="13" s="1"/>
  <c r="AC36" i="4"/>
  <c r="AB38" i="4"/>
  <c r="I29" i="13" s="1"/>
  <c r="AB36" i="4"/>
  <c r="D151" i="2"/>
  <c r="H24" i="13" s="1"/>
  <c r="AA38" i="4"/>
  <c r="I28" i="13" s="1"/>
  <c r="AA36" i="4"/>
  <c r="C4" i="13"/>
  <c r="U38" i="4"/>
  <c r="I22" i="13" s="1"/>
  <c r="U36" i="4"/>
  <c r="K133" i="2"/>
  <c r="K132" i="2"/>
  <c r="K135" i="2"/>
  <c r="K134" i="2"/>
  <c r="T38" i="4"/>
  <c r="I21" i="13" s="1"/>
  <c r="T36" i="4"/>
  <c r="S38" i="4"/>
  <c r="I20" i="13" s="1"/>
  <c r="S36" i="4"/>
  <c r="R37" i="4"/>
  <c r="J246" i="2" l="1"/>
  <c r="I212" i="2"/>
  <c r="E246" i="2"/>
  <c r="F251" i="2" s="1"/>
  <c r="G246" i="2"/>
  <c r="M208" i="2"/>
  <c r="J206" i="2"/>
  <c r="M7" i="2"/>
  <c r="W7" i="2"/>
  <c r="K167" i="2"/>
  <c r="M167" i="2"/>
  <c r="B34" i="4"/>
  <c r="B31" i="4"/>
  <c r="B37" i="4"/>
  <c r="B32" i="4"/>
  <c r="B33" i="4"/>
  <c r="W25" i="2"/>
  <c r="Z25" i="2" s="1"/>
  <c r="I251" i="2"/>
  <c r="M152" i="2"/>
  <c r="M158" i="2" s="1"/>
  <c r="I158" i="2"/>
  <c r="J152" i="2"/>
  <c r="L152" i="2" s="1"/>
  <c r="G158" i="2"/>
  <c r="M103" i="2"/>
  <c r="M109" i="2" s="1"/>
  <c r="I109" i="2"/>
  <c r="J103" i="2"/>
  <c r="L103" i="2" s="1"/>
  <c r="L109" i="2" s="1"/>
  <c r="G109" i="2"/>
  <c r="L34" i="2"/>
  <c r="W34" i="2"/>
  <c r="L241" i="2"/>
  <c r="N241" i="2"/>
  <c r="I11" i="2"/>
  <c r="H16" i="13"/>
  <c r="H20" i="13"/>
  <c r="J54" i="2"/>
  <c r="J60" i="2" s="1"/>
  <c r="K239" i="2"/>
  <c r="L239" i="2" s="1"/>
  <c r="W159" i="2"/>
  <c r="M239" i="2"/>
  <c r="N239" i="2" s="1"/>
  <c r="M237" i="2"/>
  <c r="K237" i="2"/>
  <c r="M54" i="2"/>
  <c r="M60" i="2" s="1"/>
  <c r="M12" i="2"/>
  <c r="M18" i="2" s="1"/>
  <c r="L12" i="2"/>
  <c r="L18" i="2" s="1"/>
  <c r="K12" i="2"/>
  <c r="K18" i="2" s="1"/>
  <c r="M6" i="2"/>
  <c r="J204" i="2"/>
  <c r="G18" i="2"/>
  <c r="M204" i="2"/>
  <c r="M212" i="2" s="1"/>
  <c r="K204" i="2"/>
  <c r="K212" i="2" s="1"/>
  <c r="G11" i="2"/>
  <c r="G74" i="2"/>
  <c r="M70" i="2"/>
  <c r="M74" i="2" s="1"/>
  <c r="L159" i="2"/>
  <c r="L167" i="2" s="1"/>
  <c r="L19" i="2"/>
  <c r="L25" i="2" s="1"/>
  <c r="I74" i="2"/>
  <c r="L70" i="2"/>
  <c r="M5" i="2"/>
  <c r="L131" i="2"/>
  <c r="M82" i="2"/>
  <c r="M88" i="2" s="1"/>
  <c r="I88" i="2"/>
  <c r="J102" i="2"/>
  <c r="W102" i="2"/>
  <c r="L123" i="2"/>
  <c r="L124" i="2"/>
  <c r="L130" i="2" s="1"/>
  <c r="J130" i="2"/>
  <c r="K130" i="2"/>
  <c r="I46" i="2"/>
  <c r="M130" i="2"/>
  <c r="K116" i="2"/>
  <c r="G46" i="2"/>
  <c r="J82" i="2"/>
  <c r="W82" i="2" s="1"/>
  <c r="K54" i="2"/>
  <c r="K60" i="2" s="1"/>
  <c r="J123" i="2"/>
  <c r="K82" i="2"/>
  <c r="K88" i="2" s="1"/>
  <c r="K131" i="2"/>
  <c r="G116" i="2"/>
  <c r="G123" i="2"/>
  <c r="G144" i="2"/>
  <c r="K40" i="2"/>
  <c r="K46" i="2" s="1"/>
  <c r="G32" i="2"/>
  <c r="K19" i="2"/>
  <c r="K25" i="2" s="1"/>
  <c r="L62" i="2"/>
  <c r="I32" i="2"/>
  <c r="G67" i="2"/>
  <c r="I116" i="2"/>
  <c r="K152" i="2"/>
  <c r="L102" i="2"/>
  <c r="K103" i="2"/>
  <c r="K109" i="2" s="1"/>
  <c r="L154" i="2"/>
  <c r="K144" i="2"/>
  <c r="I144" i="2"/>
  <c r="K26" i="2"/>
  <c r="K32" i="2" s="1"/>
  <c r="K154" i="2"/>
  <c r="W197" i="2"/>
  <c r="W203" i="2" s="1"/>
  <c r="Z203" i="2" s="1"/>
  <c r="W162" i="2"/>
  <c r="W161" i="2"/>
  <c r="W178" i="2"/>
  <c r="W185" i="2" s="1"/>
  <c r="Z185" i="2" s="1"/>
  <c r="M61" i="2"/>
  <c r="M67" i="2" s="1"/>
  <c r="G38" i="4"/>
  <c r="I8" i="13" s="1"/>
  <c r="G35" i="4"/>
  <c r="W206" i="2"/>
  <c r="W6" i="2"/>
  <c r="L6" i="2"/>
  <c r="W144" i="2"/>
  <c r="L144" i="2"/>
  <c r="W171" i="2"/>
  <c r="W172" i="2"/>
  <c r="W176" i="2" s="1"/>
  <c r="Z176" i="2" s="1"/>
  <c r="I36" i="4"/>
  <c r="I35" i="4"/>
  <c r="L40" i="2"/>
  <c r="L46" i="2" s="1"/>
  <c r="W133" i="2"/>
  <c r="L133" i="2"/>
  <c r="W160" i="2"/>
  <c r="W173" i="2"/>
  <c r="AD36" i="4"/>
  <c r="AD35" i="4"/>
  <c r="W179" i="2"/>
  <c r="W13" i="2"/>
  <c r="W95" i="2"/>
  <c r="I137" i="2"/>
  <c r="M136" i="2"/>
  <c r="M137" i="2" s="1"/>
  <c r="W207" i="2"/>
  <c r="W163" i="2"/>
  <c r="W32" i="2"/>
  <c r="L26" i="2"/>
  <c r="L32" i="2" s="1"/>
  <c r="W169" i="2"/>
  <c r="H38" i="4"/>
  <c r="I9" i="13" s="1"/>
  <c r="H35" i="4"/>
  <c r="W116" i="2"/>
  <c r="L116" i="2"/>
  <c r="I25" i="13"/>
  <c r="I16" i="13"/>
  <c r="AD38" i="4"/>
  <c r="I31" i="13" s="1"/>
  <c r="C5" i="13"/>
  <c r="A177" i="2"/>
  <c r="A186" i="2" s="1"/>
  <c r="W122" i="2"/>
  <c r="W119" i="2"/>
  <c r="W120" i="2"/>
  <c r="J136" i="2"/>
  <c r="W134" i="2"/>
  <c r="W132" i="2"/>
  <c r="W121" i="2"/>
  <c r="D38" i="4"/>
  <c r="J95" i="2"/>
  <c r="D36" i="4"/>
  <c r="J116" i="2"/>
  <c r="M116" i="2"/>
  <c r="W57" i="2"/>
  <c r="M46" i="2"/>
  <c r="J46" i="2"/>
  <c r="W58" i="2"/>
  <c r="W36" i="2"/>
  <c r="I39" i="2"/>
  <c r="K33" i="2"/>
  <c r="K34" i="2"/>
  <c r="G39" i="2"/>
  <c r="J33" i="2"/>
  <c r="W33" i="2" s="1"/>
  <c r="K36" i="2"/>
  <c r="K35" i="2"/>
  <c r="W35" i="2"/>
  <c r="I38" i="4"/>
  <c r="I10" i="13" s="1"/>
  <c r="W66" i="2"/>
  <c r="K61" i="2"/>
  <c r="K67" i="2" s="1"/>
  <c r="H36" i="4"/>
  <c r="G36" i="4"/>
  <c r="J144" i="2"/>
  <c r="W45" i="2"/>
  <c r="W51" i="2"/>
  <c r="W50" i="2"/>
  <c r="W59" i="2"/>
  <c r="W43" i="2"/>
  <c r="W52" i="2"/>
  <c r="J32" i="2"/>
  <c r="M32" i="2"/>
  <c r="B252" i="2"/>
  <c r="C252" i="2"/>
  <c r="H4" i="13"/>
  <c r="I4" i="13"/>
  <c r="I123" i="2"/>
  <c r="M123" i="2"/>
  <c r="G102" i="2"/>
  <c r="J25" i="2"/>
  <c r="I25" i="2"/>
  <c r="M25" i="2"/>
  <c r="K136" i="2"/>
  <c r="G25" i="2"/>
  <c r="K68" i="2"/>
  <c r="K74" i="2" s="1"/>
  <c r="G137" i="2"/>
  <c r="K6" i="2"/>
  <c r="J68" i="2"/>
  <c r="J5" i="2"/>
  <c r="W5" i="2" s="1"/>
  <c r="I102" i="2"/>
  <c r="M144" i="2" s="1"/>
  <c r="I95" i="2"/>
  <c r="K5" i="2"/>
  <c r="J18" i="2"/>
  <c r="G95" i="2"/>
  <c r="G151" i="2"/>
  <c r="I151" i="2"/>
  <c r="M151" i="2"/>
  <c r="D7" i="11"/>
  <c r="G251" i="2"/>
  <c r="D23" i="13" l="1"/>
  <c r="Z144" i="2"/>
  <c r="D19" i="13"/>
  <c r="Z116" i="2"/>
  <c r="D17" i="13"/>
  <c r="Z102" i="2"/>
  <c r="AA102" i="2" s="1"/>
  <c r="D16" i="13"/>
  <c r="Z95" i="2"/>
  <c r="D7" i="13"/>
  <c r="Z32" i="2"/>
  <c r="W204" i="2"/>
  <c r="W212" i="2" s="1"/>
  <c r="J212" i="2"/>
  <c r="D28" i="13"/>
  <c r="L206" i="2"/>
  <c r="W167" i="2"/>
  <c r="K158" i="2"/>
  <c r="W68" i="2"/>
  <c r="J74" i="2"/>
  <c r="H36" i="13"/>
  <c r="K246" i="2"/>
  <c r="B35" i="4"/>
  <c r="B38" i="4"/>
  <c r="B36" i="4"/>
  <c r="M246" i="2"/>
  <c r="L158" i="2"/>
  <c r="W152" i="2"/>
  <c r="W158" i="2" s="1"/>
  <c r="J158" i="2"/>
  <c r="W103" i="2"/>
  <c r="W109" i="2" s="1"/>
  <c r="J109" i="2"/>
  <c r="W11" i="2"/>
  <c r="W54" i="2"/>
  <c r="L54" i="2"/>
  <c r="L60" i="2" s="1"/>
  <c r="N237" i="2"/>
  <c r="N246" i="2" s="1"/>
  <c r="L237" i="2"/>
  <c r="L246" i="2" s="1"/>
  <c r="I5" i="13"/>
  <c r="I36" i="13" s="1"/>
  <c r="M11" i="2"/>
  <c r="J11" i="2"/>
  <c r="W18" i="2"/>
  <c r="Z18" i="2" s="1"/>
  <c r="L204" i="2"/>
  <c r="L212" i="2" s="1"/>
  <c r="A195" i="2"/>
  <c r="A204" i="2" s="1"/>
  <c r="J88" i="2"/>
  <c r="K11" i="2"/>
  <c r="D30" i="13"/>
  <c r="D9" i="11"/>
  <c r="D8" i="11"/>
  <c r="O176" i="2"/>
  <c r="F27" i="13" s="1"/>
  <c r="W81" i="2"/>
  <c r="Z81" i="2" s="1"/>
  <c r="L82" i="2"/>
  <c r="L88" i="2" s="1"/>
  <c r="K137" i="2"/>
  <c r="C6" i="13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6" i="13" s="1"/>
  <c r="K151" i="2"/>
  <c r="L61" i="2"/>
  <c r="L67" i="2" s="1"/>
  <c r="J67" i="2"/>
  <c r="O203" i="2"/>
  <c r="F30" i="13" s="1"/>
  <c r="K95" i="2"/>
  <c r="W130" i="2"/>
  <c r="Z130" i="2" s="1"/>
  <c r="L68" i="2"/>
  <c r="L74" i="2" s="1"/>
  <c r="J137" i="2"/>
  <c r="L136" i="2"/>
  <c r="L137" i="2" s="1"/>
  <c r="L5" i="2"/>
  <c r="L11" i="2" s="1"/>
  <c r="W39" i="2"/>
  <c r="L33" i="2"/>
  <c r="L39" i="2" s="1"/>
  <c r="J151" i="2"/>
  <c r="L151" i="2"/>
  <c r="D6" i="13"/>
  <c r="W136" i="2"/>
  <c r="W137" i="2" s="1"/>
  <c r="W123" i="2"/>
  <c r="Z123" i="2" s="1"/>
  <c r="O102" i="2"/>
  <c r="F17" i="13" s="1"/>
  <c r="M39" i="2"/>
  <c r="J39" i="2"/>
  <c r="K39" i="2"/>
  <c r="W56" i="2"/>
  <c r="O116" i="2"/>
  <c r="F19" i="13" s="1"/>
  <c r="O32" i="2"/>
  <c r="F7" i="13" s="1"/>
  <c r="O144" i="2"/>
  <c r="F23" i="13" s="1"/>
  <c r="W49" i="2"/>
  <c r="W53" i="2" s="1"/>
  <c r="W42" i="2"/>
  <c r="W46" i="2" s="1"/>
  <c r="O25" i="2"/>
  <c r="F6" i="13" s="1"/>
  <c r="W147" i="2"/>
  <c r="M95" i="2"/>
  <c r="K123" i="2"/>
  <c r="K102" i="2"/>
  <c r="M102" i="2"/>
  <c r="D252" i="2"/>
  <c r="D31" i="13" l="1"/>
  <c r="Z212" i="2"/>
  <c r="O167" i="2"/>
  <c r="F26" i="13" s="1"/>
  <c r="Z167" i="2"/>
  <c r="O158" i="2"/>
  <c r="F25" i="13" s="1"/>
  <c r="Z158" i="2"/>
  <c r="D22" i="13"/>
  <c r="Z137" i="2"/>
  <c r="D18" i="13"/>
  <c r="Z109" i="2"/>
  <c r="O53" i="2"/>
  <c r="Z53" i="2"/>
  <c r="D9" i="13"/>
  <c r="Z46" i="2"/>
  <c r="D8" i="13"/>
  <c r="Z39" i="2"/>
  <c r="D25" i="13"/>
  <c r="W60" i="2"/>
  <c r="O18" i="2"/>
  <c r="F5" i="13" s="1"/>
  <c r="D10" i="13"/>
  <c r="D14" i="13"/>
  <c r="O81" i="2"/>
  <c r="F14" i="13" s="1"/>
  <c r="D29" i="13"/>
  <c r="W74" i="2"/>
  <c r="W88" i="2"/>
  <c r="D21" i="13"/>
  <c r="O130" i="2"/>
  <c r="F21" i="13" s="1"/>
  <c r="W67" i="2"/>
  <c r="D5" i="13"/>
  <c r="O212" i="2"/>
  <c r="F31" i="13" s="1"/>
  <c r="D26" i="13"/>
  <c r="D27" i="13"/>
  <c r="O185" i="2"/>
  <c r="F28" i="13" s="1"/>
  <c r="D4" i="13"/>
  <c r="D20" i="13"/>
  <c r="O123" i="2"/>
  <c r="F20" i="13" s="1"/>
  <c r="O39" i="2"/>
  <c r="F8" i="13" s="1"/>
  <c r="O137" i="2"/>
  <c r="F22" i="13" s="1"/>
  <c r="O46" i="2"/>
  <c r="F9" i="13" s="1"/>
  <c r="O109" i="2"/>
  <c r="F18" i="13" s="1"/>
  <c r="W151" i="2"/>
  <c r="Z151" i="2" s="1"/>
  <c r="O11" i="2"/>
  <c r="F4" i="13" s="1"/>
  <c r="F10" i="13"/>
  <c r="G252" i="2"/>
  <c r="F252" i="2"/>
  <c r="I252" i="2"/>
  <c r="D15" i="13" l="1"/>
  <c r="Z88" i="2"/>
  <c r="AA88" i="2" s="1"/>
  <c r="D13" i="13"/>
  <c r="Z74" i="2"/>
  <c r="O67" i="2"/>
  <c r="F12" i="13" s="1"/>
  <c r="Z67" i="2"/>
  <c r="D11" i="13"/>
  <c r="Z60" i="2"/>
  <c r="Z236" i="2"/>
  <c r="W237" i="2"/>
  <c r="F29" i="13"/>
  <c r="O74" i="2"/>
  <c r="F13" i="13" s="1"/>
  <c r="O88" i="2"/>
  <c r="F15" i="13" s="1"/>
  <c r="D12" i="13"/>
  <c r="D24" i="13"/>
  <c r="O151" i="2"/>
  <c r="F24" i="13" s="1"/>
  <c r="O60" i="2"/>
  <c r="F11" i="13" s="1"/>
  <c r="E4" i="13"/>
  <c r="L95" i="2"/>
  <c r="O95" i="2"/>
  <c r="D36" i="13" l="1"/>
  <c r="E5" i="13"/>
  <c r="F16" i="13"/>
  <c r="F36" i="13" s="1"/>
  <c r="E6" i="13" l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6" i="13" s="1"/>
  <c r="J253" i="2" l="1"/>
  <c r="C5" i="11" s="1"/>
  <c r="B5" i="11" s="1"/>
  <c r="G248" i="2"/>
  <c r="C6" i="11" l="1"/>
  <c r="B6" i="11" s="1"/>
  <c r="C7" i="11"/>
  <c r="B7" i="11" s="1"/>
  <c r="C9" i="11" l="1"/>
  <c r="B9" i="11" s="1"/>
  <c r="C8" i="11"/>
  <c r="B8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Q12" authorId="0" shapeId="0" xr:uid="{A5B95656-A06A-49B2-8A92-6D699BE9FF3E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27562</t>
        </r>
      </text>
    </comment>
    <comment ref="T34" authorId="0" shapeId="0" xr:uid="{09225BC4-F9A9-4E22-AE40-AA35660DB44E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27976</t>
        </r>
      </text>
    </comment>
    <comment ref="T90" authorId="0" shapeId="0" xr:uid="{1999AE7F-ED75-45BE-B5BC-F45915223342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28554</t>
        </r>
      </text>
    </comment>
    <comment ref="I109" authorId="0" shapeId="0" xr:uid="{87EEB093-EBEA-4359-8909-BF6EC601F68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servicio PU-LI extra por falla de otro servicio(viaje 9 serv 402)</t>
        </r>
      </text>
    </comment>
    <comment ref="T132" authorId="0" shapeId="0" xr:uid="{1DE02EAD-E945-46D3-A84B-AFF7C924CE66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28998
EB, vía 2. Servicio 601 XT-20-26 (viaje 135), 602 XT-23-03 (viaje 139), 603 XT-31-34 (viaje 143) y 604 XT-05-01 (viaje 147) son acoplados para cumplir con oferta de equipos en unidad múltiple.</t>
        </r>
      </text>
    </comment>
    <comment ref="T169" authorId="0" shapeId="0" xr:uid="{98475BC4-33A6-42B7-AFCD-6C9EEE3AE004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29348 
stación El Belloto, anden 2. Servicio 656 XT-27-18 (viaje 155), 661 XT-22-24 (viaje 175) y 654 XT-04-23 (viaje 195) son acoplados para cumplir con oferta de equipos en unidad múltiple.</t>
        </r>
      </text>
    </comment>
    <comment ref="T178" authorId="0" shapeId="0" xr:uid="{0ECE8D86-5243-4C87-935E-BF3D96762112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29436</t>
        </r>
      </text>
    </comment>
    <comment ref="T187" authorId="0" shapeId="0" xr:uid="{30CFAE76-F2A3-40CE-B17C-40E5ED1BC0AE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29511</t>
        </r>
      </text>
    </comment>
    <comment ref="T196" authorId="0" shapeId="0" xr:uid="{A6263A47-9707-4AC7-B9B2-5C4A64EC9C8E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29665</t>
        </r>
      </text>
    </comment>
  </commentList>
</comments>
</file>

<file path=xl/sharedStrings.xml><?xml version="1.0" encoding="utf-8"?>
<sst xmlns="http://schemas.openxmlformats.org/spreadsheetml/2006/main" count="724" uniqueCount="190">
  <si>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</si>
  <si>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</si>
  <si>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</si>
  <si>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</si>
  <si>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</si>
  <si>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</si>
  <si>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</si>
  <si>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</si>
  <si>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</si>
  <si>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</si>
  <si>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</si>
  <si>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</si>
  <si>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</si>
  <si>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</si>
  <si>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</si>
  <si>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</si>
  <si>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</si>
  <si>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</si>
  <si>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</si>
  <si>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</si>
  <si>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</si>
  <si>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</si>
  <si>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</si>
  <si>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</si>
  <si>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</si>
  <si>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</si>
  <si>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</si>
  <si>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</si>
  <si>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</si>
  <si>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</si>
  <si>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</si>
  <si>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</si>
  <si>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</si>
  <si>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</si>
  <si>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</si>
  <si>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</si>
  <si>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</si>
  <si>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</si>
  <si>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</si>
  <si>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</si>
  <si>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</si>
  <si>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</si>
  <si>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</si>
  <si>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</si>
  <si>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</si>
  <si>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</si>
  <si>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</si>
  <si>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</si>
  <si>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</si>
  <si>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</si>
  <si>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</si>
  <si>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</si>
  <si>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</si>
  <si>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</si>
  <si>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</si>
  <si>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</si>
  <si>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</si>
  <si>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</si>
  <si>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</si>
  <si>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</si>
  <si>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</si>
  <si>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</si>
  <si>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</si>
  <si>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</si>
  <si>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</si>
  <si>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</si>
  <si>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</si>
  <si>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</si>
  <si>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</si>
  <si>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</si>
  <si>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</si>
  <si>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</si>
  <si>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</si>
  <si>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</si>
  <si>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</si>
  <si>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</si>
  <si>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</si>
  <si>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</si>
  <si>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</si>
  <si>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</si>
  <si>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</si>
  <si>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</si>
  <si>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</si>
  <si>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</si>
  <si>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</si>
  <si>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</si>
  <si>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</si>
  <si>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</si>
  <si>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</si>
  <si>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</si>
  <si>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</si>
  <si>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</si>
  <si>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</si>
  <si>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</si>
  <si>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</si>
  <si>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</si>
  <si>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</si>
  <si>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</si>
  <si>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</si>
  <si>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</si>
  <si>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</si>
  <si>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</si>
  <si>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</si>
  <si>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</si>
  <si>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</si>
  <si>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</si>
  <si>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</si>
  <si>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</si>
  <si>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</si>
  <si>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</si>
  <si>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</si>
  <si>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</si>
  <si>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</si>
  <si>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</si>
  <si>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</si>
  <si>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</si>
  <si>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</si>
  <si>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</si>
  <si>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</si>
  <si>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</si>
  <si>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</si>
  <si>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</si>
  <si>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</si>
  <si>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</si>
  <si>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</si>
  <si>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</si>
  <si>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</si>
  <si>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</si>
  <si>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</si>
  <si>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</si>
  <si>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</si>
  <si>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</si>
  <si>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</si>
  <si>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</si>
  <si>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</si>
  <si>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</si>
  <si>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</si>
  <si>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</si>
  <si>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</si>
  <si>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</si>
  <si>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</si>
  <si>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</si>
  <si>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</si>
  <si>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</si>
  <si>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</si>
  <si>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</si>
  <si>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</si>
  <si>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</si>
  <si>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</si>
  <si>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Acople/Corte SA (600)</t>
  </si>
  <si>
    <t>HO-LI/LI-HO</t>
  </si>
  <si>
    <t>VM-PU</t>
  </si>
  <si>
    <t>VM-LI</t>
  </si>
  <si>
    <t>PU-MI</t>
  </si>
  <si>
    <t>Acople EB (600) vía 1</t>
  </si>
  <si>
    <t>PU-ES/ES-PU</t>
  </si>
  <si>
    <t>MI-SA</t>
  </si>
  <si>
    <t>LI-PO</t>
  </si>
  <si>
    <t>LI-PE</t>
  </si>
  <si>
    <t>Acople PE (600) via 2</t>
  </si>
  <si>
    <t>SA-QU/QU-SA</t>
  </si>
  <si>
    <t>Total Trenes P</t>
  </si>
  <si>
    <t>KmTren P</t>
  </si>
  <si>
    <t>EB-LI</t>
  </si>
  <si>
    <t>PU-RE</t>
  </si>
  <si>
    <t>PU-PO</t>
  </si>
  <si>
    <t>PU-BA</t>
  </si>
  <si>
    <t>TKB</t>
  </si>
  <si>
    <t>AM-QU</t>
  </si>
  <si>
    <t>SA-VM</t>
  </si>
  <si>
    <t>PU-CH</t>
  </si>
  <si>
    <t>Corte EB (600) V2</t>
  </si>
  <si>
    <t>Corte EB (400) V1</t>
  </si>
  <si>
    <t>Corte EB (600) V1</t>
  </si>
  <si>
    <t>Acople EB (600) V1</t>
  </si>
  <si>
    <t>PU-QU</t>
  </si>
  <si>
    <t>Oferta Enero 2026</t>
  </si>
  <si>
    <t>Febrero 2026</t>
  </si>
  <si>
    <t>Planilla 025 Laboral ver 14 transición a ver 15</t>
  </si>
  <si>
    <t>6 Servicio suprimidos por averias MR</t>
  </si>
  <si>
    <t>Planilla 025 Laboral ver 15</t>
  </si>
  <si>
    <t>Planilla Especial Valpo Cerro Abajo (refuerzo multiples)</t>
  </si>
  <si>
    <t>PLANILLA ESPECIAL PARO DE LOCOMOCION COLECTIVA (2do dia)</t>
  </si>
  <si>
    <t>PLANILLA ESPECIAL PARO DE LOCOMOCION COLECTIVA (1er dia)</t>
  </si>
  <si>
    <t xml:space="preserve">Mayor distribucion trenes multiples por inicio festival Viña del Mar </t>
  </si>
  <si>
    <t>Planilla incorpora servicios por Festival Viña del Mar</t>
  </si>
  <si>
    <t>Servicios VM-LI</t>
  </si>
  <si>
    <t>Servicios VM-PU</t>
  </si>
  <si>
    <t>Trenes VM-LI</t>
  </si>
  <si>
    <t>Trenes VM-PU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</si>
</sst>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d/mmm/yy"/>
    <numFmt numFmtId="166" formatCode="0.0"/>
    <numFmt numFmtId="167" formatCode="dd/mm/yy;@"/>
    <numFmt numFmtId="168" formatCode="_-* #,##0\ _€_-;\-* #,##0\ _€_-;_-* &quot;-&quot;??\ _€_-;_-@_-"/>
    <numFmt numFmtId="169" formatCode="#,##0.0"/>
  </numFmts>
  <fonts count="5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2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D8D8D8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</borders>
  <cellStyleXfs count="84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12" borderId="0" applyNumberFormat="0" applyBorder="0" applyAlignment="0" applyProtection="0"/>
    <xf numFmtId="0" fontId="11" fillId="26" borderId="0" applyNumberFormat="0" applyBorder="0" applyAlignment="0" applyProtection="0"/>
    <xf numFmtId="0" fontId="11" fillId="11" borderId="0" applyNumberFormat="0" applyBorder="0" applyAlignment="0" applyProtection="0"/>
    <xf numFmtId="0" fontId="11" fillId="23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23" fillId="27" borderId="0" applyNumberFormat="0" applyBorder="0" applyAlignment="0" applyProtection="0"/>
    <xf numFmtId="0" fontId="23" fillId="26" borderId="0" applyNumberFormat="0" applyBorder="0" applyAlignment="0" applyProtection="0"/>
    <xf numFmtId="0" fontId="23" fillId="11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4" fillId="16" borderId="0" applyNumberFormat="0" applyBorder="0" applyAlignment="0" applyProtection="0"/>
    <xf numFmtId="0" fontId="27" fillId="10" borderId="51" applyNumberFormat="0" applyAlignment="0" applyProtection="0"/>
    <xf numFmtId="0" fontId="25" fillId="31" borderId="52" applyNumberFormat="0" applyAlignment="0" applyProtection="0"/>
    <xf numFmtId="0" fontId="26" fillId="0" borderId="53" applyNumberFormat="0" applyFill="0" applyAlignment="0" applyProtection="0"/>
    <xf numFmtId="0" fontId="28" fillId="0" borderId="0" applyNumberFormat="0" applyFill="0" applyBorder="0" applyAlignment="0" applyProtection="0"/>
    <xf numFmtId="0" fontId="23" fillId="32" borderId="0" applyNumberFormat="0" applyBorder="0" applyAlignment="0" applyProtection="0"/>
    <xf numFmtId="0" fontId="23" fillId="6" borderId="0" applyNumberFormat="0" applyBorder="0" applyAlignment="0" applyProtection="0"/>
    <xf numFmtId="0" fontId="23" fillId="33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4" borderId="0" applyNumberFormat="0" applyBorder="0" applyAlignment="0" applyProtection="0"/>
    <xf numFmtId="0" fontId="29" fillId="25" borderId="51" applyNumberFormat="0" applyAlignment="0" applyProtection="0"/>
    <xf numFmtId="0" fontId="30" fillId="22" borderId="0" applyNumberFormat="0" applyBorder="0" applyAlignment="0" applyProtection="0"/>
    <xf numFmtId="0" fontId="31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1" fillId="36" borderId="54" applyNumberFormat="0" applyAlignment="0" applyProtection="0"/>
    <xf numFmtId="0" fontId="32" fillId="10" borderId="55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56" applyNumberFormat="0" applyFill="0" applyAlignment="0" applyProtection="0"/>
    <xf numFmtId="0" fontId="37" fillId="0" borderId="57" applyNumberFormat="0" applyFill="0" applyAlignment="0" applyProtection="0"/>
    <xf numFmtId="0" fontId="28" fillId="0" borderId="58" applyNumberFormat="0" applyFill="0" applyAlignment="0" applyProtection="0"/>
    <xf numFmtId="0" fontId="10" fillId="0" borderId="59" applyNumberFormat="0" applyFill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6" fillId="0" borderId="0"/>
    <xf numFmtId="0" fontId="47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3" fillId="0" borderId="0"/>
  </cellStyleXfs>
  <cellXfs count="380">
    <xf numFmtId="0" fontId="0" fillId="0" borderId="0" xfId="0"/>
    <xf numFmtId="17" fontId="3" fillId="0" borderId="0" xfId="2" applyNumberFormat="1"/>
    <xf numFmtId="0" fontId="3" fillId="0" borderId="0" xfId="2"/>
    <xf numFmtId="0" fontId="5" fillId="2" borderId="0" xfId="2" applyFont="1" applyFill="1" applyAlignment="1">
      <alignment horizontal="center"/>
    </xf>
    <xf numFmtId="0" fontId="5" fillId="0" borderId="0" xfId="2" applyFont="1" applyFill="1" applyAlignment="1">
      <alignment horizontal="center"/>
    </xf>
    <xf numFmtId="3" fontId="5" fillId="3" borderId="1" xfId="2" applyNumberFormat="1" applyFont="1" applyFill="1" applyBorder="1" applyAlignment="1">
      <alignment horizontal="center" wrapText="1"/>
    </xf>
    <xf numFmtId="3" fontId="6" fillId="3" borderId="1" xfId="2" applyNumberFormat="1" applyFont="1" applyFill="1" applyBorder="1" applyAlignment="1">
      <alignment horizontal="center" wrapText="1"/>
    </xf>
    <xf numFmtId="3" fontId="5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9" fillId="0" borderId="0" xfId="4" applyFont="1"/>
    <xf numFmtId="0" fontId="3" fillId="4" borderId="0" xfId="4" applyFont="1" applyFill="1" applyAlignment="1">
      <alignment horizontal="center"/>
    </xf>
    <xf numFmtId="3" fontId="3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7" fillId="5" borderId="2" xfId="4" applyNumberFormat="1" applyFont="1" applyFill="1" applyBorder="1" applyAlignment="1">
      <alignment horizontal="center" wrapText="1"/>
    </xf>
    <xf numFmtId="0" fontId="3" fillId="0" borderId="0" xfId="4" applyFont="1"/>
    <xf numFmtId="0" fontId="3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5" fillId="0" borderId="0" xfId="2" applyFont="1"/>
    <xf numFmtId="0" fontId="5" fillId="0" borderId="0" xfId="2" applyFont="1" applyBorder="1"/>
    <xf numFmtId="0" fontId="5" fillId="0" borderId="0" xfId="0" applyFont="1" applyAlignment="1">
      <alignment horizontal="center"/>
    </xf>
    <xf numFmtId="0" fontId="14" fillId="12" borderId="8" xfId="2" applyFont="1" applyFill="1" applyBorder="1" applyAlignment="1">
      <alignment horizontal="center"/>
    </xf>
    <xf numFmtId="166" fontId="5" fillId="13" borderId="0" xfId="2" applyNumberFormat="1" applyFont="1" applyFill="1" applyAlignment="1">
      <alignment horizontal="center"/>
    </xf>
    <xf numFmtId="0" fontId="15" fillId="0" borderId="2" xfId="0" applyFont="1" applyBorder="1"/>
    <xf numFmtId="0" fontId="16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3" fillId="7" borderId="5" xfId="2" applyFont="1" applyFill="1" applyBorder="1" applyAlignment="1">
      <alignment horizontal="center" vertical="center"/>
    </xf>
    <xf numFmtId="0" fontId="13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7" fillId="0" borderId="28" xfId="0" applyFont="1" applyFill="1" applyBorder="1" applyAlignment="1" applyProtection="1">
      <alignment horizontal="center"/>
      <protection locked="0"/>
    </xf>
    <xf numFmtId="0" fontId="7" fillId="0" borderId="29" xfId="0" applyFont="1" applyFill="1" applyBorder="1" applyAlignment="1" applyProtection="1">
      <alignment horizontal="center"/>
      <protection locked="0"/>
    </xf>
    <xf numFmtId="0" fontId="7" fillId="0" borderId="30" xfId="0" applyFont="1" applyFill="1" applyBorder="1" applyAlignment="1" applyProtection="1">
      <alignment horizontal="center"/>
      <protection locked="0"/>
    </xf>
    <xf numFmtId="0" fontId="7" fillId="0" borderId="31" xfId="0" applyFont="1" applyFill="1" applyBorder="1" applyAlignment="1" applyProtection="1">
      <alignment horizontal="center"/>
      <protection locked="0"/>
    </xf>
    <xf numFmtId="0" fontId="7" fillId="0" borderId="32" xfId="0" applyFont="1" applyFill="1" applyBorder="1" applyAlignment="1" applyProtection="1">
      <alignment horizontal="center"/>
      <protection locked="0"/>
    </xf>
    <xf numFmtId="0" fontId="7" fillId="0" borderId="33" xfId="0" applyFont="1" applyFill="1" applyBorder="1" applyAlignment="1" applyProtection="1">
      <alignment horizontal="center"/>
      <protection locked="0"/>
    </xf>
    <xf numFmtId="0" fontId="7" fillId="0" borderId="34" xfId="0" applyFont="1" applyFill="1" applyBorder="1" applyAlignment="1" applyProtection="1">
      <alignment horizontal="center"/>
      <protection locked="0"/>
    </xf>
    <xf numFmtId="0" fontId="7" fillId="0" borderId="35" xfId="0" applyFont="1" applyFill="1" applyBorder="1" applyAlignment="1" applyProtection="1">
      <alignment horizontal="center"/>
      <protection locked="0"/>
    </xf>
    <xf numFmtId="0" fontId="7" fillId="0" borderId="36" xfId="0" applyFont="1" applyFill="1" applyBorder="1" applyAlignment="1" applyProtection="1">
      <alignment horizontal="center"/>
      <protection locked="0"/>
    </xf>
    <xf numFmtId="0" fontId="7" fillId="0" borderId="37" xfId="0" applyFont="1" applyFill="1" applyBorder="1" applyAlignment="1"/>
    <xf numFmtId="166" fontId="3" fillId="0" borderId="0" xfId="0" applyNumberFormat="1" applyFont="1" applyFill="1" applyAlignment="1">
      <alignment horizontal="center"/>
    </xf>
    <xf numFmtId="0" fontId="18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6" fontId="3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7" fontId="13" fillId="6" borderId="7" xfId="2" applyNumberFormat="1" applyFont="1" applyFill="1" applyBorder="1" applyAlignment="1" applyProtection="1">
      <alignment horizontal="center"/>
      <protection locked="0"/>
    </xf>
    <xf numFmtId="165" fontId="5" fillId="2" borderId="0" xfId="2" applyNumberFormat="1" applyFont="1" applyFill="1" applyAlignment="1" applyProtection="1">
      <alignment horizontal="center"/>
      <protection locked="0"/>
    </xf>
    <xf numFmtId="14" fontId="3" fillId="4" borderId="0" xfId="4" applyNumberFormat="1" applyFont="1" applyFill="1" applyAlignment="1" applyProtection="1">
      <alignment horizontal="center"/>
      <protection locked="0"/>
    </xf>
    <xf numFmtId="0" fontId="7" fillId="17" borderId="45" xfId="0" applyFont="1" applyFill="1" applyBorder="1" applyAlignment="1" applyProtection="1">
      <alignment horizontal="center"/>
    </xf>
    <xf numFmtId="0" fontId="7" fillId="18" borderId="45" xfId="0" applyFont="1" applyFill="1" applyBorder="1" applyAlignment="1" applyProtection="1">
      <alignment horizontal="center"/>
    </xf>
    <xf numFmtId="0" fontId="7" fillId="15" borderId="38" xfId="0" applyFont="1" applyFill="1" applyBorder="1" applyAlignment="1" applyProtection="1"/>
    <xf numFmtId="0" fontId="7" fillId="15" borderId="39" xfId="0" applyFont="1" applyFill="1" applyBorder="1" applyAlignment="1" applyProtection="1"/>
    <xf numFmtId="0" fontId="7" fillId="15" borderId="40" xfId="0" applyFont="1" applyFill="1" applyBorder="1" applyAlignment="1" applyProtection="1"/>
    <xf numFmtId="0" fontId="7" fillId="15" borderId="41" xfId="0" applyFont="1" applyFill="1" applyBorder="1" applyAlignment="1" applyProtection="1"/>
    <xf numFmtId="0" fontId="7" fillId="15" borderId="42" xfId="0" applyFont="1" applyFill="1" applyBorder="1" applyAlignment="1" applyProtection="1">
      <alignment horizontal="left"/>
    </xf>
    <xf numFmtId="0" fontId="7" fillId="16" borderId="40" xfId="0" applyFont="1" applyFill="1" applyBorder="1" applyAlignment="1" applyProtection="1"/>
    <xf numFmtId="0" fontId="7" fillId="16" borderId="41" xfId="0" applyFont="1" applyFill="1" applyBorder="1" applyAlignment="1" applyProtection="1"/>
    <xf numFmtId="0" fontId="7" fillId="16" borderId="43" xfId="0" applyFont="1" applyFill="1" applyBorder="1" applyAlignment="1" applyProtection="1">
      <alignment horizontal="left"/>
    </xf>
    <xf numFmtId="0" fontId="7" fillId="16" borderId="29" xfId="0" applyFont="1" applyFill="1" applyBorder="1" applyAlignment="1" applyProtection="1">
      <alignment horizontal="left"/>
    </xf>
    <xf numFmtId="0" fontId="7" fillId="16" borderId="36" xfId="0" applyFont="1" applyFill="1" applyBorder="1" applyAlignment="1" applyProtection="1">
      <alignment horizontal="left"/>
    </xf>
    <xf numFmtId="0" fontId="7" fillId="16" borderId="31" xfId="0" applyFont="1" applyFill="1" applyBorder="1" applyAlignment="1" applyProtection="1">
      <alignment horizontal="left"/>
    </xf>
    <xf numFmtId="0" fontId="7" fillId="15" borderId="0" xfId="0" applyFont="1" applyFill="1" applyBorder="1" applyAlignment="1" applyProtection="1">
      <alignment horizontal="left"/>
    </xf>
    <xf numFmtId="0" fontId="19" fillId="0" borderId="0" xfId="0" applyFont="1" applyAlignment="1"/>
    <xf numFmtId="1" fontId="3" fillId="0" borderId="0" xfId="0" applyNumberFormat="1" applyFont="1"/>
    <xf numFmtId="1" fontId="12" fillId="0" borderId="0" xfId="0" applyNumberFormat="1" applyFont="1"/>
    <xf numFmtId="1" fontId="12" fillId="0" borderId="0" xfId="0" applyNumberFormat="1" applyFont="1" applyAlignment="1">
      <alignment horizontal="center"/>
    </xf>
    <xf numFmtId="1" fontId="3" fillId="10" borderId="43" xfId="0" applyNumberFormat="1" applyFont="1" applyFill="1" applyBorder="1" applyAlignment="1">
      <alignment horizontal="left"/>
    </xf>
    <xf numFmtId="166" fontId="3" fillId="0" borderId="0" xfId="0" applyNumberFormat="1" applyFont="1" applyAlignment="1">
      <alignment horizontal="center"/>
    </xf>
    <xf numFmtId="0" fontId="8" fillId="0" borderId="0" xfId="2" applyFont="1" applyFill="1" applyBorder="1" applyAlignment="1">
      <alignment horizontal="center"/>
    </xf>
    <xf numFmtId="0" fontId="3" fillId="0" borderId="0" xfId="2" applyFont="1" applyFill="1" applyBorder="1" applyAlignment="1">
      <alignment horizontal="center"/>
    </xf>
    <xf numFmtId="0" fontId="8" fillId="0" borderId="0" xfId="0" applyFont="1"/>
    <xf numFmtId="1" fontId="3" fillId="12" borderId="43" xfId="0" applyNumberFormat="1" applyFont="1" applyFill="1" applyBorder="1" applyAlignment="1">
      <alignment horizontal="left"/>
    </xf>
    <xf numFmtId="1" fontId="3" fillId="0" borderId="0" xfId="0" applyNumberFormat="1" applyFont="1" applyFill="1"/>
    <xf numFmtId="1" fontId="12" fillId="10" borderId="43" xfId="0" applyNumberFormat="1" applyFont="1" applyFill="1" applyBorder="1"/>
    <xf numFmtId="3" fontId="20" fillId="0" borderId="0" xfId="0" applyNumberFormat="1" applyFont="1" applyAlignment="1">
      <alignment horizontal="right"/>
    </xf>
    <xf numFmtId="3" fontId="12" fillId="10" borderId="43" xfId="0" applyNumberFormat="1" applyFont="1" applyFill="1" applyBorder="1" applyAlignment="1">
      <alignment horizontal="left"/>
    </xf>
    <xf numFmtId="3" fontId="3" fillId="0" borderId="0" xfId="0" applyNumberFormat="1" applyFont="1" applyFill="1"/>
    <xf numFmtId="1" fontId="12" fillId="10" borderId="43" xfId="0" applyNumberFormat="1" applyFont="1" applyFill="1" applyBorder="1" applyAlignment="1">
      <alignment horizontal="left"/>
    </xf>
    <xf numFmtId="14" fontId="3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8" fillId="0" borderId="0" xfId="2" applyFont="1" applyFill="1" applyBorder="1" applyAlignment="1" applyProtection="1">
      <alignment horizontal="center"/>
      <protection locked="0"/>
    </xf>
    <xf numFmtId="0" fontId="21" fillId="0" borderId="23" xfId="0" applyFont="1" applyBorder="1" applyAlignment="1">
      <alignment horizontal="center"/>
    </xf>
    <xf numFmtId="17" fontId="21" fillId="0" borderId="16" xfId="0" applyNumberFormat="1" applyFont="1" applyBorder="1" applyAlignment="1">
      <alignment horizontal="center"/>
    </xf>
    <xf numFmtId="17" fontId="21" fillId="0" borderId="46" xfId="0" applyNumberFormat="1" applyFont="1" applyBorder="1" applyAlignment="1">
      <alignment horizontal="center"/>
    </xf>
    <xf numFmtId="168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1" fillId="0" borderId="23" xfId="0" applyNumberFormat="1" applyFont="1" applyBorder="1" applyAlignment="1">
      <alignment horizontal="center"/>
    </xf>
    <xf numFmtId="21" fontId="10" fillId="0" borderId="0" xfId="0" applyNumberFormat="1" applyFont="1" applyAlignment="1">
      <alignment horizontal="center"/>
    </xf>
    <xf numFmtId="21" fontId="11" fillId="0" borderId="0" xfId="0" applyNumberFormat="1" applyFont="1" applyAlignment="1">
      <alignment horizontal="center"/>
    </xf>
    <xf numFmtId="0" fontId="21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0" fillId="0" borderId="49" xfId="0" applyBorder="1"/>
    <xf numFmtId="0" fontId="1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37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2" borderId="60" xfId="2" applyFont="1" applyFill="1" applyBorder="1" applyAlignment="1">
      <alignment horizontal="center"/>
    </xf>
    <xf numFmtId="0" fontId="5" fillId="12" borderId="11" xfId="2" applyFont="1" applyFill="1" applyBorder="1" applyAlignment="1">
      <alignment horizontal="center"/>
    </xf>
    <xf numFmtId="2" fontId="5" fillId="12" borderId="12" xfId="2" applyNumberFormat="1" applyFont="1" applyFill="1" applyBorder="1" applyAlignment="1">
      <alignment horizontal="center"/>
    </xf>
    <xf numFmtId="167" fontId="13" fillId="6" borderId="8" xfId="2" applyNumberFormat="1" applyFont="1" applyFill="1" applyBorder="1" applyAlignment="1" applyProtection="1">
      <alignment horizontal="center"/>
      <protection locked="0"/>
    </xf>
    <xf numFmtId="0" fontId="14" fillId="12" borderId="10" xfId="2" applyFont="1" applyFill="1" applyBorder="1" applyAlignment="1">
      <alignment horizontal="center"/>
    </xf>
    <xf numFmtId="3" fontId="5" fillId="12" borderId="12" xfId="2" applyNumberFormat="1" applyFont="1" applyFill="1" applyBorder="1" applyAlignment="1">
      <alignment horizontal="center"/>
    </xf>
    <xf numFmtId="0" fontId="0" fillId="0" borderId="0" xfId="0"/>
    <xf numFmtId="0" fontId="5" fillId="39" borderId="0" xfId="0" applyFont="1" applyFill="1" applyBorder="1" applyAlignment="1">
      <alignment horizontal="center"/>
    </xf>
    <xf numFmtId="0" fontId="5" fillId="39" borderId="2" xfId="0" applyFont="1" applyFill="1" applyBorder="1" applyAlignment="1">
      <alignment horizontal="center"/>
    </xf>
    <xf numFmtId="0" fontId="40" fillId="0" borderId="0" xfId="0" applyFont="1"/>
    <xf numFmtId="21" fontId="22" fillId="0" borderId="2" xfId="0" applyNumberFormat="1" applyFont="1" applyBorder="1" applyAlignment="1">
      <alignment horizontal="center"/>
    </xf>
    <xf numFmtId="168" fontId="22" fillId="0" borderId="2" xfId="1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22" fillId="0" borderId="21" xfId="1" applyNumberFormat="1" applyFont="1" applyBorder="1" applyAlignment="1">
      <alignment horizontal="center"/>
    </xf>
    <xf numFmtId="0" fontId="39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3" fillId="38" borderId="2" xfId="6" applyFill="1" applyBorder="1" applyAlignment="1" applyProtection="1">
      <alignment horizontal="center"/>
      <protection locked="0"/>
    </xf>
    <xf numFmtId="0" fontId="3" fillId="40" borderId="2" xfId="6" applyFill="1" applyBorder="1" applyAlignment="1" applyProtection="1">
      <alignment horizontal="center"/>
      <protection locked="0"/>
    </xf>
    <xf numFmtId="0" fontId="7" fillId="41" borderId="45" xfId="0" applyFont="1" applyFill="1" applyBorder="1" applyAlignment="1" applyProtection="1">
      <alignment horizontal="center"/>
    </xf>
    <xf numFmtId="0" fontId="5" fillId="9" borderId="2" xfId="0" applyFont="1" applyFill="1" applyBorder="1" applyAlignment="1">
      <alignment horizontal="center"/>
    </xf>
    <xf numFmtId="3" fontId="15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0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37" borderId="2" xfId="0" applyFont="1" applyFill="1" applyBorder="1" applyAlignment="1">
      <alignment horizontal="center"/>
    </xf>
    <xf numFmtId="0" fontId="5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12" borderId="44" xfId="2" applyFont="1" applyFill="1" applyBorder="1" applyAlignment="1">
      <alignment horizontal="center"/>
    </xf>
    <xf numFmtId="0" fontId="5" fillId="12" borderId="64" xfId="2" applyFont="1" applyFill="1" applyBorder="1" applyAlignment="1" applyProtection="1">
      <alignment horizontal="center"/>
    </xf>
    <xf numFmtId="0" fontId="5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5" borderId="68" xfId="0" applyFont="1" applyFill="1" applyBorder="1" applyAlignment="1" applyProtection="1"/>
    <xf numFmtId="0" fontId="3" fillId="43" borderId="2" xfId="6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0" fontId="43" fillId="45" borderId="15" xfId="0" applyFont="1" applyFill="1" applyBorder="1" applyAlignment="1">
      <alignment horizontal="center" vertical="center"/>
    </xf>
    <xf numFmtId="0" fontId="43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4" fillId="0" borderId="2" xfId="0" applyFont="1" applyBorder="1" applyAlignment="1">
      <alignment horizontal="center" vertical="center"/>
    </xf>
    <xf numFmtId="166" fontId="0" fillId="0" borderId="0" xfId="0" applyNumberFormat="1"/>
    <xf numFmtId="166" fontId="0" fillId="0" borderId="0" xfId="0" applyNumberFormat="1" applyBorder="1"/>
    <xf numFmtId="0" fontId="41" fillId="0" borderId="2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39" fillId="0" borderId="2" xfId="0" applyNumberFormat="1" applyFont="1" applyBorder="1" applyAlignment="1">
      <alignment horizontal="center" vertical="center"/>
    </xf>
    <xf numFmtId="3" fontId="39" fillId="0" borderId="2" xfId="0" applyNumberFormat="1" applyFont="1" applyBorder="1" applyAlignment="1">
      <alignment horizontal="center" vertical="center"/>
    </xf>
    <xf numFmtId="166" fontId="39" fillId="0" borderId="2" xfId="0" applyNumberFormat="1" applyFont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7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6" fillId="14" borderId="2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5" fillId="0" borderId="0" xfId="2" applyFont="1" applyFill="1" applyAlignment="1">
      <alignment vertical="center"/>
    </xf>
    <xf numFmtId="3" fontId="5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43" borderId="72" xfId="0" applyFill="1" applyBorder="1" applyAlignment="1">
      <alignment horizontal="center"/>
    </xf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5" fillId="50" borderId="2" xfId="2" applyNumberFormat="1" applyFont="1" applyFill="1" applyBorder="1" applyAlignment="1">
      <alignment horizontal="center"/>
    </xf>
    <xf numFmtId="0" fontId="5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4" fillId="12" borderId="8" xfId="2" applyFont="1" applyFill="1" applyBorder="1" applyAlignment="1">
      <alignment horizontal="center" vertical="center" wrapText="1"/>
    </xf>
    <xf numFmtId="0" fontId="14" fillId="12" borderId="8" xfId="2" applyFont="1" applyFill="1" applyBorder="1" applyAlignment="1">
      <alignment horizontal="center" wrapText="1"/>
    </xf>
    <xf numFmtId="0" fontId="14" fillId="0" borderId="0" xfId="2" applyFont="1" applyFill="1" applyAlignment="1">
      <alignment vertical="center" wrapText="1"/>
    </xf>
    <xf numFmtId="0" fontId="13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3" borderId="0" xfId="0" applyFill="1"/>
    <xf numFmtId="1" fontId="3" fillId="12" borderId="0" xfId="0" applyNumberFormat="1" applyFont="1" applyFill="1" applyBorder="1" applyAlignment="1">
      <alignment horizontal="left"/>
    </xf>
    <xf numFmtId="1" fontId="3" fillId="54" borderId="43" xfId="0" applyNumberFormat="1" applyFont="1" applyFill="1" applyBorder="1" applyAlignment="1">
      <alignment horizontal="left"/>
    </xf>
    <xf numFmtId="0" fontId="4" fillId="0" borderId="0" xfId="2" applyFont="1" applyFill="1" applyAlignment="1"/>
    <xf numFmtId="0" fontId="5" fillId="51" borderId="61" xfId="2" applyFont="1" applyFill="1" applyBorder="1" applyAlignment="1">
      <alignment horizontal="center" vertical="center" wrapText="1"/>
    </xf>
    <xf numFmtId="0" fontId="5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3" fillId="12" borderId="2" xfId="0" applyNumberFormat="1" applyFont="1" applyFill="1" applyBorder="1" applyAlignment="1">
      <alignment horizontal="left"/>
    </xf>
    <xf numFmtId="0" fontId="0" fillId="0" borderId="71" xfId="0" applyFill="1" applyBorder="1" applyAlignment="1">
      <alignment horizontal="center"/>
    </xf>
    <xf numFmtId="0" fontId="5" fillId="9" borderId="0" xfId="0" applyFont="1" applyFill="1" applyBorder="1" applyAlignment="1">
      <alignment horizontal="center"/>
    </xf>
    <xf numFmtId="0" fontId="0" fillId="55" borderId="0" xfId="0" applyFill="1"/>
    <xf numFmtId="0" fontId="5" fillId="39" borderId="66" xfId="0" applyFont="1" applyFill="1" applyBorder="1" applyAlignment="1">
      <alignment horizontal="center"/>
    </xf>
    <xf numFmtId="0" fontId="5" fillId="39" borderId="17" xfId="0" applyFont="1" applyFill="1" applyBorder="1" applyAlignment="1">
      <alignment horizontal="center"/>
    </xf>
    <xf numFmtId="0" fontId="5" fillId="39" borderId="65" xfId="0" applyFont="1" applyFill="1" applyBorder="1" applyAlignment="1">
      <alignment horizontal="center"/>
    </xf>
    <xf numFmtId="0" fontId="5" fillId="39" borderId="9" xfId="0" applyFont="1" applyFill="1" applyBorder="1" applyAlignment="1">
      <alignment horizontal="center"/>
    </xf>
    <xf numFmtId="0" fontId="5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20" fillId="57" borderId="0" xfId="0" applyNumberFormat="1" applyFont="1" applyFill="1" applyAlignment="1">
      <alignment horizontal="right"/>
    </xf>
    <xf numFmtId="0" fontId="0" fillId="52" borderId="76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13" fillId="6" borderId="5" xfId="2" applyFont="1" applyFill="1" applyBorder="1" applyAlignment="1">
      <alignment horizontal="center"/>
    </xf>
    <xf numFmtId="3" fontId="38" fillId="53" borderId="0" xfId="0" applyNumberFormat="1" applyFont="1" applyFill="1"/>
    <xf numFmtId="0" fontId="48" fillId="56" borderId="2" xfId="0" applyFont="1" applyFill="1" applyBorder="1"/>
    <xf numFmtId="0" fontId="0" fillId="0" borderId="0" xfId="0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3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0" fillId="0" borderId="0" xfId="0" applyFill="1" applyAlignment="1">
      <alignment horizontal="center" vertical="center" wrapText="1"/>
    </xf>
    <xf numFmtId="4" fontId="38" fillId="53" borderId="0" xfId="0" applyNumberFormat="1" applyFont="1" applyFill="1"/>
    <xf numFmtId="0" fontId="0" fillId="0" borderId="74" xfId="0" applyBorder="1" applyAlignment="1">
      <alignment horizontal="center"/>
    </xf>
    <xf numFmtId="0" fontId="0" fillId="0" borderId="0" xfId="0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9" fillId="0" borderId="0" xfId="2" applyFont="1" applyFill="1" applyAlignment="1">
      <alignment vertical="center" wrapText="1"/>
    </xf>
    <xf numFmtId="0" fontId="5" fillId="43" borderId="2" xfId="0" applyFont="1" applyFill="1" applyBorder="1" applyAlignment="1">
      <alignment horizontal="center"/>
    </xf>
    <xf numFmtId="0" fontId="0" fillId="0" borderId="0" xfId="0" applyAlignment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6" borderId="77" xfId="0" applyFont="1" applyFill="1" applyBorder="1" applyAlignment="1" applyProtection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3" fillId="58" borderId="43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3" fontId="15" fillId="0" borderId="2" xfId="0" applyNumberFormat="1" applyFont="1" applyFill="1" applyBorder="1" applyAlignment="1">
      <alignment horizontal="center" vertical="center"/>
    </xf>
    <xf numFmtId="0" fontId="3" fillId="43" borderId="2" xfId="6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2" fillId="56" borderId="0" xfId="2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3" fontId="0" fillId="0" borderId="1" xfId="0" applyNumberFormat="1" applyBorder="1"/>
    <xf numFmtId="3" fontId="0" fillId="0" borderId="61" xfId="0" applyNumberFormat="1" applyBorder="1"/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5" fillId="39" borderId="0" xfId="0" applyFont="1" applyFill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169" fontId="0" fillId="0" borderId="0" xfId="0" applyNumberFormat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43" borderId="1" xfId="6" applyFill="1" applyBorder="1" applyAlignment="1" applyProtection="1">
      <alignment horizontal="center"/>
      <protection locked="0"/>
    </xf>
    <xf numFmtId="0" fontId="51" fillId="43" borderId="2" xfId="0" applyFont="1" applyFill="1" applyBorder="1" applyAlignment="1">
      <alignment horizontal="center"/>
    </xf>
    <xf numFmtId="0" fontId="7" fillId="0" borderId="0" xfId="0" applyFont="1" applyFill="1" applyBorder="1" applyAlignment="1" applyProtection="1">
      <alignment horizontal="center"/>
      <protection locked="0"/>
    </xf>
    <xf numFmtId="0" fontId="3" fillId="40" borderId="2" xfId="6" applyFont="1" applyFill="1" applyBorder="1" applyAlignment="1" applyProtection="1">
      <alignment horizontal="center"/>
      <protection locked="0"/>
    </xf>
    <xf numFmtId="1" fontId="3" fillId="12" borderId="36" xfId="0" applyNumberFormat="1" applyFont="1" applyFill="1" applyBorder="1" applyAlignment="1">
      <alignment horizontal="left"/>
    </xf>
    <xf numFmtId="0" fontId="7" fillId="0" borderId="0" xfId="0" applyFont="1" applyFill="1" applyBorder="1" applyAlignment="1"/>
    <xf numFmtId="0" fontId="13" fillId="6" borderId="5" xfId="2" applyFont="1" applyFill="1" applyBorder="1" applyAlignment="1">
      <alignment horizontal="center"/>
    </xf>
    <xf numFmtId="0" fontId="5" fillId="38" borderId="2" xfId="0" applyFont="1" applyFill="1" applyBorder="1" applyAlignment="1">
      <alignment horizontal="center"/>
    </xf>
    <xf numFmtId="0" fontId="3" fillId="38" borderId="2" xfId="6" applyFont="1" applyFill="1" applyBorder="1" applyAlignment="1" applyProtection="1">
      <alignment horizontal="center"/>
      <protection locked="0"/>
    </xf>
    <xf numFmtId="0" fontId="3" fillId="40" borderId="1" xfId="6" applyFill="1" applyBorder="1" applyAlignment="1" applyProtection="1">
      <alignment horizontal="center"/>
      <protection locked="0"/>
    </xf>
    <xf numFmtId="0" fontId="3" fillId="40" borderId="1" xfId="6" applyFont="1" applyFill="1" applyBorder="1" applyAlignment="1" applyProtection="1">
      <alignment horizontal="center"/>
      <protection locked="0"/>
    </xf>
    <xf numFmtId="3" fontId="55" fillId="0" borderId="2" xfId="0" applyNumberFormat="1" applyFont="1" applyBorder="1" applyAlignment="1">
      <alignment horizontal="center" vertical="center" wrapText="1"/>
    </xf>
    <xf numFmtId="0" fontId="51" fillId="38" borderId="2" xfId="0" applyFont="1" applyFill="1" applyBorder="1" applyAlignment="1">
      <alignment horizontal="center"/>
    </xf>
    <xf numFmtId="0" fontId="3" fillId="43" borderId="1" xfId="6" applyFont="1" applyFill="1" applyBorder="1" applyAlignment="1" applyProtection="1">
      <alignment horizontal="center"/>
      <protection locked="0"/>
    </xf>
    <xf numFmtId="3" fontId="0" fillId="53" borderId="2" xfId="0" applyNumberFormat="1" applyFill="1" applyBorder="1" applyAlignment="1">
      <alignment horizontal="center"/>
    </xf>
    <xf numFmtId="166" fontId="0" fillId="53" borderId="2" xfId="0" applyNumberFormat="1" applyFill="1" applyBorder="1" applyAlignment="1">
      <alignment horizontal="center"/>
    </xf>
    <xf numFmtId="0" fontId="0" fillId="53" borderId="2" xfId="0" applyNumberFormat="1" applyFill="1" applyBorder="1" applyAlignment="1">
      <alignment horizontal="center"/>
    </xf>
    <xf numFmtId="0" fontId="1" fillId="53" borderId="2" xfId="0" applyFont="1" applyFill="1" applyBorder="1" applyAlignment="1">
      <alignment horizontal="center" vertical="center"/>
    </xf>
    <xf numFmtId="0" fontId="41" fillId="53" borderId="2" xfId="0" applyFont="1" applyFill="1" applyBorder="1" applyAlignment="1">
      <alignment horizontal="center"/>
    </xf>
    <xf numFmtId="0" fontId="41" fillId="53" borderId="2" xfId="0" applyFont="1" applyFill="1" applyBorder="1" applyAlignment="1">
      <alignment horizontal="center" wrapText="1"/>
    </xf>
    <xf numFmtId="0" fontId="5" fillId="40" borderId="2" xfId="0" applyFont="1" applyFill="1" applyBorder="1" applyAlignment="1">
      <alignment horizontal="center"/>
    </xf>
    <xf numFmtId="0" fontId="3" fillId="38" borderId="1" xfId="6" applyFill="1" applyBorder="1" applyAlignment="1" applyProtection="1">
      <alignment horizontal="center"/>
      <protection locked="0"/>
    </xf>
    <xf numFmtId="0" fontId="3" fillId="38" borderId="1" xfId="6" applyFont="1" applyFill="1" applyBorder="1" applyAlignment="1" applyProtection="1">
      <alignment horizontal="center"/>
      <protection locked="0"/>
    </xf>
    <xf numFmtId="0" fontId="51" fillId="40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6" borderId="2" xfId="0" applyFont="1" applyFill="1" applyBorder="1" applyAlignment="1" applyProtection="1">
      <alignment horizontal="left"/>
    </xf>
    <xf numFmtId="0" fontId="5" fillId="37" borderId="66" xfId="0" applyFont="1" applyFill="1" applyBorder="1" applyAlignment="1">
      <alignment horizontal="center"/>
    </xf>
    <xf numFmtId="0" fontId="5" fillId="37" borderId="17" xfId="0" applyFont="1" applyFill="1" applyBorder="1" applyAlignment="1">
      <alignment horizontal="center"/>
    </xf>
    <xf numFmtId="0" fontId="5" fillId="37" borderId="65" xfId="0" applyFont="1" applyFill="1" applyBorder="1" applyAlignment="1">
      <alignment horizontal="center"/>
    </xf>
    <xf numFmtId="0" fontId="5" fillId="37" borderId="9" xfId="0" applyFont="1" applyFill="1" applyBorder="1" applyAlignment="1">
      <alignment horizontal="center"/>
    </xf>
    <xf numFmtId="0" fontId="5" fillId="37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37" borderId="0" xfId="0" applyFont="1" applyFill="1" applyAlignment="1">
      <alignment horizontal="center"/>
    </xf>
    <xf numFmtId="0" fontId="0" fillId="60" borderId="84" xfId="0" applyFill="1" applyBorder="1" applyAlignment="1">
      <alignment vertical="center" wrapText="1"/>
    </xf>
    <xf numFmtId="0" fontId="0" fillId="61" borderId="84" xfId="0" applyFill="1" applyBorder="1" applyAlignment="1">
      <alignment vertical="center" wrapText="1"/>
    </xf>
    <xf numFmtId="0" fontId="4" fillId="0" borderId="0" xfId="2" applyFont="1" applyFill="1" applyAlignment="1">
      <alignment horizontal="center"/>
    </xf>
    <xf numFmtId="0" fontId="0" fillId="52" borderId="77" xfId="0" applyFill="1" applyBorder="1" applyAlignment="1">
      <alignment horizontal="center" vertical="center" wrapText="1"/>
    </xf>
    <xf numFmtId="0" fontId="0" fillId="52" borderId="78" xfId="0" applyFill="1" applyBorder="1" applyAlignment="1">
      <alignment horizontal="center" vertical="center" wrapText="1"/>
    </xf>
    <xf numFmtId="0" fontId="0" fillId="52" borderId="50" xfId="0" applyFill="1" applyBorder="1" applyAlignment="1">
      <alignment horizontal="center" vertical="center" wrapText="1"/>
    </xf>
    <xf numFmtId="0" fontId="14" fillId="8" borderId="75" xfId="2" applyFont="1" applyFill="1" applyBorder="1" applyAlignment="1">
      <alignment horizontal="center" vertical="center" wrapText="1"/>
    </xf>
    <xf numFmtId="0" fontId="14" fillId="8" borderId="5" xfId="2" applyFont="1" applyFill="1" applyBorder="1" applyAlignment="1">
      <alignment horizontal="center" vertical="center" wrapText="1"/>
    </xf>
    <xf numFmtId="0" fontId="14" fillId="51" borderId="79" xfId="2" applyFont="1" applyFill="1" applyBorder="1" applyAlignment="1">
      <alignment horizontal="center" vertical="top"/>
    </xf>
    <xf numFmtId="0" fontId="14" fillId="51" borderId="80" xfId="2" applyFont="1" applyFill="1" applyBorder="1" applyAlignment="1">
      <alignment horizontal="center" vertical="top"/>
    </xf>
    <xf numFmtId="0" fontId="14" fillId="51" borderId="81" xfId="2" applyFont="1" applyFill="1" applyBorder="1" applyAlignment="1">
      <alignment horizontal="center" vertical="top"/>
    </xf>
    <xf numFmtId="0" fontId="39" fillId="52" borderId="82" xfId="0" applyFont="1" applyFill="1" applyBorder="1" applyAlignment="1">
      <alignment horizontal="center"/>
    </xf>
    <xf numFmtId="0" fontId="39" fillId="52" borderId="83" xfId="0" applyFont="1" applyFill="1" applyBorder="1" applyAlignment="1">
      <alignment horizontal="center"/>
    </xf>
    <xf numFmtId="0" fontId="39" fillId="52" borderId="50" xfId="0" applyFont="1" applyFill="1" applyBorder="1" applyAlignment="1">
      <alignment horizontal="center"/>
    </xf>
    <xf numFmtId="0" fontId="14" fillId="51" borderId="0" xfId="2" applyFont="1" applyFill="1" applyBorder="1" applyAlignment="1">
      <alignment horizontal="center" vertical="top"/>
    </xf>
    <xf numFmtId="0" fontId="14" fillId="51" borderId="17" xfId="2" applyFont="1" applyFill="1" applyBorder="1" applyAlignment="1">
      <alignment horizontal="center" vertical="top"/>
    </xf>
    <xf numFmtId="0" fontId="13" fillId="7" borderId="5" xfId="2" applyFont="1" applyFill="1" applyBorder="1" applyAlignment="1">
      <alignment horizontal="center" vertical="center"/>
    </xf>
    <xf numFmtId="0" fontId="10" fillId="47" borderId="10" xfId="0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0" fontId="10" fillId="47" borderId="12" xfId="0" applyFont="1" applyFill="1" applyBorder="1" applyAlignment="1">
      <alignment horizontal="center"/>
    </xf>
    <xf numFmtId="0" fontId="13" fillId="7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7" borderId="6" xfId="2" applyFont="1" applyFill="1" applyBorder="1" applyAlignment="1">
      <alignment horizontal="center" vertical="center"/>
    </xf>
    <xf numFmtId="0" fontId="14" fillId="38" borderId="0" xfId="2" applyFont="1" applyFill="1" applyAlignment="1">
      <alignment horizontal="center" vertical="center" wrapText="1"/>
    </xf>
    <xf numFmtId="0" fontId="14" fillId="40" borderId="0" xfId="2" applyFont="1" applyFill="1" applyAlignment="1">
      <alignment horizontal="center" vertical="center" wrapText="1"/>
    </xf>
    <xf numFmtId="0" fontId="14" fillId="59" borderId="0" xfId="2" applyFont="1" applyFill="1" applyAlignment="1">
      <alignment horizontal="center" vertical="center" wrapText="1"/>
    </xf>
    <xf numFmtId="0" fontId="50" fillId="0" borderId="0" xfId="2" applyFont="1" applyFill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81" xfId="0" applyBorder="1" applyAlignment="1">
      <alignment horizontal="center"/>
    </xf>
    <xf numFmtId="0" fontId="49" fillId="0" borderId="0" xfId="2" applyFont="1" applyFill="1" applyAlignment="1">
      <alignment horizontal="center" vertical="center" wrapText="1"/>
    </xf>
    <xf numFmtId="14" fontId="17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2" fillId="44" borderId="69" xfId="0" applyNumberFormat="1" applyFont="1" applyFill="1" applyBorder="1" applyAlignment="1">
      <alignment horizontal="center" vertical="center"/>
    </xf>
    <xf numFmtId="49" fontId="42" fillId="44" borderId="67" xfId="0" applyNumberFormat="1" applyFont="1" applyFill="1" applyBorder="1" applyAlignment="1">
      <alignment horizontal="center" vertical="center"/>
    </xf>
    <xf numFmtId="17" fontId="21" fillId="19" borderId="10" xfId="0" applyNumberFormat="1" applyFont="1" applyFill="1" applyBorder="1" applyAlignment="1">
      <alignment horizontal="center"/>
    </xf>
    <xf numFmtId="17" fontId="21" fillId="19" borderId="11" xfId="0" applyNumberFormat="1" applyFont="1" applyFill="1" applyBorder="1" applyAlignment="1">
      <alignment horizontal="center"/>
    </xf>
    <xf numFmtId="17" fontId="21" fillId="19" borderId="12" xfId="0" applyNumberFormat="1" applyFont="1" applyFill="1" applyBorder="1" applyAlignment="1">
      <alignment horizontal="center"/>
    </xf>
    <xf numFmtId="17" fontId="21" fillId="20" borderId="10" xfId="0" applyNumberFormat="1" applyFont="1" applyFill="1" applyBorder="1" applyAlignment="1">
      <alignment horizontal="center"/>
    </xf>
    <xf numFmtId="17" fontId="21" fillId="20" borderId="11" xfId="0" applyNumberFormat="1" applyFont="1" applyFill="1" applyBorder="1" applyAlignment="1">
      <alignment horizontal="center"/>
    </xf>
    <xf numFmtId="17" fontId="21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5" fillId="51" borderId="48" xfId="2" applyFont="1" applyFill="1" applyBorder="1" applyAlignment="1">
      <alignment horizontal="center" vertical="center" wrapText="1"/>
    </xf>
    <xf numFmtId="0" fontId="5" fillId="51" borderId="15" xfId="2" applyFont="1" applyFill="1" applyBorder="1" applyAlignment="1">
      <alignment horizontal="center" vertical="center" wrapText="1"/>
    </xf>
    <xf numFmtId="0" fontId="0" fillId="52" borderId="15" xfId="0" applyFont="1" applyFill="1" applyBorder="1" applyAlignment="1">
      <alignment horizontal="center" vertical="center"/>
    </xf>
    <xf numFmtId="0" fontId="0" fillId="52" borderId="3" xfId="0" applyFont="1" applyFill="1" applyBorder="1" applyAlignment="1">
      <alignment horizontal="center" vertical="center"/>
    </xf>
    <xf numFmtId="0" fontId="0" fillId="52" borderId="85" xfId="0" applyFill="1" applyBorder="1" applyAlignment="1">
      <alignment horizontal="center" vertical="center" wrapText="1"/>
    </xf>
    <xf numFmtId="0" fontId="0" fillId="53" borderId="2" xfId="0" applyFill="1" applyBorder="1" applyAlignment="1">
      <alignment horizontal="center"/>
    </xf>
    <xf numFmtId="0" fontId="0" fillId="48" borderId="2" xfId="0" applyFill="1" applyBorder="1" applyAlignment="1">
      <alignment horizontal="center"/>
    </xf>
    <xf numFmtId="0" fontId="0" fillId="43" borderId="2" xfId="0" applyFill="1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84">
    <cellStyle name="20% - Énfasis1 2" xfId="9" xr:uid="{00000000-0005-0000-0000-000000000000}"/>
    <cellStyle name="20% - Énfasis2 2" xfId="10" xr:uid="{00000000-0005-0000-0000-000001000000}"/>
    <cellStyle name="20% - Énfasis3 2" xfId="11" xr:uid="{00000000-0005-0000-0000-000002000000}"/>
    <cellStyle name="20% - Énfasis4 2" xfId="12" xr:uid="{00000000-0005-0000-0000-000003000000}"/>
    <cellStyle name="20% - Énfasis5 2" xfId="13" xr:uid="{00000000-0005-0000-0000-000004000000}"/>
    <cellStyle name="20% - Énfasis6 2" xfId="14" xr:uid="{00000000-0005-0000-0000-000005000000}"/>
    <cellStyle name="40% - Énfasis1 2" xfId="15" xr:uid="{00000000-0005-0000-0000-000006000000}"/>
    <cellStyle name="40% - Énfasis2 2" xfId="16" xr:uid="{00000000-0005-0000-0000-000007000000}"/>
    <cellStyle name="40% - Énfasis3 2" xfId="17" xr:uid="{00000000-0005-0000-0000-000008000000}"/>
    <cellStyle name="40% - Énfasis4 2" xfId="18" xr:uid="{00000000-0005-0000-0000-000009000000}"/>
    <cellStyle name="40% - Énfasis5 2" xfId="19" xr:uid="{00000000-0005-0000-0000-00000A000000}"/>
    <cellStyle name="40% - Énfasis6 2" xfId="20" xr:uid="{00000000-0005-0000-0000-00000B000000}"/>
    <cellStyle name="60% - Énfasis1 2" xfId="21" xr:uid="{00000000-0005-0000-0000-00000C000000}"/>
    <cellStyle name="60% - Énfasis2 2" xfId="22" xr:uid="{00000000-0005-0000-0000-00000D000000}"/>
    <cellStyle name="60% - Énfasis3 2" xfId="23" xr:uid="{00000000-0005-0000-0000-00000E000000}"/>
    <cellStyle name="60% - Énfasis4 2" xfId="24" xr:uid="{00000000-0005-0000-0000-00000F000000}"/>
    <cellStyle name="60% - Énfasis5 2" xfId="25" xr:uid="{00000000-0005-0000-0000-000010000000}"/>
    <cellStyle name="60% - Énfasis6 2" xfId="26" xr:uid="{00000000-0005-0000-0000-000011000000}"/>
    <cellStyle name="Buena 2" xfId="27" xr:uid="{00000000-0005-0000-0000-000012000000}"/>
    <cellStyle name="Cálculo 2" xfId="28" xr:uid="{00000000-0005-0000-0000-000013000000}"/>
    <cellStyle name="Celda de comprobación 2" xfId="29" xr:uid="{00000000-0005-0000-0000-000014000000}"/>
    <cellStyle name="Celda vinculada 2" xfId="30" xr:uid="{00000000-0005-0000-0000-000015000000}"/>
    <cellStyle name="Encabezado 4 2" xfId="31" xr:uid="{00000000-0005-0000-0000-000016000000}"/>
    <cellStyle name="Énfasis1 2" xfId="32" xr:uid="{00000000-0005-0000-0000-000017000000}"/>
    <cellStyle name="Énfasis2 2" xfId="33" xr:uid="{00000000-0005-0000-0000-000018000000}"/>
    <cellStyle name="Énfasis3 2" xfId="34" xr:uid="{00000000-0005-0000-0000-000019000000}"/>
    <cellStyle name="Énfasis4 2" xfId="35" xr:uid="{00000000-0005-0000-0000-00001A000000}"/>
    <cellStyle name="Énfasis5 2" xfId="36" xr:uid="{00000000-0005-0000-0000-00001B000000}"/>
    <cellStyle name="Énfasis6 2" xfId="37" xr:uid="{00000000-0005-0000-0000-00001C000000}"/>
    <cellStyle name="Entrada 2" xfId="38" xr:uid="{00000000-0005-0000-0000-00001D000000}"/>
    <cellStyle name="Incorrecto 2" xfId="39" xr:uid="{00000000-0005-0000-0000-00001E000000}"/>
    <cellStyle name="Millares" xfId="1" builtinId="3"/>
    <cellStyle name="Millares 2" xfId="53" xr:uid="{00000000-0005-0000-0000-000020000000}"/>
    <cellStyle name="Millares 2 2" xfId="56" xr:uid="{00000000-0005-0000-0000-000021000000}"/>
    <cellStyle name="Millares 2 2 2" xfId="60" xr:uid="{00000000-0005-0000-0000-000022000000}"/>
    <cellStyle name="Millares 2 2 2 2" xfId="75" xr:uid="{00000000-0005-0000-0000-000023000000}"/>
    <cellStyle name="Millares 2 2 3" xfId="71" xr:uid="{00000000-0005-0000-0000-000024000000}"/>
    <cellStyle name="Millares 2 3" xfId="59" xr:uid="{00000000-0005-0000-0000-000025000000}"/>
    <cellStyle name="Millares 2 3 2" xfId="74" xr:uid="{00000000-0005-0000-0000-000026000000}"/>
    <cellStyle name="Millares 2 4" xfId="63" xr:uid="{00000000-0005-0000-0000-000027000000}"/>
    <cellStyle name="Millares 2 4 2" xfId="78" xr:uid="{00000000-0005-0000-0000-000028000000}"/>
    <cellStyle name="Millares 2 5" xfId="65" xr:uid="{00000000-0005-0000-0000-000029000000}"/>
    <cellStyle name="Millares 2 5 2" xfId="80" xr:uid="{00000000-0005-0000-0000-00002A000000}"/>
    <cellStyle name="Millares 2 6" xfId="70" xr:uid="{00000000-0005-0000-0000-00002B000000}"/>
    <cellStyle name="Millares 3" xfId="57" xr:uid="{00000000-0005-0000-0000-00002C000000}"/>
    <cellStyle name="Millares 3 2" xfId="61" xr:uid="{00000000-0005-0000-0000-00002D000000}"/>
    <cellStyle name="Millares 3 2 2" xfId="76" xr:uid="{00000000-0005-0000-0000-00002E000000}"/>
    <cellStyle name="Millares 3 3" xfId="64" xr:uid="{00000000-0005-0000-0000-00002F000000}"/>
    <cellStyle name="Millares 3 3 2" xfId="79" xr:uid="{00000000-0005-0000-0000-000030000000}"/>
    <cellStyle name="Millares 3 4" xfId="66" xr:uid="{00000000-0005-0000-0000-000031000000}"/>
    <cellStyle name="Millares 3 4 2" xfId="81" xr:uid="{00000000-0005-0000-0000-000032000000}"/>
    <cellStyle name="Millares 3 5" xfId="72" xr:uid="{00000000-0005-0000-0000-000033000000}"/>
    <cellStyle name="Millares 4" xfId="58" xr:uid="{00000000-0005-0000-0000-000034000000}"/>
    <cellStyle name="Millares 4 2" xfId="73" xr:uid="{00000000-0005-0000-0000-000035000000}"/>
    <cellStyle name="Millares 5" xfId="69" xr:uid="{00000000-0005-0000-0000-000036000000}"/>
    <cellStyle name="Neutral 2" xfId="40" xr:uid="{00000000-0005-0000-0000-000037000000}"/>
    <cellStyle name="Normal" xfId="0" builtinId="0"/>
    <cellStyle name="Normal 10" xfId="54" xr:uid="{00000000-0005-0000-0000-000039000000}"/>
    <cellStyle name="Normal 11" xfId="5" xr:uid="{00000000-0005-0000-0000-00003A000000}"/>
    <cellStyle name="Normal 12" xfId="55" xr:uid="{00000000-0005-0000-0000-00003B000000}"/>
    <cellStyle name="Normal 13" xfId="62" xr:uid="{00000000-0005-0000-0000-00003C000000}"/>
    <cellStyle name="Normal 13 2" xfId="77" xr:uid="{00000000-0005-0000-0000-00003D000000}"/>
    <cellStyle name="Normal 14" xfId="67" xr:uid="{00000000-0005-0000-0000-00003E000000}"/>
    <cellStyle name="Normal 14 2" xfId="82" xr:uid="{00000000-0005-0000-0000-00003F000000}"/>
    <cellStyle name="Normal 15" xfId="68" xr:uid="{00000000-0005-0000-0000-000040000000}"/>
    <cellStyle name="Normal 15 2" xfId="83" xr:uid="{00000000-0005-0000-0000-000041000000}"/>
    <cellStyle name="Normal 2" xfId="2" xr:uid="{00000000-0005-0000-0000-000042000000}"/>
    <cellStyle name="Normal 3" xfId="4" xr:uid="{00000000-0005-0000-0000-000043000000}"/>
    <cellStyle name="Normal 4" xfId="41" xr:uid="{00000000-0005-0000-0000-000044000000}"/>
    <cellStyle name="Normal 5" xfId="42" xr:uid="{00000000-0005-0000-0000-000045000000}"/>
    <cellStyle name="Normal 6" xfId="43" xr:uid="{00000000-0005-0000-0000-000046000000}"/>
    <cellStyle name="Normal 7" xfId="7" xr:uid="{00000000-0005-0000-0000-000047000000}"/>
    <cellStyle name="Normal 8" xfId="3" xr:uid="{00000000-0005-0000-0000-000048000000}"/>
    <cellStyle name="Normal 9" xfId="8" xr:uid="{00000000-0005-0000-0000-000049000000}"/>
    <cellStyle name="Normal_Data Ocupacion" xfId="6" xr:uid="{00000000-0005-0000-0000-00004A000000}"/>
    <cellStyle name="Notas 2" xfId="44" xr:uid="{00000000-0005-0000-0000-00004B000000}"/>
    <cellStyle name="Salida 2" xfId="45" xr:uid="{00000000-0005-0000-0000-00004C000000}"/>
    <cellStyle name="Texto de advertencia 2" xfId="46" xr:uid="{00000000-0005-0000-0000-00004D000000}"/>
    <cellStyle name="Texto explicativo 2" xfId="47" xr:uid="{00000000-0005-0000-0000-00004E000000}"/>
    <cellStyle name="Título 1" xfId="49" xr:uid="{00000000-0005-0000-0000-00004F000000}"/>
    <cellStyle name="Título 2 2" xfId="50" xr:uid="{00000000-0005-0000-0000-000050000000}"/>
    <cellStyle name="Título 3 2" xfId="51" xr:uid="{00000000-0005-0000-0000-000051000000}"/>
    <cellStyle name="Título 4" xfId="48" xr:uid="{00000000-0005-0000-0000-000052000000}"/>
    <cellStyle name="Total 2" xfId="52" xr:uid="{00000000-0005-0000-0000-000053000000}"/>
  </cellStyles>
  <dxfs count="48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99CCFF"/>
      <color rgb="FF66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C82"/>
  <sheetViews>
    <sheetView zoomScaleNormal="100" workbookViewId="0">
      <selection activeCell="AE13" sqref="AE13"/>
    </sheetView>
  </sheetViews>
  <sheetFormatPr baseColWidth="10" defaultColWidth="11.5703125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2" width="10.28515625" customWidth="1"/>
    <col min="23" max="23" width="10.42578125" customWidth="1"/>
    <col min="24" max="28" width="10.28515625" customWidth="1"/>
    <col min="29" max="29" width="10.28515625" bestFit="1" customWidth="1"/>
  </cols>
  <sheetData>
    <row r="1" spans="1:29" ht="18" x14ac:dyDescent="0.25">
      <c r="A1" s="329" t="s">
        <v>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</row>
    <row r="2" spans="1:29" x14ac:dyDescent="0.25">
      <c r="A2" s="1"/>
      <c r="B2" s="61">
        <v>46054</v>
      </c>
      <c r="C2" s="61">
        <v>46055</v>
      </c>
      <c r="D2" s="61">
        <v>46056</v>
      </c>
      <c r="E2" s="61">
        <v>46057</v>
      </c>
      <c r="F2" s="61">
        <v>46058</v>
      </c>
      <c r="G2" s="61">
        <v>46059</v>
      </c>
      <c r="H2" s="61">
        <v>46060</v>
      </c>
      <c r="I2" s="61">
        <v>46061</v>
      </c>
      <c r="J2" s="61">
        <v>46062</v>
      </c>
      <c r="K2" s="61">
        <v>46063</v>
      </c>
      <c r="L2" s="61">
        <v>46064</v>
      </c>
      <c r="M2" s="61">
        <v>46065</v>
      </c>
      <c r="N2" s="61">
        <v>46066</v>
      </c>
      <c r="O2" s="61">
        <v>46067</v>
      </c>
      <c r="P2" s="61">
        <v>46068</v>
      </c>
      <c r="Q2" s="61">
        <v>46069</v>
      </c>
      <c r="R2" s="61">
        <v>46070</v>
      </c>
      <c r="S2" s="61">
        <v>46071</v>
      </c>
      <c r="T2" s="61">
        <v>46072</v>
      </c>
      <c r="U2" s="61">
        <v>46073</v>
      </c>
      <c r="V2" s="61">
        <v>46074</v>
      </c>
      <c r="W2" s="61">
        <v>46075</v>
      </c>
      <c r="X2" s="61">
        <v>46076</v>
      </c>
      <c r="Y2" s="61">
        <v>46077</v>
      </c>
      <c r="Z2" s="61">
        <v>46078</v>
      </c>
      <c r="AA2" s="61">
        <v>46079</v>
      </c>
      <c r="AB2" s="61">
        <v>46080</v>
      </c>
      <c r="AC2" s="61">
        <v>46081</v>
      </c>
    </row>
    <row r="3" spans="1:29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</row>
    <row r="4" spans="1:29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</row>
    <row r="5" spans="1:29" x14ac:dyDescent="0.25">
      <c r="A5" s="5" t="s">
        <v>4</v>
      </c>
      <c r="B5" s="305">
        <v>2093394</v>
      </c>
      <c r="C5" s="305">
        <v>2093802</v>
      </c>
      <c r="D5" s="305">
        <v>2093936</v>
      </c>
      <c r="E5" s="305">
        <v>2094015</v>
      </c>
      <c r="F5" s="305">
        <v>2094190</v>
      </c>
      <c r="G5" s="305">
        <v>2094647</v>
      </c>
      <c r="H5" s="305">
        <v>2094647</v>
      </c>
      <c r="I5" s="305">
        <v>2094647</v>
      </c>
      <c r="J5" s="305">
        <v>2094851</v>
      </c>
      <c r="K5" s="305">
        <v>2095129</v>
      </c>
      <c r="L5" s="305">
        <v>2095372</v>
      </c>
      <c r="M5" s="305">
        <v>2095937</v>
      </c>
      <c r="N5" s="305">
        <v>2096001</v>
      </c>
      <c r="O5" s="305">
        <v>2096001</v>
      </c>
      <c r="P5" s="305">
        <v>2096001</v>
      </c>
      <c r="Q5" s="305">
        <v>2096001</v>
      </c>
      <c r="R5" s="305">
        <v>2096039</v>
      </c>
      <c r="S5" s="305">
        <v>2096510</v>
      </c>
      <c r="T5" s="305">
        <v>2096735</v>
      </c>
      <c r="U5" s="305">
        <v>2097323</v>
      </c>
      <c r="V5" s="305">
        <v>2097842</v>
      </c>
      <c r="W5" s="305">
        <v>2098276</v>
      </c>
      <c r="X5" s="305">
        <v>2098282</v>
      </c>
      <c r="Y5" s="305">
        <v>2098458</v>
      </c>
      <c r="Z5" s="305">
        <v>2098976</v>
      </c>
      <c r="AA5" s="305">
        <v>2099153</v>
      </c>
      <c r="AB5" s="305">
        <v>2099672</v>
      </c>
      <c r="AC5" s="305">
        <v>2100190</v>
      </c>
    </row>
    <row r="6" spans="1:29" x14ac:dyDescent="0.25">
      <c r="A6" s="5" t="s">
        <v>5</v>
      </c>
      <c r="B6" s="305">
        <v>2057024</v>
      </c>
      <c r="C6" s="305">
        <v>2057095</v>
      </c>
      <c r="D6" s="305">
        <v>2057597</v>
      </c>
      <c r="E6" s="305">
        <v>2058115</v>
      </c>
      <c r="F6" s="305">
        <v>2058570</v>
      </c>
      <c r="G6" s="305">
        <v>2058570</v>
      </c>
      <c r="H6" s="305">
        <v>2058570</v>
      </c>
      <c r="I6" s="305">
        <v>2058570</v>
      </c>
      <c r="J6" s="305">
        <v>2058571</v>
      </c>
      <c r="K6" s="305">
        <v>2058571</v>
      </c>
      <c r="L6" s="305">
        <v>2058572</v>
      </c>
      <c r="M6" s="305">
        <v>2058705</v>
      </c>
      <c r="N6" s="305">
        <v>2059139</v>
      </c>
      <c r="O6" s="305">
        <v>2059139</v>
      </c>
      <c r="P6" s="305">
        <v>2059139</v>
      </c>
      <c r="Q6" s="305">
        <v>2059436</v>
      </c>
      <c r="R6" s="305">
        <v>2059912</v>
      </c>
      <c r="S6" s="305">
        <v>2060473</v>
      </c>
      <c r="T6" s="305">
        <v>2061035</v>
      </c>
      <c r="U6" s="305">
        <v>2061640</v>
      </c>
      <c r="V6" s="305">
        <v>2062202</v>
      </c>
      <c r="W6" s="305">
        <v>2062246</v>
      </c>
      <c r="X6" s="305">
        <v>2062423</v>
      </c>
      <c r="Y6" s="305">
        <v>2062493</v>
      </c>
      <c r="Z6" s="305">
        <v>2062866</v>
      </c>
      <c r="AA6" s="305">
        <v>2063429</v>
      </c>
      <c r="AB6" s="305">
        <v>2063949</v>
      </c>
      <c r="AC6" s="305">
        <v>2064582</v>
      </c>
    </row>
    <row r="7" spans="1:29" x14ac:dyDescent="0.25">
      <c r="A7" s="5" t="s">
        <v>6</v>
      </c>
      <c r="B7" s="305">
        <v>2135111</v>
      </c>
      <c r="C7" s="305">
        <v>2135128</v>
      </c>
      <c r="D7" s="305">
        <v>2135152</v>
      </c>
      <c r="E7" s="305">
        <v>2135152</v>
      </c>
      <c r="F7" s="305">
        <v>2135152</v>
      </c>
      <c r="G7" s="305">
        <v>2135152</v>
      </c>
      <c r="H7" s="305">
        <v>2135152</v>
      </c>
      <c r="I7" s="305">
        <v>2135152</v>
      </c>
      <c r="J7" s="305">
        <v>2135347</v>
      </c>
      <c r="K7" s="305">
        <v>2135908</v>
      </c>
      <c r="L7" s="305">
        <v>2136385</v>
      </c>
      <c r="M7" s="305">
        <v>2136836</v>
      </c>
      <c r="N7" s="305">
        <v>2136837</v>
      </c>
      <c r="O7" s="305">
        <v>2136837</v>
      </c>
      <c r="P7" s="305">
        <v>2136837</v>
      </c>
      <c r="Q7" s="305">
        <v>2136837</v>
      </c>
      <c r="R7" s="305">
        <v>2137002</v>
      </c>
      <c r="S7" s="305">
        <v>2137453</v>
      </c>
      <c r="T7" s="305">
        <v>2137697</v>
      </c>
      <c r="U7" s="305">
        <v>2138304</v>
      </c>
      <c r="V7" s="305">
        <v>2138822</v>
      </c>
      <c r="W7" s="305">
        <v>2139189</v>
      </c>
      <c r="X7" s="305">
        <v>2139303</v>
      </c>
      <c r="Y7" s="305">
        <v>2139908</v>
      </c>
      <c r="Z7" s="305">
        <v>2140245</v>
      </c>
      <c r="AA7" s="305">
        <v>2140375</v>
      </c>
      <c r="AB7" s="305">
        <v>2140965</v>
      </c>
      <c r="AC7" s="305">
        <v>2141008</v>
      </c>
    </row>
    <row r="8" spans="1:29" x14ac:dyDescent="0.25">
      <c r="A8" s="6" t="s">
        <v>7</v>
      </c>
      <c r="B8" s="305">
        <v>2141498</v>
      </c>
      <c r="C8" s="305">
        <v>2142059</v>
      </c>
      <c r="D8" s="305">
        <v>2142319</v>
      </c>
      <c r="E8" s="305">
        <v>2142580</v>
      </c>
      <c r="F8" s="305">
        <v>2142930</v>
      </c>
      <c r="G8" s="305">
        <v>2143148</v>
      </c>
      <c r="H8" s="305">
        <v>2143191</v>
      </c>
      <c r="I8" s="305">
        <v>2143668</v>
      </c>
      <c r="J8" s="305">
        <v>2144143</v>
      </c>
      <c r="K8" s="305">
        <v>2144143</v>
      </c>
      <c r="L8" s="305">
        <v>2144416</v>
      </c>
      <c r="M8" s="305">
        <v>2144418</v>
      </c>
      <c r="N8" s="305">
        <v>2144418</v>
      </c>
      <c r="O8" s="305">
        <v>2144418</v>
      </c>
      <c r="P8" s="305">
        <v>2144418</v>
      </c>
      <c r="Q8" s="305">
        <v>2144419</v>
      </c>
      <c r="R8" s="305">
        <v>2144670</v>
      </c>
      <c r="S8" s="305">
        <v>2144923</v>
      </c>
      <c r="T8" s="305">
        <v>2145440</v>
      </c>
      <c r="U8" s="305">
        <v>2145460</v>
      </c>
      <c r="V8" s="305">
        <v>2145460</v>
      </c>
      <c r="W8" s="305">
        <v>2145460</v>
      </c>
      <c r="X8" s="305">
        <v>2145534</v>
      </c>
      <c r="Y8" s="305">
        <v>2145753</v>
      </c>
      <c r="Z8" s="305">
        <v>2146357</v>
      </c>
      <c r="AA8" s="305">
        <v>2146977</v>
      </c>
      <c r="AB8" s="305">
        <v>2147202</v>
      </c>
      <c r="AC8" s="305">
        <v>2147676</v>
      </c>
    </row>
    <row r="9" spans="1:29" x14ac:dyDescent="0.25">
      <c r="A9" s="6" t="s">
        <v>8</v>
      </c>
      <c r="B9" s="305">
        <v>2056779</v>
      </c>
      <c r="C9" s="305">
        <v>2056872</v>
      </c>
      <c r="D9" s="305">
        <v>2057206</v>
      </c>
      <c r="E9" s="305">
        <v>2057590</v>
      </c>
      <c r="F9" s="305">
        <v>2057722</v>
      </c>
      <c r="G9" s="305">
        <v>2058129</v>
      </c>
      <c r="H9" s="305">
        <v>2058129</v>
      </c>
      <c r="I9" s="305">
        <v>2058129</v>
      </c>
      <c r="J9" s="305">
        <v>2058133</v>
      </c>
      <c r="K9" s="305">
        <v>2058153</v>
      </c>
      <c r="L9" s="305">
        <v>2058500</v>
      </c>
      <c r="M9" s="305">
        <v>2059063</v>
      </c>
      <c r="N9" s="305">
        <v>2059367</v>
      </c>
      <c r="O9" s="305">
        <v>2059800</v>
      </c>
      <c r="P9" s="305">
        <v>2059802</v>
      </c>
      <c r="Q9" s="305">
        <v>2060283</v>
      </c>
      <c r="R9" s="305">
        <v>2060847</v>
      </c>
      <c r="S9" s="305">
        <v>2061366</v>
      </c>
      <c r="T9" s="305">
        <v>2061817</v>
      </c>
      <c r="U9" s="305">
        <v>2061838</v>
      </c>
      <c r="V9" s="305">
        <v>2062015</v>
      </c>
      <c r="W9" s="305">
        <v>2062534</v>
      </c>
      <c r="X9" s="305">
        <v>2062863</v>
      </c>
      <c r="Y9" s="305">
        <v>2063494</v>
      </c>
      <c r="Z9" s="305">
        <v>2064057</v>
      </c>
      <c r="AA9" s="305">
        <v>2064147</v>
      </c>
      <c r="AB9" s="305">
        <v>2064245</v>
      </c>
      <c r="AC9" s="305">
        <v>2064245</v>
      </c>
    </row>
    <row r="10" spans="1:29" x14ac:dyDescent="0.25">
      <c r="A10" s="6" t="s">
        <v>9</v>
      </c>
      <c r="B10" s="305">
        <v>2165790</v>
      </c>
      <c r="C10" s="305">
        <v>2166395</v>
      </c>
      <c r="D10" s="305">
        <v>2166745</v>
      </c>
      <c r="E10" s="305">
        <v>2166935</v>
      </c>
      <c r="F10" s="305">
        <v>2167201</v>
      </c>
      <c r="G10" s="305">
        <v>2167635</v>
      </c>
      <c r="H10" s="305">
        <v>2167635</v>
      </c>
      <c r="I10" s="305">
        <v>2167637</v>
      </c>
      <c r="J10" s="305">
        <v>2168005</v>
      </c>
      <c r="K10" s="305">
        <v>2168106</v>
      </c>
      <c r="L10" s="305">
        <v>2168357</v>
      </c>
      <c r="M10" s="305">
        <v>2168551</v>
      </c>
      <c r="N10" s="305">
        <v>2168802</v>
      </c>
      <c r="O10" s="305">
        <v>2168802</v>
      </c>
      <c r="P10" s="305">
        <v>2168802</v>
      </c>
      <c r="Q10" s="305">
        <v>2169053</v>
      </c>
      <c r="R10" s="305">
        <v>2169305</v>
      </c>
      <c r="S10" s="305">
        <v>2169438</v>
      </c>
      <c r="T10" s="305">
        <v>2169693</v>
      </c>
      <c r="U10" s="305">
        <v>2170131</v>
      </c>
      <c r="V10" s="305">
        <v>2170649</v>
      </c>
      <c r="W10" s="305">
        <v>2171123</v>
      </c>
      <c r="X10" s="305">
        <v>2171841</v>
      </c>
      <c r="Y10" s="305">
        <v>2172135</v>
      </c>
      <c r="Z10" s="305">
        <v>2172336</v>
      </c>
      <c r="AA10" s="305">
        <v>2172672</v>
      </c>
      <c r="AB10" s="305">
        <v>2172752</v>
      </c>
      <c r="AC10" s="305">
        <v>2172752</v>
      </c>
    </row>
    <row r="11" spans="1:29" x14ac:dyDescent="0.25">
      <c r="A11" s="6" t="s">
        <v>10</v>
      </c>
      <c r="B11" s="305">
        <v>2200578</v>
      </c>
      <c r="C11" s="305">
        <v>2201006</v>
      </c>
      <c r="D11" s="305">
        <v>2201609</v>
      </c>
      <c r="E11" s="305">
        <v>2201929</v>
      </c>
      <c r="F11" s="305">
        <v>2202028</v>
      </c>
      <c r="G11" s="305">
        <v>2202028</v>
      </c>
      <c r="H11" s="305">
        <v>2202028</v>
      </c>
      <c r="I11" s="305">
        <v>2202028</v>
      </c>
      <c r="J11" s="305">
        <v>2202101</v>
      </c>
      <c r="K11" s="305">
        <v>2202101</v>
      </c>
      <c r="L11" s="305">
        <v>2202251</v>
      </c>
      <c r="M11" s="305">
        <v>2202854</v>
      </c>
      <c r="N11" s="305">
        <v>2202918</v>
      </c>
      <c r="O11" s="305">
        <v>2202918</v>
      </c>
      <c r="P11" s="305">
        <v>2203161</v>
      </c>
      <c r="Q11" s="305">
        <v>2203679</v>
      </c>
      <c r="R11" s="305">
        <v>2204197</v>
      </c>
      <c r="S11" s="305">
        <v>2204756</v>
      </c>
      <c r="T11" s="305">
        <v>2205249</v>
      </c>
      <c r="U11" s="305">
        <v>2205383</v>
      </c>
      <c r="V11" s="305">
        <v>2205383</v>
      </c>
      <c r="W11" s="305">
        <v>2205495</v>
      </c>
      <c r="X11" s="305">
        <v>2206098</v>
      </c>
      <c r="Y11" s="305">
        <v>2206355</v>
      </c>
      <c r="Z11" s="305">
        <v>2206341</v>
      </c>
      <c r="AA11" s="305">
        <v>2206732</v>
      </c>
      <c r="AB11" s="305">
        <v>2206966</v>
      </c>
      <c r="AC11" s="305">
        <v>2207597</v>
      </c>
    </row>
    <row r="12" spans="1:29" x14ac:dyDescent="0.25">
      <c r="A12" s="5" t="s">
        <v>11</v>
      </c>
      <c r="B12" s="305">
        <v>2102585</v>
      </c>
      <c r="C12" s="305">
        <v>2102938</v>
      </c>
      <c r="D12" s="305">
        <v>2103209</v>
      </c>
      <c r="E12" s="305">
        <v>2103611</v>
      </c>
      <c r="F12" s="305">
        <v>2103891</v>
      </c>
      <c r="G12" s="305">
        <v>2103891</v>
      </c>
      <c r="H12" s="305">
        <v>2103891</v>
      </c>
      <c r="I12" s="305">
        <v>2103891</v>
      </c>
      <c r="J12" s="305">
        <v>2104082</v>
      </c>
      <c r="K12" s="305">
        <v>2104355</v>
      </c>
      <c r="L12" s="305">
        <v>2104355</v>
      </c>
      <c r="M12" s="305">
        <v>2104960</v>
      </c>
      <c r="N12" s="305">
        <v>2105113</v>
      </c>
      <c r="O12" s="305">
        <v>2105113</v>
      </c>
      <c r="P12" s="305">
        <v>2105183</v>
      </c>
      <c r="Q12" s="305">
        <v>2105788</v>
      </c>
      <c r="R12" s="305">
        <v>2105997</v>
      </c>
      <c r="S12" s="305">
        <v>2106431</v>
      </c>
      <c r="T12" s="305">
        <v>2106536</v>
      </c>
      <c r="U12" s="305">
        <v>2106538</v>
      </c>
      <c r="V12" s="305">
        <v>2106538</v>
      </c>
      <c r="W12" s="305">
        <v>2106538</v>
      </c>
      <c r="X12" s="305">
        <v>2106738</v>
      </c>
      <c r="Y12" s="305">
        <v>2107259</v>
      </c>
      <c r="Z12" s="305">
        <v>2107712</v>
      </c>
      <c r="AA12" s="305">
        <v>2107809</v>
      </c>
      <c r="AB12" s="305">
        <v>2107966</v>
      </c>
      <c r="AC12" s="305">
        <v>2108485</v>
      </c>
    </row>
    <row r="13" spans="1:29" x14ac:dyDescent="0.25">
      <c r="A13" s="5" t="s">
        <v>12</v>
      </c>
      <c r="B13" s="305">
        <v>2081197</v>
      </c>
      <c r="C13" s="305">
        <v>2081398</v>
      </c>
      <c r="D13" s="305">
        <v>2081577</v>
      </c>
      <c r="E13" s="305">
        <v>2081599</v>
      </c>
      <c r="F13" s="305">
        <v>2081938</v>
      </c>
      <c r="G13" s="305">
        <v>2082189</v>
      </c>
      <c r="H13" s="305">
        <v>2082337</v>
      </c>
      <c r="I13" s="305">
        <v>2082380</v>
      </c>
      <c r="J13" s="305">
        <v>2082943</v>
      </c>
      <c r="K13" s="305">
        <v>2083231</v>
      </c>
      <c r="L13" s="305">
        <v>2083838</v>
      </c>
      <c r="M13" s="305">
        <v>2084269</v>
      </c>
      <c r="N13" s="305">
        <v>2084830</v>
      </c>
      <c r="O13" s="305">
        <v>2085218</v>
      </c>
      <c r="P13" s="305">
        <v>2085650</v>
      </c>
      <c r="Q13" s="305">
        <v>2086167</v>
      </c>
      <c r="R13" s="305">
        <v>2086169</v>
      </c>
      <c r="S13" s="305">
        <v>2086554</v>
      </c>
      <c r="T13" s="305">
        <v>2086645</v>
      </c>
      <c r="U13" s="305">
        <v>2086908</v>
      </c>
      <c r="V13" s="305">
        <v>2087512</v>
      </c>
      <c r="W13" s="305">
        <v>2088031</v>
      </c>
      <c r="X13" s="305">
        <v>2088552</v>
      </c>
      <c r="Y13" s="305">
        <v>2088685</v>
      </c>
      <c r="Z13" s="305">
        <v>2088765</v>
      </c>
      <c r="AA13" s="305">
        <v>2089199</v>
      </c>
      <c r="AB13" s="305">
        <v>2089874</v>
      </c>
      <c r="AC13" s="305">
        <v>2090391</v>
      </c>
    </row>
    <row r="14" spans="1:29" x14ac:dyDescent="0.25">
      <c r="A14" s="5" t="s">
        <v>13</v>
      </c>
      <c r="B14" s="305">
        <v>2154100</v>
      </c>
      <c r="C14" s="305">
        <v>2154351</v>
      </c>
      <c r="D14" s="305">
        <v>2154353</v>
      </c>
      <c r="E14" s="305">
        <v>2154939</v>
      </c>
      <c r="F14" s="305">
        <v>2155200</v>
      </c>
      <c r="G14" s="305">
        <v>2155461</v>
      </c>
      <c r="H14" s="305">
        <v>2155911</v>
      </c>
      <c r="I14" s="305">
        <v>2155911</v>
      </c>
      <c r="J14" s="305">
        <v>2156241</v>
      </c>
      <c r="K14" s="305">
        <v>2156401</v>
      </c>
      <c r="L14" s="305">
        <v>2156920</v>
      </c>
      <c r="M14" s="305">
        <v>2157097</v>
      </c>
      <c r="N14" s="305">
        <v>2157360</v>
      </c>
      <c r="O14" s="305">
        <v>2157364</v>
      </c>
      <c r="P14" s="305">
        <v>2157366</v>
      </c>
      <c r="Q14" s="305">
        <v>2157540</v>
      </c>
      <c r="R14" s="305">
        <v>2157887</v>
      </c>
      <c r="S14" s="305">
        <v>2158168</v>
      </c>
      <c r="T14" s="305">
        <v>2158421</v>
      </c>
      <c r="U14" s="305">
        <v>2158700</v>
      </c>
      <c r="V14" s="305">
        <v>2158700</v>
      </c>
      <c r="W14" s="305">
        <v>2158700</v>
      </c>
      <c r="X14" s="305">
        <v>2158833</v>
      </c>
      <c r="Y14" s="305">
        <v>2159087</v>
      </c>
      <c r="Z14" s="305">
        <v>2159351</v>
      </c>
      <c r="AA14" s="305">
        <v>2159958</v>
      </c>
      <c r="AB14" s="305">
        <v>2160322</v>
      </c>
      <c r="AC14" s="305">
        <v>2160322</v>
      </c>
    </row>
    <row r="15" spans="1:29" x14ac:dyDescent="0.25">
      <c r="A15" s="6" t="s">
        <v>14</v>
      </c>
      <c r="B15" s="305">
        <v>2177007</v>
      </c>
      <c r="C15" s="305">
        <v>2177373</v>
      </c>
      <c r="D15" s="305">
        <v>2177630</v>
      </c>
      <c r="E15" s="305">
        <v>2177729</v>
      </c>
      <c r="F15" s="305">
        <v>2177862</v>
      </c>
      <c r="G15" s="305">
        <v>2178121</v>
      </c>
      <c r="H15" s="305">
        <v>2178642</v>
      </c>
      <c r="I15" s="305">
        <v>2179117</v>
      </c>
      <c r="J15" s="305">
        <v>2179506</v>
      </c>
      <c r="K15" s="305">
        <v>2179531</v>
      </c>
      <c r="L15" s="305">
        <v>2179685</v>
      </c>
      <c r="M15" s="305">
        <v>2179947</v>
      </c>
      <c r="N15" s="305">
        <v>2180302</v>
      </c>
      <c r="O15" s="305">
        <v>2180863</v>
      </c>
      <c r="P15" s="305">
        <v>2181079</v>
      </c>
      <c r="Q15" s="305">
        <v>2181684</v>
      </c>
      <c r="R15" s="305">
        <v>2181899</v>
      </c>
      <c r="S15" s="305">
        <v>2182418</v>
      </c>
      <c r="T15" s="305">
        <v>2183024</v>
      </c>
      <c r="U15" s="305">
        <v>2183587</v>
      </c>
      <c r="V15" s="305">
        <v>2183631</v>
      </c>
      <c r="W15" s="305">
        <v>2184107</v>
      </c>
      <c r="X15" s="305">
        <v>2184685</v>
      </c>
      <c r="Y15" s="305">
        <v>2185360</v>
      </c>
      <c r="Z15" s="305">
        <v>2185432</v>
      </c>
      <c r="AA15" s="305">
        <v>2185681</v>
      </c>
      <c r="AB15" s="305">
        <v>2186357</v>
      </c>
      <c r="AC15" s="305">
        <v>2186948</v>
      </c>
    </row>
    <row r="16" spans="1:29" x14ac:dyDescent="0.25">
      <c r="A16" s="6" t="s">
        <v>15</v>
      </c>
      <c r="B16" s="305">
        <v>2025230</v>
      </c>
      <c r="C16" s="305">
        <v>2025451</v>
      </c>
      <c r="D16" s="305">
        <v>2025859</v>
      </c>
      <c r="E16" s="305">
        <v>2025992</v>
      </c>
      <c r="F16" s="305">
        <v>2026578</v>
      </c>
      <c r="G16" s="305">
        <v>2027095</v>
      </c>
      <c r="H16" s="305">
        <v>2027655</v>
      </c>
      <c r="I16" s="305">
        <v>2027699</v>
      </c>
      <c r="J16" s="305">
        <v>2027809</v>
      </c>
      <c r="K16" s="305">
        <v>2027941</v>
      </c>
      <c r="L16" s="305">
        <v>2028226</v>
      </c>
      <c r="M16" s="305">
        <v>2028487</v>
      </c>
      <c r="N16" s="305">
        <v>2029006</v>
      </c>
      <c r="O16" s="305">
        <v>2029523</v>
      </c>
      <c r="P16" s="305">
        <v>2029799</v>
      </c>
      <c r="Q16" s="305">
        <v>2030062</v>
      </c>
      <c r="R16" s="305">
        <v>2030390</v>
      </c>
      <c r="S16" s="305">
        <v>2030781</v>
      </c>
      <c r="T16" s="305">
        <v>2031025</v>
      </c>
      <c r="U16" s="305">
        <v>2031611</v>
      </c>
      <c r="V16" s="305">
        <v>2032128</v>
      </c>
      <c r="W16" s="305">
        <v>2032130</v>
      </c>
      <c r="X16" s="305">
        <v>2032221</v>
      </c>
      <c r="Y16" s="305">
        <v>2032472</v>
      </c>
      <c r="Z16" s="305">
        <v>2032723</v>
      </c>
      <c r="AA16" s="305">
        <v>2033224</v>
      </c>
      <c r="AB16" s="305">
        <v>2033897</v>
      </c>
      <c r="AC16" s="305">
        <v>2034330</v>
      </c>
    </row>
    <row r="17" spans="1:29" x14ac:dyDescent="0.25">
      <c r="A17" s="6" t="s">
        <v>16</v>
      </c>
      <c r="B17" s="305">
        <v>2132853</v>
      </c>
      <c r="C17" s="305">
        <v>2133003</v>
      </c>
      <c r="D17" s="305">
        <v>2133254</v>
      </c>
      <c r="E17" s="305">
        <v>2133278</v>
      </c>
      <c r="F17" s="305">
        <v>2133624</v>
      </c>
      <c r="G17" s="305">
        <v>2133902</v>
      </c>
      <c r="H17" s="305">
        <v>2133902</v>
      </c>
      <c r="I17" s="305">
        <v>2133902</v>
      </c>
      <c r="J17" s="305">
        <v>2133905</v>
      </c>
      <c r="K17" s="305">
        <v>2133905</v>
      </c>
      <c r="L17" s="305">
        <v>2133925</v>
      </c>
      <c r="M17" s="305">
        <v>2134315</v>
      </c>
      <c r="N17" s="305">
        <v>2134509</v>
      </c>
      <c r="O17" s="305">
        <v>2134509</v>
      </c>
      <c r="P17" s="305">
        <v>2134509</v>
      </c>
      <c r="Q17" s="305">
        <v>2134648</v>
      </c>
      <c r="R17" s="305">
        <v>2135208</v>
      </c>
      <c r="S17" s="305">
        <v>2135769</v>
      </c>
      <c r="T17" s="305">
        <v>2136218</v>
      </c>
      <c r="U17" s="305">
        <v>2136350</v>
      </c>
      <c r="V17" s="305">
        <v>2136350</v>
      </c>
      <c r="W17" s="305">
        <v>2136350</v>
      </c>
      <c r="X17" s="305">
        <v>2136766</v>
      </c>
      <c r="Y17" s="305">
        <v>2137199</v>
      </c>
      <c r="Z17" s="305">
        <v>2137759</v>
      </c>
      <c r="AA17" s="305">
        <v>2138168</v>
      </c>
      <c r="AB17" s="305">
        <v>2138358</v>
      </c>
      <c r="AC17" s="305">
        <v>2138489</v>
      </c>
    </row>
    <row r="18" spans="1:29" x14ac:dyDescent="0.25">
      <c r="A18" s="6" t="s">
        <v>17</v>
      </c>
      <c r="B18" s="305">
        <v>2106156</v>
      </c>
      <c r="C18" s="305">
        <v>2106228</v>
      </c>
      <c r="D18" s="305">
        <v>2106479</v>
      </c>
      <c r="E18" s="305">
        <v>2106823</v>
      </c>
      <c r="F18" s="305">
        <v>2107271</v>
      </c>
      <c r="G18" s="305">
        <v>2107475</v>
      </c>
      <c r="H18" s="305">
        <v>2107475</v>
      </c>
      <c r="I18" s="305">
        <v>2107475</v>
      </c>
      <c r="J18" s="305">
        <v>2107747</v>
      </c>
      <c r="K18" s="305">
        <v>2108264</v>
      </c>
      <c r="L18" s="305">
        <v>2108867</v>
      </c>
      <c r="M18" s="305">
        <v>2109233</v>
      </c>
      <c r="N18" s="305">
        <v>2109332</v>
      </c>
      <c r="O18" s="305">
        <v>2109332</v>
      </c>
      <c r="P18" s="305">
        <v>2109332</v>
      </c>
      <c r="Q18" s="305">
        <v>2109333</v>
      </c>
      <c r="R18" s="305">
        <v>2109584</v>
      </c>
      <c r="S18" s="305">
        <v>2109853</v>
      </c>
      <c r="T18" s="305">
        <v>2110439</v>
      </c>
      <c r="U18" s="305">
        <v>2110956</v>
      </c>
      <c r="V18" s="305">
        <v>2111302</v>
      </c>
      <c r="W18" s="305">
        <v>2111734</v>
      </c>
      <c r="X18" s="305">
        <v>2112183</v>
      </c>
      <c r="Y18" s="305">
        <v>2112446</v>
      </c>
      <c r="Z18" s="305">
        <v>2112638</v>
      </c>
      <c r="AA18" s="305">
        <v>2112888</v>
      </c>
      <c r="AB18" s="305">
        <v>2113057</v>
      </c>
      <c r="AC18" s="305">
        <v>2113645</v>
      </c>
    </row>
    <row r="19" spans="1:29" x14ac:dyDescent="0.25">
      <c r="A19" s="6" t="s">
        <v>18</v>
      </c>
      <c r="B19" s="305">
        <v>2189825</v>
      </c>
      <c r="C19" s="305">
        <v>2190216</v>
      </c>
      <c r="D19" s="305">
        <v>2190237</v>
      </c>
      <c r="E19" s="305">
        <v>2190488</v>
      </c>
      <c r="F19" s="305">
        <v>2190746</v>
      </c>
      <c r="G19" s="305">
        <v>2191265</v>
      </c>
      <c r="H19" s="305">
        <v>2191785</v>
      </c>
      <c r="I19" s="305">
        <v>2192259</v>
      </c>
      <c r="J19" s="305">
        <v>2192649</v>
      </c>
      <c r="K19" s="305">
        <v>2192810</v>
      </c>
      <c r="L19" s="305">
        <v>2193244</v>
      </c>
      <c r="M19" s="305">
        <v>2193423</v>
      </c>
      <c r="N19" s="305">
        <v>2193984</v>
      </c>
      <c r="O19" s="305">
        <v>2194157</v>
      </c>
      <c r="P19" s="305">
        <v>2194330</v>
      </c>
      <c r="Q19" s="305">
        <v>2194934</v>
      </c>
      <c r="R19" s="305">
        <v>2195104</v>
      </c>
      <c r="S19" s="305">
        <v>2195495</v>
      </c>
      <c r="T19" s="305">
        <v>2196099</v>
      </c>
      <c r="U19" s="305">
        <v>2196704</v>
      </c>
      <c r="V19" s="305">
        <v>2196750</v>
      </c>
      <c r="W19" s="305">
        <v>2196925</v>
      </c>
      <c r="X19" s="305">
        <v>2196945</v>
      </c>
      <c r="Y19" s="305">
        <v>2197077</v>
      </c>
      <c r="Z19" s="305">
        <v>2197329</v>
      </c>
      <c r="AA19" s="305">
        <v>2197580</v>
      </c>
      <c r="AB19" s="305">
        <v>2197832</v>
      </c>
      <c r="AC19" s="305">
        <v>2197832</v>
      </c>
    </row>
    <row r="20" spans="1:29" x14ac:dyDescent="0.25">
      <c r="A20" s="6" t="s">
        <v>19</v>
      </c>
      <c r="B20" s="305">
        <v>2162741</v>
      </c>
      <c r="C20" s="305">
        <v>2163093</v>
      </c>
      <c r="D20" s="305">
        <v>2163698</v>
      </c>
      <c r="E20" s="305">
        <v>2164301</v>
      </c>
      <c r="F20" s="305">
        <v>2164654</v>
      </c>
      <c r="G20" s="305">
        <v>2164793</v>
      </c>
      <c r="H20" s="305">
        <v>2164793</v>
      </c>
      <c r="I20" s="305">
        <v>2164793</v>
      </c>
      <c r="J20" s="305">
        <v>2165056</v>
      </c>
      <c r="K20" s="305">
        <v>2165642</v>
      </c>
      <c r="L20" s="305">
        <v>2166074</v>
      </c>
      <c r="M20" s="305">
        <v>2166079</v>
      </c>
      <c r="N20" s="305">
        <v>2166082</v>
      </c>
      <c r="O20" s="305">
        <v>2166083</v>
      </c>
      <c r="P20" s="305">
        <v>2166085</v>
      </c>
      <c r="Q20" s="305">
        <v>2166091</v>
      </c>
      <c r="R20" s="305">
        <v>2166112</v>
      </c>
      <c r="S20" s="305">
        <v>2166362</v>
      </c>
      <c r="T20" s="305">
        <v>2166616</v>
      </c>
      <c r="U20" s="305">
        <v>2166695</v>
      </c>
      <c r="V20" s="305">
        <v>2166695</v>
      </c>
      <c r="W20" s="305">
        <v>2166870</v>
      </c>
      <c r="X20" s="305">
        <v>2167387</v>
      </c>
      <c r="Y20" s="305">
        <v>2167908</v>
      </c>
      <c r="Z20" s="305">
        <v>2168040</v>
      </c>
      <c r="AA20" s="305">
        <v>2168197</v>
      </c>
      <c r="AB20" s="305">
        <v>2168527</v>
      </c>
      <c r="AC20" s="305">
        <v>2168527</v>
      </c>
    </row>
    <row r="21" spans="1:29" x14ac:dyDescent="0.25">
      <c r="A21" s="6" t="s">
        <v>20</v>
      </c>
      <c r="B21" s="305">
        <v>2162144</v>
      </c>
      <c r="C21" s="305">
        <v>2162405</v>
      </c>
      <c r="D21" s="305">
        <v>2162495</v>
      </c>
      <c r="E21" s="305">
        <v>2162943</v>
      </c>
      <c r="F21" s="305">
        <v>2163128</v>
      </c>
      <c r="G21" s="305">
        <v>2163683</v>
      </c>
      <c r="H21" s="305">
        <v>2163726</v>
      </c>
      <c r="I21" s="305">
        <v>2164246</v>
      </c>
      <c r="J21" s="305">
        <v>2164599</v>
      </c>
      <c r="K21" s="305">
        <v>2165203</v>
      </c>
      <c r="L21" s="305">
        <v>2165426</v>
      </c>
      <c r="M21" s="305">
        <v>2165730</v>
      </c>
      <c r="N21" s="305">
        <v>2165952</v>
      </c>
      <c r="O21" s="305">
        <v>2165995</v>
      </c>
      <c r="P21" s="305">
        <v>2166427</v>
      </c>
      <c r="Q21" s="305">
        <v>2166519</v>
      </c>
      <c r="R21" s="305">
        <v>2166541</v>
      </c>
      <c r="S21" s="305">
        <v>2166674</v>
      </c>
      <c r="T21" s="305">
        <v>2166865</v>
      </c>
      <c r="U21" s="305">
        <v>2167452</v>
      </c>
      <c r="V21" s="305">
        <v>2167969</v>
      </c>
      <c r="W21" s="305">
        <v>2168402</v>
      </c>
      <c r="X21" s="305">
        <v>2168964</v>
      </c>
      <c r="Y21" s="305">
        <v>2169373</v>
      </c>
      <c r="Z21" s="305">
        <v>2169506</v>
      </c>
      <c r="AA21" s="305">
        <v>2169757</v>
      </c>
      <c r="AB21" s="305">
        <v>2170173</v>
      </c>
      <c r="AC21" s="305">
        <v>2170173</v>
      </c>
    </row>
    <row r="22" spans="1:29" x14ac:dyDescent="0.25">
      <c r="A22" s="6" t="s">
        <v>21</v>
      </c>
      <c r="B22" s="305">
        <v>2088677</v>
      </c>
      <c r="C22" s="305">
        <v>2088854</v>
      </c>
      <c r="D22" s="305">
        <v>2089012</v>
      </c>
      <c r="E22" s="305">
        <v>2089488</v>
      </c>
      <c r="F22" s="305">
        <v>2090091</v>
      </c>
      <c r="G22" s="305">
        <v>2090694</v>
      </c>
      <c r="H22" s="305">
        <v>2091168</v>
      </c>
      <c r="I22" s="305">
        <v>2091644</v>
      </c>
      <c r="J22" s="305">
        <v>2092248</v>
      </c>
      <c r="K22" s="305">
        <v>2092503</v>
      </c>
      <c r="L22" s="305">
        <v>2093106</v>
      </c>
      <c r="M22" s="305">
        <v>2093626</v>
      </c>
      <c r="N22" s="305">
        <v>2094057</v>
      </c>
      <c r="O22" s="305">
        <v>2094574</v>
      </c>
      <c r="P22" s="305">
        <v>2095051</v>
      </c>
      <c r="Q22" s="305">
        <v>2095256</v>
      </c>
      <c r="R22" s="305">
        <v>2095774</v>
      </c>
      <c r="S22" s="305">
        <v>2096122</v>
      </c>
      <c r="T22" s="305">
        <v>2096513</v>
      </c>
      <c r="U22" s="305">
        <v>2097116</v>
      </c>
      <c r="V22" s="305">
        <v>2097116</v>
      </c>
      <c r="W22" s="305">
        <v>2097159</v>
      </c>
      <c r="X22" s="305">
        <v>2097676</v>
      </c>
      <c r="Y22" s="305">
        <v>2097852</v>
      </c>
      <c r="Z22" s="305">
        <v>2098189</v>
      </c>
      <c r="AA22" s="305">
        <v>2098865</v>
      </c>
      <c r="AB22" s="305">
        <v>2099442</v>
      </c>
      <c r="AC22" s="305">
        <v>2099873</v>
      </c>
    </row>
    <row r="23" spans="1:29" x14ac:dyDescent="0.25">
      <c r="A23" s="6" t="s">
        <v>22</v>
      </c>
      <c r="B23" s="305">
        <v>2125313</v>
      </c>
      <c r="C23" s="305">
        <v>2125573</v>
      </c>
      <c r="D23" s="305">
        <v>2126049</v>
      </c>
      <c r="E23" s="305">
        <v>2126612</v>
      </c>
      <c r="F23" s="305">
        <v>2126960</v>
      </c>
      <c r="G23" s="305">
        <v>2127479</v>
      </c>
      <c r="H23" s="305">
        <v>2127498</v>
      </c>
      <c r="I23" s="305">
        <v>2127498</v>
      </c>
      <c r="J23" s="305">
        <v>2127632</v>
      </c>
      <c r="K23" s="305">
        <v>2128014</v>
      </c>
      <c r="L23" s="305">
        <v>2128210</v>
      </c>
      <c r="M23" s="305">
        <v>2128437</v>
      </c>
      <c r="N23" s="305">
        <v>2128895</v>
      </c>
      <c r="O23" s="305">
        <v>2128895</v>
      </c>
      <c r="P23" s="305">
        <v>2128895</v>
      </c>
      <c r="Q23" s="305">
        <v>2129147</v>
      </c>
      <c r="R23" s="305">
        <v>2129399</v>
      </c>
      <c r="S23" s="305">
        <v>2129774</v>
      </c>
      <c r="T23" s="305">
        <v>2130034</v>
      </c>
      <c r="U23" s="305">
        <v>2130166</v>
      </c>
      <c r="V23" s="305">
        <v>2130166</v>
      </c>
      <c r="W23" s="305">
        <v>2130186</v>
      </c>
      <c r="X23" s="305">
        <v>2130188</v>
      </c>
      <c r="Y23" s="305">
        <v>2130209</v>
      </c>
      <c r="Z23" s="305">
        <v>2130367</v>
      </c>
      <c r="AA23" s="305">
        <v>2130438</v>
      </c>
      <c r="AB23" s="305">
        <v>2130744</v>
      </c>
      <c r="AC23" s="305">
        <v>2130917</v>
      </c>
    </row>
    <row r="24" spans="1:29" x14ac:dyDescent="0.25">
      <c r="A24" s="5" t="s">
        <v>23</v>
      </c>
      <c r="B24" s="305">
        <v>2157081</v>
      </c>
      <c r="C24" s="305">
        <v>2157284</v>
      </c>
      <c r="D24" s="305">
        <v>2157365</v>
      </c>
      <c r="E24" s="305">
        <v>2157626</v>
      </c>
      <c r="F24" s="305">
        <v>2158229</v>
      </c>
      <c r="G24" s="305">
        <v>2158383</v>
      </c>
      <c r="H24" s="305">
        <v>2158383</v>
      </c>
      <c r="I24" s="305">
        <v>2158383</v>
      </c>
      <c r="J24" s="305">
        <v>2158633</v>
      </c>
      <c r="K24" s="305">
        <v>2158892</v>
      </c>
      <c r="L24" s="305">
        <v>2159453</v>
      </c>
      <c r="M24" s="305">
        <v>2159740</v>
      </c>
      <c r="N24" s="305">
        <v>2160342</v>
      </c>
      <c r="O24" s="305">
        <v>2160858</v>
      </c>
      <c r="P24" s="305">
        <v>2161288</v>
      </c>
      <c r="Q24" s="305">
        <v>2161848</v>
      </c>
      <c r="R24" s="305">
        <v>2162450</v>
      </c>
      <c r="S24" s="305">
        <v>2162702</v>
      </c>
      <c r="T24" s="305">
        <v>2163220</v>
      </c>
      <c r="U24" s="305">
        <v>2163779</v>
      </c>
      <c r="V24" s="305">
        <v>2164252</v>
      </c>
      <c r="W24" s="305">
        <v>2164726</v>
      </c>
      <c r="X24" s="305">
        <v>2165328</v>
      </c>
      <c r="Y24" s="305">
        <v>2165819</v>
      </c>
      <c r="Z24" s="305">
        <v>2166099</v>
      </c>
      <c r="AA24" s="305">
        <v>2166100</v>
      </c>
      <c r="AB24" s="305">
        <v>2166351</v>
      </c>
      <c r="AC24" s="305">
        <v>2166543</v>
      </c>
    </row>
    <row r="25" spans="1:29" x14ac:dyDescent="0.25">
      <c r="A25" s="6" t="s">
        <v>24</v>
      </c>
      <c r="B25" s="305">
        <v>2174408</v>
      </c>
      <c r="C25" s="305">
        <v>2174929</v>
      </c>
      <c r="D25" s="305">
        <v>2175102</v>
      </c>
      <c r="E25" s="305">
        <v>2175264</v>
      </c>
      <c r="F25" s="305">
        <v>2175828</v>
      </c>
      <c r="G25" s="305">
        <v>2176217</v>
      </c>
      <c r="H25" s="305">
        <v>2176218</v>
      </c>
      <c r="I25" s="305">
        <v>2176222</v>
      </c>
      <c r="J25" s="305">
        <v>2176316</v>
      </c>
      <c r="K25" s="305">
        <v>2176337</v>
      </c>
      <c r="L25" s="305">
        <v>2176600</v>
      </c>
      <c r="M25" s="305">
        <v>2176600</v>
      </c>
      <c r="N25" s="305">
        <v>2176939</v>
      </c>
      <c r="O25" s="305">
        <v>2177372</v>
      </c>
      <c r="P25" s="305">
        <v>2177806</v>
      </c>
      <c r="Q25" s="305">
        <v>2178413</v>
      </c>
      <c r="R25" s="305">
        <v>2179021</v>
      </c>
      <c r="S25" s="305">
        <v>2179294</v>
      </c>
      <c r="T25" s="305">
        <v>2179545</v>
      </c>
      <c r="U25" s="305">
        <v>2179797</v>
      </c>
      <c r="V25" s="305">
        <v>2179797</v>
      </c>
      <c r="W25" s="305">
        <v>2179991</v>
      </c>
      <c r="X25" s="305">
        <v>2180065</v>
      </c>
      <c r="Y25" s="305">
        <v>2180135</v>
      </c>
      <c r="Z25" s="305">
        <v>2180155</v>
      </c>
      <c r="AA25" s="305">
        <v>2180288</v>
      </c>
      <c r="AB25" s="305">
        <v>2180590</v>
      </c>
      <c r="AC25" s="305">
        <v>2180590</v>
      </c>
    </row>
    <row r="26" spans="1:29" x14ac:dyDescent="0.25">
      <c r="A26" s="6" t="s">
        <v>25</v>
      </c>
      <c r="B26" s="305">
        <v>2180778</v>
      </c>
      <c r="C26" s="305">
        <v>2181029</v>
      </c>
      <c r="D26" s="305">
        <v>2181342</v>
      </c>
      <c r="E26" s="305">
        <v>2181603</v>
      </c>
      <c r="F26" s="305">
        <v>2181603</v>
      </c>
      <c r="G26" s="305">
        <v>2181795</v>
      </c>
      <c r="H26" s="305">
        <v>2181795</v>
      </c>
      <c r="I26" s="305">
        <v>2181795</v>
      </c>
      <c r="J26" s="305">
        <v>2182049</v>
      </c>
      <c r="K26" s="305">
        <v>2182567</v>
      </c>
      <c r="L26" s="305">
        <v>2182709</v>
      </c>
      <c r="M26" s="305">
        <v>2183140</v>
      </c>
      <c r="N26" s="305">
        <v>2183162</v>
      </c>
      <c r="O26" s="305">
        <v>2183249</v>
      </c>
      <c r="P26" s="305">
        <v>2183612</v>
      </c>
      <c r="Q26" s="305">
        <v>2184044</v>
      </c>
      <c r="R26" s="305">
        <v>2184124</v>
      </c>
      <c r="S26" s="305">
        <v>2184685</v>
      </c>
      <c r="T26" s="305">
        <v>2185159</v>
      </c>
      <c r="U26" s="305">
        <v>2185179</v>
      </c>
      <c r="V26" s="305">
        <v>2185179</v>
      </c>
      <c r="W26" s="305">
        <v>2185179</v>
      </c>
      <c r="X26" s="305">
        <v>2185311</v>
      </c>
      <c r="Y26" s="305">
        <v>2185813</v>
      </c>
      <c r="Z26" s="305">
        <v>2186404</v>
      </c>
      <c r="AA26" s="305">
        <v>2186964</v>
      </c>
      <c r="AB26" s="305">
        <v>2187097</v>
      </c>
      <c r="AC26" s="305">
        <v>2187119</v>
      </c>
    </row>
    <row r="27" spans="1:29" x14ac:dyDescent="0.25">
      <c r="A27" s="6" t="s">
        <v>26</v>
      </c>
      <c r="B27" s="305">
        <v>2147621</v>
      </c>
      <c r="C27" s="305">
        <v>2147693</v>
      </c>
      <c r="D27" s="305">
        <v>2147976</v>
      </c>
      <c r="E27" s="305">
        <v>2148239</v>
      </c>
      <c r="F27" s="305">
        <v>2148762</v>
      </c>
      <c r="G27" s="305">
        <v>2149368</v>
      </c>
      <c r="H27" s="305">
        <v>2149887</v>
      </c>
      <c r="I27" s="305">
        <v>2150318</v>
      </c>
      <c r="J27" s="305">
        <v>2150471</v>
      </c>
      <c r="K27" s="305">
        <v>2150471</v>
      </c>
      <c r="L27" s="305">
        <v>2150799</v>
      </c>
      <c r="M27" s="305">
        <v>2151273</v>
      </c>
      <c r="N27" s="305">
        <v>2151617</v>
      </c>
      <c r="O27" s="305">
        <v>2151617</v>
      </c>
      <c r="P27" s="305">
        <v>2151620</v>
      </c>
      <c r="Q27" s="305">
        <v>2151775</v>
      </c>
      <c r="R27" s="305">
        <v>2152190</v>
      </c>
      <c r="S27" s="305">
        <v>2152711</v>
      </c>
      <c r="T27" s="305">
        <v>2153316</v>
      </c>
      <c r="U27" s="305">
        <v>2153491</v>
      </c>
      <c r="V27" s="305">
        <v>2153491</v>
      </c>
      <c r="W27" s="305">
        <v>2153491</v>
      </c>
      <c r="X27" s="305">
        <v>2153511</v>
      </c>
      <c r="Y27" s="305">
        <v>2153628</v>
      </c>
      <c r="Z27" s="305">
        <v>2154136</v>
      </c>
      <c r="AA27" s="305">
        <v>2154311</v>
      </c>
      <c r="AB27" s="305">
        <v>2154743</v>
      </c>
      <c r="AC27" s="305">
        <v>2154765</v>
      </c>
    </row>
    <row r="28" spans="1:29" x14ac:dyDescent="0.25">
      <c r="A28" s="6" t="s">
        <v>27</v>
      </c>
      <c r="B28" s="305">
        <v>2112668</v>
      </c>
      <c r="C28" s="305">
        <v>2112920</v>
      </c>
      <c r="D28" s="305">
        <v>2113308</v>
      </c>
      <c r="E28" s="305">
        <v>2113628</v>
      </c>
      <c r="F28" s="305">
        <v>2113820</v>
      </c>
      <c r="G28" s="305">
        <v>2113820</v>
      </c>
      <c r="H28" s="305">
        <v>2113820</v>
      </c>
      <c r="I28" s="305">
        <v>2113820</v>
      </c>
      <c r="J28" s="305">
        <v>2114076</v>
      </c>
      <c r="K28" s="305">
        <v>2114637</v>
      </c>
      <c r="L28" s="305">
        <v>2114701</v>
      </c>
      <c r="M28" s="305">
        <v>2114783</v>
      </c>
      <c r="N28" s="305">
        <v>2115216</v>
      </c>
      <c r="O28" s="305">
        <v>2115733</v>
      </c>
      <c r="P28" s="305">
        <v>2116210</v>
      </c>
      <c r="Q28" s="305">
        <v>2116686</v>
      </c>
      <c r="R28" s="305">
        <v>2116706</v>
      </c>
      <c r="S28" s="305">
        <v>2116874</v>
      </c>
      <c r="T28" s="305">
        <v>2117155</v>
      </c>
      <c r="U28" s="305">
        <v>2117157</v>
      </c>
      <c r="V28" s="305">
        <v>2117157</v>
      </c>
      <c r="W28" s="305">
        <v>2117157</v>
      </c>
      <c r="X28" s="305">
        <v>2117408</v>
      </c>
      <c r="Y28" s="305">
        <v>2117563</v>
      </c>
      <c r="Z28" s="305">
        <v>2117756</v>
      </c>
      <c r="AA28" s="305">
        <v>2117947</v>
      </c>
      <c r="AB28" s="305">
        <v>2118206</v>
      </c>
      <c r="AC28" s="305">
        <v>2118554</v>
      </c>
    </row>
    <row r="29" spans="1:29" x14ac:dyDescent="0.25">
      <c r="A29" s="5" t="s">
        <v>28</v>
      </c>
      <c r="B29" s="305">
        <v>2062559</v>
      </c>
      <c r="C29" s="305">
        <v>2062691</v>
      </c>
      <c r="D29" s="305">
        <v>2062824</v>
      </c>
      <c r="E29" s="305">
        <v>2063170</v>
      </c>
      <c r="F29" s="305">
        <v>2063172</v>
      </c>
      <c r="G29" s="305">
        <v>2063310</v>
      </c>
      <c r="H29" s="305">
        <v>2063659</v>
      </c>
      <c r="I29" s="305">
        <v>2064135</v>
      </c>
      <c r="J29" s="305">
        <v>2064742</v>
      </c>
      <c r="K29" s="305">
        <v>2064897</v>
      </c>
      <c r="L29" s="305">
        <v>2064997</v>
      </c>
      <c r="M29" s="305">
        <v>2065252</v>
      </c>
      <c r="N29" s="305">
        <v>2065603</v>
      </c>
      <c r="O29" s="305">
        <v>2065603</v>
      </c>
      <c r="P29" s="305">
        <v>2065606</v>
      </c>
      <c r="Q29" s="305">
        <v>2066129</v>
      </c>
      <c r="R29" s="305">
        <v>2066281</v>
      </c>
      <c r="S29" s="305">
        <v>2066526</v>
      </c>
      <c r="T29" s="305">
        <v>2066618</v>
      </c>
      <c r="U29" s="305">
        <v>2066878</v>
      </c>
      <c r="V29" s="305">
        <v>2066878</v>
      </c>
      <c r="W29" s="305">
        <v>2066878</v>
      </c>
      <c r="X29" s="305">
        <v>2067131</v>
      </c>
      <c r="Y29" s="305">
        <v>2067279</v>
      </c>
      <c r="Z29" s="305">
        <v>2067282</v>
      </c>
      <c r="AA29" s="305">
        <v>2067532</v>
      </c>
      <c r="AB29" s="305">
        <v>2067723</v>
      </c>
      <c r="AC29" s="305">
        <v>2067723</v>
      </c>
    </row>
    <row r="30" spans="1:29" x14ac:dyDescent="0.25">
      <c r="A30" s="6" t="s">
        <v>29</v>
      </c>
      <c r="B30" s="305">
        <v>1806604</v>
      </c>
      <c r="C30" s="305">
        <v>1807190</v>
      </c>
      <c r="D30" s="305">
        <v>1807707</v>
      </c>
      <c r="E30" s="305">
        <v>1808224</v>
      </c>
      <c r="F30" s="305">
        <v>1808427</v>
      </c>
      <c r="G30" s="305">
        <v>1808678</v>
      </c>
      <c r="H30" s="305">
        <v>1808955</v>
      </c>
      <c r="I30" s="305">
        <v>1809472</v>
      </c>
      <c r="J30" s="305">
        <v>1809988</v>
      </c>
      <c r="K30" s="305">
        <v>1810163</v>
      </c>
      <c r="L30" s="305">
        <v>1810184</v>
      </c>
      <c r="M30" s="305">
        <v>1810316</v>
      </c>
      <c r="N30" s="305">
        <v>1810645</v>
      </c>
      <c r="O30" s="305">
        <v>1810860</v>
      </c>
      <c r="P30" s="305">
        <v>1811204</v>
      </c>
      <c r="Q30" s="305">
        <v>1811557</v>
      </c>
      <c r="R30" s="305">
        <v>1812159</v>
      </c>
      <c r="S30" s="305">
        <v>1812610</v>
      </c>
      <c r="T30" s="305">
        <v>1812701</v>
      </c>
      <c r="U30" s="305">
        <v>1812781</v>
      </c>
      <c r="V30" s="305">
        <v>1813301</v>
      </c>
      <c r="W30" s="305">
        <v>1813736</v>
      </c>
      <c r="X30" s="305">
        <v>1814340</v>
      </c>
      <c r="Y30" s="305">
        <v>1814772</v>
      </c>
      <c r="Z30" s="305">
        <v>1814794</v>
      </c>
      <c r="AA30" s="305">
        <v>1814925</v>
      </c>
      <c r="AB30" s="305">
        <v>1815512</v>
      </c>
      <c r="AC30" s="305">
        <v>1816030</v>
      </c>
    </row>
    <row r="31" spans="1:29" x14ac:dyDescent="0.25">
      <c r="A31" s="7" t="s">
        <v>30</v>
      </c>
      <c r="B31" s="305">
        <v>2114014</v>
      </c>
      <c r="C31" s="305">
        <v>2114579</v>
      </c>
      <c r="D31" s="305">
        <v>2114642</v>
      </c>
      <c r="E31" s="305">
        <v>2114642</v>
      </c>
      <c r="F31" s="305">
        <v>2114954</v>
      </c>
      <c r="G31" s="305">
        <v>2114957</v>
      </c>
      <c r="H31" s="305">
        <v>2115477</v>
      </c>
      <c r="I31" s="305">
        <v>2115823</v>
      </c>
      <c r="J31" s="305">
        <v>2116274</v>
      </c>
      <c r="K31" s="305">
        <v>2116374</v>
      </c>
      <c r="L31" s="305">
        <v>2116637</v>
      </c>
      <c r="M31" s="305">
        <v>2116637</v>
      </c>
      <c r="N31" s="305">
        <v>2116637</v>
      </c>
      <c r="O31" s="305">
        <v>2116637</v>
      </c>
      <c r="P31" s="305">
        <v>2116637</v>
      </c>
      <c r="Q31" s="305">
        <v>2116637</v>
      </c>
      <c r="R31" s="305">
        <v>2116637</v>
      </c>
      <c r="S31" s="305">
        <v>2116917</v>
      </c>
      <c r="T31" s="305">
        <v>2117006</v>
      </c>
      <c r="U31" s="305">
        <v>2117027</v>
      </c>
      <c r="V31" s="305">
        <v>2117027</v>
      </c>
      <c r="W31" s="305">
        <v>2117027</v>
      </c>
      <c r="X31" s="305">
        <v>2117109</v>
      </c>
      <c r="Y31" s="305">
        <v>2117627</v>
      </c>
      <c r="Z31" s="305">
        <v>2118302</v>
      </c>
      <c r="AA31" s="305">
        <v>2118322</v>
      </c>
      <c r="AB31" s="305">
        <v>2118573</v>
      </c>
      <c r="AC31" s="305">
        <v>2118592</v>
      </c>
    </row>
    <row r="32" spans="1:29" s="124" customFormat="1" x14ac:dyDescent="0.25">
      <c r="A32" s="6" t="s">
        <v>111</v>
      </c>
      <c r="B32" s="305">
        <v>718440</v>
      </c>
      <c r="C32" s="305">
        <v>719044</v>
      </c>
      <c r="D32" s="305">
        <v>719530</v>
      </c>
      <c r="E32" s="305">
        <v>720081</v>
      </c>
      <c r="F32" s="305">
        <v>720210</v>
      </c>
      <c r="G32" s="305">
        <v>720483</v>
      </c>
      <c r="H32" s="305">
        <v>720745</v>
      </c>
      <c r="I32" s="305">
        <v>720745</v>
      </c>
      <c r="J32" s="305">
        <v>720833</v>
      </c>
      <c r="K32" s="305">
        <v>721437</v>
      </c>
      <c r="L32" s="305">
        <v>721955</v>
      </c>
      <c r="M32" s="305">
        <v>722107</v>
      </c>
      <c r="N32" s="305">
        <v>722505</v>
      </c>
      <c r="O32" s="305">
        <v>723069</v>
      </c>
      <c r="P32" s="305">
        <v>723371</v>
      </c>
      <c r="Q32" s="305">
        <v>723374</v>
      </c>
      <c r="R32" s="305">
        <v>723935</v>
      </c>
      <c r="S32" s="305">
        <v>724087</v>
      </c>
      <c r="T32" s="305">
        <v>724219</v>
      </c>
      <c r="U32" s="305">
        <v>724471</v>
      </c>
      <c r="V32" s="305">
        <v>724471</v>
      </c>
      <c r="W32" s="305">
        <v>724471</v>
      </c>
      <c r="X32" s="305">
        <v>724723</v>
      </c>
      <c r="Y32" s="305">
        <v>724742</v>
      </c>
      <c r="Z32" s="305">
        <v>725174</v>
      </c>
      <c r="AA32" s="305">
        <v>725436</v>
      </c>
      <c r="AB32" s="305">
        <v>725590</v>
      </c>
      <c r="AC32" s="305">
        <v>725590</v>
      </c>
    </row>
    <row r="33" spans="1:29" s="124" customFormat="1" x14ac:dyDescent="0.25">
      <c r="A33" s="5" t="s">
        <v>112</v>
      </c>
      <c r="B33" s="305">
        <v>660588</v>
      </c>
      <c r="C33" s="305">
        <v>660945</v>
      </c>
      <c r="D33" s="305">
        <v>661044</v>
      </c>
      <c r="E33" s="305">
        <v>661177</v>
      </c>
      <c r="F33" s="305">
        <v>661436</v>
      </c>
      <c r="G33" s="305">
        <v>661956</v>
      </c>
      <c r="H33" s="305">
        <v>662216</v>
      </c>
      <c r="I33" s="305">
        <v>662219</v>
      </c>
      <c r="J33" s="305">
        <v>662436</v>
      </c>
      <c r="K33" s="305">
        <v>662911</v>
      </c>
      <c r="L33" s="305">
        <v>662931</v>
      </c>
      <c r="M33" s="305">
        <v>663183</v>
      </c>
      <c r="N33" s="305">
        <v>663434</v>
      </c>
      <c r="O33" s="305">
        <v>663434</v>
      </c>
      <c r="P33" s="305">
        <v>663434</v>
      </c>
      <c r="Q33" s="305">
        <v>663625</v>
      </c>
      <c r="R33" s="305">
        <v>663757</v>
      </c>
      <c r="S33" s="305">
        <v>664001</v>
      </c>
      <c r="T33" s="305">
        <v>664081</v>
      </c>
      <c r="U33" s="305">
        <v>664086</v>
      </c>
      <c r="V33" s="305">
        <v>664086</v>
      </c>
      <c r="W33" s="305">
        <v>664086</v>
      </c>
      <c r="X33" s="305">
        <v>664626</v>
      </c>
      <c r="Y33" s="305">
        <v>664725</v>
      </c>
      <c r="Z33" s="305">
        <v>664881</v>
      </c>
      <c r="AA33" s="305">
        <v>665486</v>
      </c>
      <c r="AB33" s="305">
        <v>665687</v>
      </c>
      <c r="AC33" s="305">
        <v>665687</v>
      </c>
    </row>
    <row r="34" spans="1:29" s="124" customFormat="1" x14ac:dyDescent="0.25">
      <c r="A34" s="6" t="s">
        <v>113</v>
      </c>
      <c r="B34" s="305">
        <v>703791</v>
      </c>
      <c r="C34" s="305">
        <v>704397</v>
      </c>
      <c r="D34" s="305">
        <v>704961</v>
      </c>
      <c r="E34" s="305">
        <v>705097</v>
      </c>
      <c r="F34" s="305">
        <v>705350</v>
      </c>
      <c r="G34" s="305">
        <v>705602</v>
      </c>
      <c r="H34" s="305">
        <v>705602</v>
      </c>
      <c r="I34" s="305">
        <v>705602</v>
      </c>
      <c r="J34" s="305">
        <v>705842</v>
      </c>
      <c r="K34" s="305">
        <v>706107</v>
      </c>
      <c r="L34" s="305">
        <v>706241</v>
      </c>
      <c r="M34" s="305">
        <v>706493</v>
      </c>
      <c r="N34" s="305">
        <v>706824</v>
      </c>
      <c r="O34" s="305">
        <v>706824</v>
      </c>
      <c r="P34" s="305">
        <v>706824</v>
      </c>
      <c r="Q34" s="305">
        <v>706903</v>
      </c>
      <c r="R34" s="305">
        <v>706903</v>
      </c>
      <c r="S34" s="305">
        <v>706903</v>
      </c>
      <c r="T34" s="305">
        <v>706903</v>
      </c>
      <c r="U34" s="305">
        <v>706903</v>
      </c>
      <c r="V34" s="305">
        <v>706903</v>
      </c>
      <c r="W34" s="305">
        <v>706903</v>
      </c>
      <c r="X34" s="305">
        <v>706903</v>
      </c>
      <c r="Y34" s="305">
        <v>706903</v>
      </c>
      <c r="Z34" s="305">
        <v>706903</v>
      </c>
      <c r="AA34" s="305">
        <v>706903</v>
      </c>
      <c r="AB34" s="305">
        <v>706903</v>
      </c>
      <c r="AC34" s="305">
        <v>706903</v>
      </c>
    </row>
    <row r="35" spans="1:29" s="124" customFormat="1" x14ac:dyDescent="0.25">
      <c r="A35" s="7" t="s">
        <v>114</v>
      </c>
      <c r="B35" s="305">
        <v>716181</v>
      </c>
      <c r="C35" s="305">
        <v>716270</v>
      </c>
      <c r="D35" s="305">
        <v>716272</v>
      </c>
      <c r="E35" s="305">
        <v>716295</v>
      </c>
      <c r="F35" s="305">
        <v>716462</v>
      </c>
      <c r="G35" s="305">
        <v>716723</v>
      </c>
      <c r="H35" s="305">
        <v>717243</v>
      </c>
      <c r="I35" s="305">
        <v>717674</v>
      </c>
      <c r="J35" s="305">
        <v>718191</v>
      </c>
      <c r="K35" s="305">
        <v>718450</v>
      </c>
      <c r="L35" s="305">
        <v>718583</v>
      </c>
      <c r="M35" s="305">
        <v>718782</v>
      </c>
      <c r="N35" s="305">
        <v>719333</v>
      </c>
      <c r="O35" s="305">
        <v>719897</v>
      </c>
      <c r="P35" s="305">
        <v>720131</v>
      </c>
      <c r="Q35" s="305">
        <v>720382</v>
      </c>
      <c r="R35" s="305">
        <v>720462</v>
      </c>
      <c r="S35" s="305">
        <v>720724</v>
      </c>
      <c r="T35" s="305">
        <v>720830</v>
      </c>
      <c r="U35" s="305">
        <v>720911</v>
      </c>
      <c r="V35" s="305">
        <v>721475</v>
      </c>
      <c r="W35" s="305">
        <v>721691</v>
      </c>
      <c r="X35" s="305">
        <v>721912</v>
      </c>
      <c r="Y35" s="305">
        <v>722164</v>
      </c>
      <c r="Z35" s="305">
        <v>722415</v>
      </c>
      <c r="AA35" s="305">
        <v>722495</v>
      </c>
      <c r="AB35" s="305">
        <v>722514</v>
      </c>
      <c r="AC35" s="305">
        <v>722514</v>
      </c>
    </row>
    <row r="36" spans="1:29" s="124" customFormat="1" x14ac:dyDescent="0.25">
      <c r="A36" s="5" t="s">
        <v>115</v>
      </c>
      <c r="B36" s="305">
        <v>694885</v>
      </c>
      <c r="C36" s="305">
        <v>695098</v>
      </c>
      <c r="D36" s="305">
        <v>695656</v>
      </c>
      <c r="E36" s="305">
        <v>695773</v>
      </c>
      <c r="F36" s="305">
        <v>695773</v>
      </c>
      <c r="G36" s="305">
        <v>696085</v>
      </c>
      <c r="H36" s="305">
        <v>696647</v>
      </c>
      <c r="I36" s="305">
        <v>696864</v>
      </c>
      <c r="J36" s="305">
        <v>697126</v>
      </c>
      <c r="K36" s="305">
        <v>697732</v>
      </c>
      <c r="L36" s="305">
        <v>698098</v>
      </c>
      <c r="M36" s="305">
        <v>698196</v>
      </c>
      <c r="N36" s="305">
        <v>698197</v>
      </c>
      <c r="O36" s="305">
        <v>698197</v>
      </c>
      <c r="P36" s="305">
        <v>698197</v>
      </c>
      <c r="Q36" s="305">
        <v>698197</v>
      </c>
      <c r="R36" s="305">
        <v>698197</v>
      </c>
      <c r="S36" s="305">
        <v>698449</v>
      </c>
      <c r="T36" s="305">
        <v>698700</v>
      </c>
      <c r="U36" s="305">
        <v>698833</v>
      </c>
      <c r="V36" s="305">
        <v>698833</v>
      </c>
      <c r="W36" s="305">
        <v>698833</v>
      </c>
      <c r="X36" s="305">
        <v>699087</v>
      </c>
      <c r="Y36" s="305">
        <v>699452</v>
      </c>
      <c r="Z36" s="305">
        <v>699702</v>
      </c>
      <c r="AA36" s="305">
        <v>700204</v>
      </c>
      <c r="AB36" s="305">
        <v>700223</v>
      </c>
      <c r="AC36" s="305">
        <v>700223</v>
      </c>
    </row>
    <row r="37" spans="1:29" s="124" customFormat="1" x14ac:dyDescent="0.25">
      <c r="A37" s="6" t="s">
        <v>116</v>
      </c>
      <c r="B37" s="305">
        <v>730384</v>
      </c>
      <c r="C37" s="305">
        <v>730384</v>
      </c>
      <c r="D37" s="305">
        <v>730384</v>
      </c>
      <c r="E37" s="305">
        <v>730384</v>
      </c>
      <c r="F37" s="305">
        <v>730403</v>
      </c>
      <c r="G37" s="305">
        <v>730403</v>
      </c>
      <c r="H37" s="305">
        <v>730403</v>
      </c>
      <c r="I37" s="305">
        <v>730405</v>
      </c>
      <c r="J37" s="305">
        <v>730408</v>
      </c>
      <c r="K37" s="305">
        <v>730840</v>
      </c>
      <c r="L37" s="305">
        <v>731272</v>
      </c>
      <c r="M37" s="305">
        <v>731544</v>
      </c>
      <c r="N37" s="305">
        <v>731804</v>
      </c>
      <c r="O37" s="305">
        <v>732326</v>
      </c>
      <c r="P37" s="305">
        <v>732803</v>
      </c>
      <c r="Q37" s="305">
        <v>733192</v>
      </c>
      <c r="R37" s="305">
        <v>733796</v>
      </c>
      <c r="S37" s="305">
        <v>733994</v>
      </c>
      <c r="T37" s="305">
        <v>734127</v>
      </c>
      <c r="U37" s="305">
        <v>734379</v>
      </c>
      <c r="V37" s="305">
        <v>734379</v>
      </c>
      <c r="W37" s="305">
        <v>734379</v>
      </c>
      <c r="X37" s="305">
        <v>734631</v>
      </c>
      <c r="Y37" s="305">
        <v>734882</v>
      </c>
      <c r="Z37" s="305">
        <v>735298</v>
      </c>
      <c r="AA37" s="305">
        <v>735319</v>
      </c>
      <c r="AB37" s="305">
        <v>735451</v>
      </c>
      <c r="AC37" s="305">
        <v>735451</v>
      </c>
    </row>
    <row r="38" spans="1:29" x14ac:dyDescent="0.25">
      <c r="A38" s="7" t="s">
        <v>117</v>
      </c>
      <c r="B38" s="305">
        <v>381146</v>
      </c>
      <c r="C38" s="305">
        <v>381147</v>
      </c>
      <c r="D38" s="305">
        <v>381659</v>
      </c>
      <c r="E38" s="305">
        <v>382220</v>
      </c>
      <c r="F38" s="305">
        <v>382652</v>
      </c>
      <c r="G38" s="305">
        <v>382941</v>
      </c>
      <c r="H38" s="305">
        <v>383460</v>
      </c>
      <c r="I38" s="305">
        <v>383462</v>
      </c>
      <c r="J38" s="305">
        <v>383893</v>
      </c>
      <c r="K38" s="305">
        <v>384454</v>
      </c>
      <c r="L38" s="305">
        <v>384584</v>
      </c>
      <c r="M38" s="305">
        <v>384736</v>
      </c>
      <c r="N38" s="305">
        <v>384737</v>
      </c>
      <c r="O38" s="305">
        <v>384737</v>
      </c>
      <c r="P38" s="305">
        <v>384737</v>
      </c>
      <c r="Q38" s="305">
        <v>384737</v>
      </c>
      <c r="R38" s="305">
        <v>384737</v>
      </c>
      <c r="S38" s="305">
        <v>384969</v>
      </c>
      <c r="T38" s="305">
        <v>385059</v>
      </c>
      <c r="U38" s="305">
        <v>385064</v>
      </c>
      <c r="V38" s="305">
        <v>385626</v>
      </c>
      <c r="W38" s="305">
        <v>385843</v>
      </c>
      <c r="X38" s="305">
        <v>385932</v>
      </c>
      <c r="Y38" s="305">
        <v>386032</v>
      </c>
      <c r="Z38" s="305">
        <v>386284</v>
      </c>
      <c r="AA38" s="305">
        <v>386535</v>
      </c>
      <c r="AB38" s="305">
        <v>386537</v>
      </c>
      <c r="AC38" s="305">
        <v>386537</v>
      </c>
    </row>
    <row r="39" spans="1:29" x14ac:dyDescent="0.25">
      <c r="A39" s="5" t="s">
        <v>118</v>
      </c>
      <c r="B39" s="305">
        <v>711453</v>
      </c>
      <c r="C39" s="305">
        <v>711562</v>
      </c>
      <c r="D39" s="305">
        <v>711562</v>
      </c>
      <c r="E39" s="305">
        <v>711562</v>
      </c>
      <c r="F39" s="305">
        <v>711562</v>
      </c>
      <c r="G39" s="305">
        <v>711562</v>
      </c>
      <c r="H39" s="305">
        <v>711562</v>
      </c>
      <c r="I39" s="305">
        <v>711562</v>
      </c>
      <c r="J39" s="305">
        <v>711600</v>
      </c>
      <c r="K39" s="305">
        <v>711600</v>
      </c>
      <c r="L39" s="305">
        <v>711640</v>
      </c>
      <c r="M39" s="305">
        <v>711659</v>
      </c>
      <c r="N39" s="305">
        <v>711834</v>
      </c>
      <c r="O39" s="305">
        <v>712265</v>
      </c>
      <c r="P39" s="305">
        <v>712265</v>
      </c>
      <c r="Q39" s="305">
        <v>712417</v>
      </c>
      <c r="R39" s="305">
        <v>712688</v>
      </c>
      <c r="S39" s="305">
        <v>712919</v>
      </c>
      <c r="T39" s="305">
        <v>713151</v>
      </c>
      <c r="U39" s="305">
        <v>713422</v>
      </c>
      <c r="V39" s="305">
        <v>713422</v>
      </c>
      <c r="W39" s="305">
        <v>713422</v>
      </c>
      <c r="X39" s="305">
        <v>713673</v>
      </c>
      <c r="Y39" s="305">
        <v>713936</v>
      </c>
      <c r="Z39" s="305">
        <v>714188</v>
      </c>
      <c r="AA39" s="305">
        <v>714534</v>
      </c>
      <c r="AB39" s="305">
        <v>714553</v>
      </c>
      <c r="AC39" s="305">
        <v>714553</v>
      </c>
    </row>
    <row r="40" spans="1:29" s="124" customFormat="1" ht="18" x14ac:dyDescent="0.25">
      <c r="A40" s="209"/>
      <c r="B40" s="209"/>
      <c r="C40" s="209"/>
      <c r="D40" s="209"/>
      <c r="E40" s="209"/>
      <c r="F40" s="209"/>
      <c r="G40" s="209"/>
      <c r="H40" s="209"/>
      <c r="I40" s="209"/>
      <c r="J40" s="209"/>
      <c r="L40" s="209"/>
      <c r="M40" s="209"/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  <c r="AA40" s="209"/>
      <c r="AB40" s="209"/>
      <c r="AC40" s="209"/>
    </row>
    <row r="41" spans="1:29" ht="18" x14ac:dyDescent="0.25">
      <c r="A41" s="329" t="s">
        <v>31</v>
      </c>
      <c r="B41" s="329"/>
      <c r="C41" s="329"/>
      <c r="D41" s="329"/>
      <c r="E41" s="329"/>
      <c r="F41" s="329"/>
      <c r="G41" s="329"/>
      <c r="H41" s="329"/>
      <c r="I41" s="329"/>
      <c r="J41" s="329"/>
      <c r="K41" s="329"/>
      <c r="L41" s="329"/>
      <c r="M41" s="329"/>
      <c r="N41" s="329"/>
      <c r="O41" s="329"/>
      <c r="P41" s="329"/>
      <c r="Q41" s="329"/>
      <c r="R41" s="329"/>
      <c r="S41" s="329"/>
      <c r="T41" s="329"/>
      <c r="U41" s="329"/>
      <c r="V41" s="329"/>
      <c r="W41" s="329"/>
      <c r="X41" s="329"/>
      <c r="Y41" s="329"/>
      <c r="Z41" s="329"/>
      <c r="AA41" s="329"/>
      <c r="AB41" s="329"/>
      <c r="AC41" s="329"/>
    </row>
    <row r="42" spans="1:29" x14ac:dyDescent="0.25">
      <c r="A42" s="9"/>
      <c r="B42" s="62">
        <v>46054</v>
      </c>
      <c r="C42" s="62">
        <v>46055</v>
      </c>
      <c r="D42" s="62">
        <v>46056</v>
      </c>
      <c r="E42" s="62">
        <v>46057</v>
      </c>
      <c r="F42" s="62">
        <v>46058</v>
      </c>
      <c r="G42" s="62">
        <v>46059</v>
      </c>
      <c r="H42" s="62">
        <v>46060</v>
      </c>
      <c r="I42" s="62">
        <v>46061</v>
      </c>
      <c r="J42" s="62">
        <v>46062</v>
      </c>
      <c r="K42" s="62">
        <v>46063</v>
      </c>
      <c r="L42" s="62">
        <v>46064</v>
      </c>
      <c r="M42" s="62">
        <v>46065</v>
      </c>
      <c r="N42" s="62">
        <v>46066</v>
      </c>
      <c r="O42" s="62">
        <v>46067</v>
      </c>
      <c r="P42" s="62">
        <v>46068</v>
      </c>
      <c r="Q42" s="62">
        <v>46069</v>
      </c>
      <c r="R42" s="62">
        <v>46070</v>
      </c>
      <c r="S42" s="62">
        <v>46071</v>
      </c>
      <c r="T42" s="62">
        <v>46072</v>
      </c>
      <c r="U42" s="62">
        <v>46073</v>
      </c>
      <c r="V42" s="62">
        <v>46074</v>
      </c>
      <c r="W42" s="62">
        <v>46075</v>
      </c>
      <c r="X42" s="62">
        <v>46076</v>
      </c>
      <c r="Y42" s="62">
        <v>46077</v>
      </c>
      <c r="Z42" s="62">
        <v>46078</v>
      </c>
      <c r="AA42" s="62">
        <v>46079</v>
      </c>
      <c r="AB42" s="62">
        <v>46080</v>
      </c>
      <c r="AC42" s="62">
        <v>46081</v>
      </c>
    </row>
    <row r="43" spans="1:29" x14ac:dyDescent="0.25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</row>
    <row r="44" spans="1:29" x14ac:dyDescent="0.25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</row>
    <row r="45" spans="1:29" x14ac:dyDescent="0.25">
      <c r="A45" s="11" t="s">
        <v>4</v>
      </c>
      <c r="B45" s="222">
        <v>475</v>
      </c>
      <c r="C45" s="12">
        <f t="shared" ref="C45:D64" si="0">C5-B5</f>
        <v>408</v>
      </c>
      <c r="D45" s="12">
        <f t="shared" si="0"/>
        <v>134</v>
      </c>
      <c r="E45" s="12">
        <f t="shared" ref="E45:F64" si="1">E5-D5</f>
        <v>79</v>
      </c>
      <c r="F45" s="12">
        <f t="shared" si="1"/>
        <v>175</v>
      </c>
      <c r="G45" s="12">
        <f t="shared" ref="G45:P54" si="2">G5-F5</f>
        <v>457</v>
      </c>
      <c r="H45" s="12">
        <f t="shared" si="2"/>
        <v>0</v>
      </c>
      <c r="I45" s="12">
        <f t="shared" si="2"/>
        <v>0</v>
      </c>
      <c r="J45" s="12">
        <f t="shared" si="2"/>
        <v>204</v>
      </c>
      <c r="K45" s="12">
        <f t="shared" si="2"/>
        <v>278</v>
      </c>
      <c r="L45" s="12">
        <f t="shared" si="2"/>
        <v>243</v>
      </c>
      <c r="M45" s="12">
        <f t="shared" si="2"/>
        <v>565</v>
      </c>
      <c r="N45" s="12">
        <f t="shared" si="2"/>
        <v>64</v>
      </c>
      <c r="O45" s="12">
        <f>O5-N5</f>
        <v>0</v>
      </c>
      <c r="P45" s="12">
        <f>P5-O5</f>
        <v>0</v>
      </c>
      <c r="Q45" s="12">
        <f>Q5-P5</f>
        <v>0</v>
      </c>
      <c r="R45" s="12">
        <f>R5-Q5</f>
        <v>38</v>
      </c>
      <c r="S45" s="12">
        <f>S5-R5</f>
        <v>471</v>
      </c>
      <c r="T45" s="12">
        <f t="shared" ref="T45:AC45" si="3">T5-S5</f>
        <v>225</v>
      </c>
      <c r="U45" s="12">
        <f t="shared" si="3"/>
        <v>588</v>
      </c>
      <c r="V45" s="12">
        <f>V5-U5</f>
        <v>519</v>
      </c>
      <c r="W45" s="12">
        <f t="shared" si="3"/>
        <v>434</v>
      </c>
      <c r="X45" s="12">
        <f t="shared" si="3"/>
        <v>6</v>
      </c>
      <c r="Y45" s="12">
        <f t="shared" si="3"/>
        <v>176</v>
      </c>
      <c r="Z45" s="12">
        <f t="shared" si="3"/>
        <v>518</v>
      </c>
      <c r="AA45" s="12">
        <f t="shared" si="3"/>
        <v>177</v>
      </c>
      <c r="AB45" s="12">
        <f t="shared" si="3"/>
        <v>519</v>
      </c>
      <c r="AC45" s="12">
        <f t="shared" si="3"/>
        <v>518</v>
      </c>
    </row>
    <row r="46" spans="1:29" x14ac:dyDescent="0.25">
      <c r="A46" s="11" t="s">
        <v>5</v>
      </c>
      <c r="B46" s="222">
        <v>475</v>
      </c>
      <c r="C46" s="12">
        <f t="shared" si="0"/>
        <v>71</v>
      </c>
      <c r="D46" s="12">
        <f t="shared" si="0"/>
        <v>502</v>
      </c>
      <c r="E46" s="12">
        <f t="shared" si="1"/>
        <v>518</v>
      </c>
      <c r="F46" s="12">
        <f t="shared" si="1"/>
        <v>455</v>
      </c>
      <c r="G46" s="12">
        <f t="shared" si="2"/>
        <v>0</v>
      </c>
      <c r="H46" s="12">
        <f t="shared" si="2"/>
        <v>0</v>
      </c>
      <c r="I46" s="12">
        <f t="shared" si="2"/>
        <v>0</v>
      </c>
      <c r="J46" s="12">
        <f t="shared" si="2"/>
        <v>1</v>
      </c>
      <c r="K46" s="12">
        <f t="shared" si="2"/>
        <v>0</v>
      </c>
      <c r="L46" s="12">
        <f t="shared" si="2"/>
        <v>1</v>
      </c>
      <c r="M46" s="12">
        <f t="shared" si="2"/>
        <v>133</v>
      </c>
      <c r="N46" s="12">
        <f t="shared" si="2"/>
        <v>434</v>
      </c>
      <c r="O46" s="12">
        <f t="shared" si="2"/>
        <v>0</v>
      </c>
      <c r="P46" s="12">
        <f t="shared" si="2"/>
        <v>0</v>
      </c>
      <c r="Q46" s="12">
        <f t="shared" ref="Q46:R79" si="4">Q6-P6</f>
        <v>297</v>
      </c>
      <c r="R46" s="12">
        <f t="shared" si="4"/>
        <v>476</v>
      </c>
      <c r="S46" s="12">
        <f t="shared" ref="S46:S79" si="5">S6-R6</f>
        <v>561</v>
      </c>
      <c r="T46" s="12">
        <f t="shared" ref="T46:AC46" si="6">T6-S6</f>
        <v>562</v>
      </c>
      <c r="U46" s="12">
        <f t="shared" si="6"/>
        <v>605</v>
      </c>
      <c r="V46" s="12">
        <f t="shared" si="6"/>
        <v>562</v>
      </c>
      <c r="W46" s="12">
        <f t="shared" si="6"/>
        <v>44</v>
      </c>
      <c r="X46" s="12">
        <f t="shared" si="6"/>
        <v>177</v>
      </c>
      <c r="Y46" s="12">
        <f t="shared" si="6"/>
        <v>70</v>
      </c>
      <c r="Z46" s="12">
        <f t="shared" si="6"/>
        <v>373</v>
      </c>
      <c r="AA46" s="12">
        <f t="shared" si="6"/>
        <v>563</v>
      </c>
      <c r="AB46" s="12">
        <f t="shared" si="6"/>
        <v>520</v>
      </c>
      <c r="AC46" s="12">
        <f t="shared" si="6"/>
        <v>633</v>
      </c>
    </row>
    <row r="47" spans="1:29" x14ac:dyDescent="0.25">
      <c r="A47" s="11" t="s">
        <v>6</v>
      </c>
      <c r="B47" s="222">
        <v>0</v>
      </c>
      <c r="C47" s="12">
        <f t="shared" si="0"/>
        <v>17</v>
      </c>
      <c r="D47" s="12">
        <f t="shared" si="0"/>
        <v>24</v>
      </c>
      <c r="E47" s="12">
        <f t="shared" si="1"/>
        <v>0</v>
      </c>
      <c r="F47" s="12">
        <f t="shared" si="1"/>
        <v>0</v>
      </c>
      <c r="G47" s="12">
        <f t="shared" si="2"/>
        <v>0</v>
      </c>
      <c r="H47" s="12">
        <f t="shared" si="2"/>
        <v>0</v>
      </c>
      <c r="I47" s="12">
        <f t="shared" si="2"/>
        <v>0</v>
      </c>
      <c r="J47" s="12">
        <f t="shared" si="2"/>
        <v>195</v>
      </c>
      <c r="K47" s="12">
        <f t="shared" si="2"/>
        <v>561</v>
      </c>
      <c r="L47" s="12">
        <f t="shared" si="2"/>
        <v>477</v>
      </c>
      <c r="M47" s="12">
        <f t="shared" si="2"/>
        <v>451</v>
      </c>
      <c r="N47" s="12">
        <f t="shared" si="2"/>
        <v>1</v>
      </c>
      <c r="O47" s="12">
        <f t="shared" si="2"/>
        <v>0</v>
      </c>
      <c r="P47" s="12">
        <f t="shared" si="2"/>
        <v>0</v>
      </c>
      <c r="Q47" s="12">
        <f t="shared" si="4"/>
        <v>0</v>
      </c>
      <c r="R47" s="12">
        <f t="shared" si="4"/>
        <v>165</v>
      </c>
      <c r="S47" s="12">
        <f t="shared" si="5"/>
        <v>451</v>
      </c>
      <c r="T47" s="12">
        <f t="shared" ref="T47:AC47" si="7">T7-S7</f>
        <v>244</v>
      </c>
      <c r="U47" s="12">
        <f t="shared" si="7"/>
        <v>607</v>
      </c>
      <c r="V47" s="12">
        <f t="shared" si="7"/>
        <v>518</v>
      </c>
      <c r="W47" s="12">
        <f t="shared" si="7"/>
        <v>367</v>
      </c>
      <c r="X47" s="12">
        <f t="shared" si="7"/>
        <v>114</v>
      </c>
      <c r="Y47" s="12">
        <f t="shared" si="7"/>
        <v>605</v>
      </c>
      <c r="Z47" s="12">
        <f t="shared" si="7"/>
        <v>337</v>
      </c>
      <c r="AA47" s="12">
        <f t="shared" si="7"/>
        <v>130</v>
      </c>
      <c r="AB47" s="12">
        <f t="shared" si="7"/>
        <v>590</v>
      </c>
      <c r="AC47" s="12">
        <f t="shared" si="7"/>
        <v>43</v>
      </c>
    </row>
    <row r="48" spans="1:29" x14ac:dyDescent="0.25">
      <c r="A48" s="13" t="s">
        <v>7</v>
      </c>
      <c r="B48" s="222">
        <v>475</v>
      </c>
      <c r="C48" s="12">
        <f t="shared" si="0"/>
        <v>561</v>
      </c>
      <c r="D48" s="12">
        <f t="shared" si="0"/>
        <v>260</v>
      </c>
      <c r="E48" s="12">
        <f t="shared" si="1"/>
        <v>261</v>
      </c>
      <c r="F48" s="12">
        <f t="shared" si="1"/>
        <v>350</v>
      </c>
      <c r="G48" s="12">
        <f t="shared" si="2"/>
        <v>218</v>
      </c>
      <c r="H48" s="12">
        <f t="shared" si="2"/>
        <v>43</v>
      </c>
      <c r="I48" s="12">
        <f t="shared" si="2"/>
        <v>477</v>
      </c>
      <c r="J48" s="12">
        <f t="shared" si="2"/>
        <v>475</v>
      </c>
      <c r="K48" s="12">
        <f t="shared" si="2"/>
        <v>0</v>
      </c>
      <c r="L48" s="12">
        <f t="shared" si="2"/>
        <v>273</v>
      </c>
      <c r="M48" s="12">
        <f t="shared" si="2"/>
        <v>2</v>
      </c>
      <c r="N48" s="12">
        <f t="shared" si="2"/>
        <v>0</v>
      </c>
      <c r="O48" s="12">
        <f t="shared" si="2"/>
        <v>0</v>
      </c>
      <c r="P48" s="12">
        <f t="shared" si="2"/>
        <v>0</v>
      </c>
      <c r="Q48" s="12">
        <f t="shared" si="4"/>
        <v>1</v>
      </c>
      <c r="R48" s="12">
        <f t="shared" si="4"/>
        <v>251</v>
      </c>
      <c r="S48" s="12">
        <f t="shared" si="5"/>
        <v>253</v>
      </c>
      <c r="T48" s="12">
        <f t="shared" ref="T48:AC48" si="8">T8-S8</f>
        <v>517</v>
      </c>
      <c r="U48" s="12">
        <f t="shared" si="8"/>
        <v>20</v>
      </c>
      <c r="V48" s="12">
        <f t="shared" si="8"/>
        <v>0</v>
      </c>
      <c r="W48" s="12">
        <f t="shared" si="8"/>
        <v>0</v>
      </c>
      <c r="X48" s="12">
        <f t="shared" si="8"/>
        <v>74</v>
      </c>
      <c r="Y48" s="12">
        <f t="shared" si="8"/>
        <v>219</v>
      </c>
      <c r="Z48" s="12">
        <f t="shared" si="8"/>
        <v>604</v>
      </c>
      <c r="AA48" s="12">
        <f t="shared" si="8"/>
        <v>620</v>
      </c>
      <c r="AB48" s="12">
        <f t="shared" si="8"/>
        <v>225</v>
      </c>
      <c r="AC48" s="12">
        <f t="shared" si="8"/>
        <v>474</v>
      </c>
    </row>
    <row r="49" spans="1:29" x14ac:dyDescent="0.25">
      <c r="A49" s="13" t="s">
        <v>8</v>
      </c>
      <c r="B49" s="222">
        <v>0</v>
      </c>
      <c r="C49" s="12">
        <f t="shared" si="0"/>
        <v>93</v>
      </c>
      <c r="D49" s="12">
        <f t="shared" si="0"/>
        <v>334</v>
      </c>
      <c r="E49" s="12">
        <f t="shared" si="1"/>
        <v>384</v>
      </c>
      <c r="F49" s="12">
        <f t="shared" si="1"/>
        <v>132</v>
      </c>
      <c r="G49" s="12">
        <f t="shared" si="2"/>
        <v>407</v>
      </c>
      <c r="H49" s="12">
        <f t="shared" si="2"/>
        <v>0</v>
      </c>
      <c r="I49" s="12">
        <f t="shared" si="2"/>
        <v>0</v>
      </c>
      <c r="J49" s="12">
        <f t="shared" si="2"/>
        <v>4</v>
      </c>
      <c r="K49" s="12">
        <f t="shared" si="2"/>
        <v>20</v>
      </c>
      <c r="L49" s="12">
        <f t="shared" si="2"/>
        <v>347</v>
      </c>
      <c r="M49" s="12">
        <f t="shared" si="2"/>
        <v>563</v>
      </c>
      <c r="N49" s="12">
        <f t="shared" si="2"/>
        <v>304</v>
      </c>
      <c r="O49" s="12">
        <f t="shared" si="2"/>
        <v>433</v>
      </c>
      <c r="P49" s="12">
        <f t="shared" si="2"/>
        <v>2</v>
      </c>
      <c r="Q49" s="12">
        <f t="shared" si="4"/>
        <v>481</v>
      </c>
      <c r="R49" s="12">
        <f t="shared" si="4"/>
        <v>564</v>
      </c>
      <c r="S49" s="12">
        <f t="shared" si="5"/>
        <v>519</v>
      </c>
      <c r="T49" s="12">
        <f t="shared" ref="T49:AC49" si="9">T9-S9</f>
        <v>451</v>
      </c>
      <c r="U49" s="12">
        <f t="shared" si="9"/>
        <v>21</v>
      </c>
      <c r="V49" s="12">
        <f t="shared" si="9"/>
        <v>177</v>
      </c>
      <c r="W49" s="12">
        <f t="shared" si="9"/>
        <v>519</v>
      </c>
      <c r="X49" s="12">
        <f t="shared" si="9"/>
        <v>329</v>
      </c>
      <c r="Y49" s="12">
        <f t="shared" si="9"/>
        <v>631</v>
      </c>
      <c r="Z49" s="12">
        <f t="shared" si="9"/>
        <v>563</v>
      </c>
      <c r="AA49" s="12">
        <f t="shared" si="9"/>
        <v>90</v>
      </c>
      <c r="AB49" s="12">
        <f t="shared" si="9"/>
        <v>98</v>
      </c>
      <c r="AC49" s="12">
        <f t="shared" si="9"/>
        <v>0</v>
      </c>
    </row>
    <row r="50" spans="1:29" x14ac:dyDescent="0.25">
      <c r="A50" s="13" t="s">
        <v>9</v>
      </c>
      <c r="B50" s="222">
        <v>518</v>
      </c>
      <c r="C50" s="12">
        <f t="shared" si="0"/>
        <v>605</v>
      </c>
      <c r="D50" s="12">
        <f t="shared" si="0"/>
        <v>350</v>
      </c>
      <c r="E50" s="12">
        <f t="shared" si="1"/>
        <v>190</v>
      </c>
      <c r="F50" s="12">
        <f t="shared" si="1"/>
        <v>266</v>
      </c>
      <c r="G50" s="12">
        <f t="shared" si="2"/>
        <v>434</v>
      </c>
      <c r="H50" s="12">
        <f t="shared" si="2"/>
        <v>0</v>
      </c>
      <c r="I50" s="12">
        <f t="shared" si="2"/>
        <v>2</v>
      </c>
      <c r="J50" s="12">
        <f t="shared" si="2"/>
        <v>368</v>
      </c>
      <c r="K50" s="12">
        <f t="shared" si="2"/>
        <v>101</v>
      </c>
      <c r="L50" s="12">
        <f t="shared" si="2"/>
        <v>251</v>
      </c>
      <c r="M50" s="12">
        <f t="shared" si="2"/>
        <v>194</v>
      </c>
      <c r="N50" s="12">
        <f t="shared" si="2"/>
        <v>251</v>
      </c>
      <c r="O50" s="12">
        <f t="shared" si="2"/>
        <v>0</v>
      </c>
      <c r="P50" s="12">
        <f t="shared" si="2"/>
        <v>0</v>
      </c>
      <c r="Q50" s="12">
        <f t="shared" si="4"/>
        <v>251</v>
      </c>
      <c r="R50" s="12">
        <f t="shared" si="4"/>
        <v>252</v>
      </c>
      <c r="S50" s="12">
        <f t="shared" si="5"/>
        <v>133</v>
      </c>
      <c r="T50" s="12">
        <f t="shared" ref="T50:AC50" si="10">T10-S10</f>
        <v>255</v>
      </c>
      <c r="U50" s="12">
        <f t="shared" si="10"/>
        <v>438</v>
      </c>
      <c r="V50" s="12">
        <f t="shared" si="10"/>
        <v>518</v>
      </c>
      <c r="W50" s="12">
        <f t="shared" si="10"/>
        <v>474</v>
      </c>
      <c r="X50" s="12">
        <f t="shared" si="10"/>
        <v>718</v>
      </c>
      <c r="Y50" s="12">
        <f t="shared" si="10"/>
        <v>294</v>
      </c>
      <c r="Z50" s="12">
        <f t="shared" si="10"/>
        <v>201</v>
      </c>
      <c r="AA50" s="12">
        <f t="shared" si="10"/>
        <v>336</v>
      </c>
      <c r="AB50" s="12">
        <f t="shared" si="10"/>
        <v>80</v>
      </c>
      <c r="AC50" s="12">
        <f t="shared" si="10"/>
        <v>0</v>
      </c>
    </row>
    <row r="51" spans="1:29" x14ac:dyDescent="0.25">
      <c r="A51" s="13" t="s">
        <v>10</v>
      </c>
      <c r="B51" s="222">
        <v>0</v>
      </c>
      <c r="C51" s="12">
        <f t="shared" si="0"/>
        <v>428</v>
      </c>
      <c r="D51" s="12">
        <f t="shared" si="0"/>
        <v>603</v>
      </c>
      <c r="E51" s="12">
        <f t="shared" si="1"/>
        <v>320</v>
      </c>
      <c r="F51" s="12">
        <f t="shared" si="1"/>
        <v>99</v>
      </c>
      <c r="G51" s="12">
        <f t="shared" si="2"/>
        <v>0</v>
      </c>
      <c r="H51" s="12">
        <f t="shared" si="2"/>
        <v>0</v>
      </c>
      <c r="I51" s="12">
        <f t="shared" si="2"/>
        <v>0</v>
      </c>
      <c r="J51" s="12">
        <f t="shared" si="2"/>
        <v>73</v>
      </c>
      <c r="K51" s="12">
        <f t="shared" si="2"/>
        <v>0</v>
      </c>
      <c r="L51" s="12">
        <f t="shared" si="2"/>
        <v>150</v>
      </c>
      <c r="M51" s="12">
        <f t="shared" si="2"/>
        <v>603</v>
      </c>
      <c r="N51" s="12">
        <f t="shared" si="2"/>
        <v>64</v>
      </c>
      <c r="O51" s="12">
        <f t="shared" si="2"/>
        <v>0</v>
      </c>
      <c r="P51" s="12">
        <f t="shared" si="2"/>
        <v>243</v>
      </c>
      <c r="Q51" s="12">
        <f t="shared" si="4"/>
        <v>518</v>
      </c>
      <c r="R51" s="12">
        <f t="shared" si="4"/>
        <v>518</v>
      </c>
      <c r="S51" s="12">
        <f t="shared" si="5"/>
        <v>559</v>
      </c>
      <c r="T51" s="12">
        <f t="shared" ref="T51:AC51" si="11">T11-S11</f>
        <v>493</v>
      </c>
      <c r="U51" s="12">
        <f t="shared" si="11"/>
        <v>134</v>
      </c>
      <c r="V51" s="12">
        <f t="shared" si="11"/>
        <v>0</v>
      </c>
      <c r="W51" s="12">
        <f t="shared" si="11"/>
        <v>112</v>
      </c>
      <c r="X51" s="12">
        <f t="shared" si="11"/>
        <v>603</v>
      </c>
      <c r="Y51" s="12">
        <f t="shared" si="11"/>
        <v>257</v>
      </c>
      <c r="Z51" s="12">
        <f t="shared" si="11"/>
        <v>-14</v>
      </c>
      <c r="AA51" s="12">
        <f t="shared" si="11"/>
        <v>391</v>
      </c>
      <c r="AB51" s="12">
        <f t="shared" si="11"/>
        <v>234</v>
      </c>
      <c r="AC51" s="12">
        <f t="shared" si="11"/>
        <v>631</v>
      </c>
    </row>
    <row r="52" spans="1:29" x14ac:dyDescent="0.25">
      <c r="A52" s="11" t="s">
        <v>11</v>
      </c>
      <c r="B52" s="222">
        <v>520</v>
      </c>
      <c r="C52" s="12">
        <f t="shared" si="0"/>
        <v>353</v>
      </c>
      <c r="D52" s="12">
        <f t="shared" si="0"/>
        <v>271</v>
      </c>
      <c r="E52" s="12">
        <f t="shared" si="1"/>
        <v>402</v>
      </c>
      <c r="F52" s="12">
        <f t="shared" si="1"/>
        <v>280</v>
      </c>
      <c r="G52" s="12">
        <f t="shared" si="2"/>
        <v>0</v>
      </c>
      <c r="H52" s="12">
        <f t="shared" si="2"/>
        <v>0</v>
      </c>
      <c r="I52" s="12">
        <f t="shared" si="2"/>
        <v>0</v>
      </c>
      <c r="J52" s="12">
        <f t="shared" si="2"/>
        <v>191</v>
      </c>
      <c r="K52" s="12">
        <f t="shared" si="2"/>
        <v>273</v>
      </c>
      <c r="L52" s="12">
        <f t="shared" si="2"/>
        <v>0</v>
      </c>
      <c r="M52" s="12">
        <f t="shared" si="2"/>
        <v>605</v>
      </c>
      <c r="N52" s="12">
        <f t="shared" si="2"/>
        <v>153</v>
      </c>
      <c r="O52" s="12">
        <f t="shared" si="2"/>
        <v>0</v>
      </c>
      <c r="P52" s="12">
        <f t="shared" si="2"/>
        <v>70</v>
      </c>
      <c r="Q52" s="12">
        <f t="shared" si="4"/>
        <v>605</v>
      </c>
      <c r="R52" s="12">
        <f t="shared" si="4"/>
        <v>209</v>
      </c>
      <c r="S52" s="12">
        <f t="shared" si="5"/>
        <v>434</v>
      </c>
      <c r="T52" s="12">
        <f t="shared" ref="T52:AC52" si="12">T12-S12</f>
        <v>105</v>
      </c>
      <c r="U52" s="12">
        <f t="shared" si="12"/>
        <v>2</v>
      </c>
      <c r="V52" s="12">
        <f t="shared" si="12"/>
        <v>0</v>
      </c>
      <c r="W52" s="12">
        <f t="shared" si="12"/>
        <v>0</v>
      </c>
      <c r="X52" s="12">
        <f t="shared" si="12"/>
        <v>200</v>
      </c>
      <c r="Y52" s="12">
        <f t="shared" si="12"/>
        <v>521</v>
      </c>
      <c r="Z52" s="12">
        <f t="shared" si="12"/>
        <v>453</v>
      </c>
      <c r="AA52" s="12">
        <f t="shared" si="12"/>
        <v>97</v>
      </c>
      <c r="AB52" s="12">
        <f t="shared" si="12"/>
        <v>157</v>
      </c>
      <c r="AC52" s="12">
        <f t="shared" si="12"/>
        <v>519</v>
      </c>
    </row>
    <row r="53" spans="1:29" x14ac:dyDescent="0.25">
      <c r="A53" s="11" t="s">
        <v>12</v>
      </c>
      <c r="B53" s="222">
        <v>0</v>
      </c>
      <c r="C53" s="12">
        <f t="shared" si="0"/>
        <v>201</v>
      </c>
      <c r="D53" s="12">
        <f t="shared" si="0"/>
        <v>179</v>
      </c>
      <c r="E53" s="12">
        <f t="shared" si="1"/>
        <v>22</v>
      </c>
      <c r="F53" s="12">
        <f t="shared" si="1"/>
        <v>339</v>
      </c>
      <c r="G53" s="12">
        <f t="shared" si="2"/>
        <v>251</v>
      </c>
      <c r="H53" s="12">
        <f t="shared" si="2"/>
        <v>148</v>
      </c>
      <c r="I53" s="12">
        <f t="shared" si="2"/>
        <v>43</v>
      </c>
      <c r="J53" s="12">
        <f t="shared" si="2"/>
        <v>563</v>
      </c>
      <c r="K53" s="12">
        <f t="shared" si="2"/>
        <v>288</v>
      </c>
      <c r="L53" s="12">
        <f t="shared" si="2"/>
        <v>607</v>
      </c>
      <c r="M53" s="12">
        <f t="shared" si="2"/>
        <v>431</v>
      </c>
      <c r="N53" s="12">
        <f t="shared" si="2"/>
        <v>561</v>
      </c>
      <c r="O53" s="12">
        <f t="shared" si="2"/>
        <v>388</v>
      </c>
      <c r="P53" s="12">
        <f t="shared" si="2"/>
        <v>432</v>
      </c>
      <c r="Q53" s="12">
        <f t="shared" si="4"/>
        <v>517</v>
      </c>
      <c r="R53" s="12">
        <f t="shared" si="4"/>
        <v>2</v>
      </c>
      <c r="S53" s="12">
        <f t="shared" si="5"/>
        <v>385</v>
      </c>
      <c r="T53" s="12">
        <f t="shared" ref="T53:AC53" si="13">T13-S13</f>
        <v>91</v>
      </c>
      <c r="U53" s="12">
        <f t="shared" si="13"/>
        <v>263</v>
      </c>
      <c r="V53" s="12">
        <f t="shared" si="13"/>
        <v>604</v>
      </c>
      <c r="W53" s="12">
        <f t="shared" si="13"/>
        <v>519</v>
      </c>
      <c r="X53" s="12">
        <f t="shared" si="13"/>
        <v>521</v>
      </c>
      <c r="Y53" s="12">
        <f t="shared" si="13"/>
        <v>133</v>
      </c>
      <c r="Z53" s="12">
        <f t="shared" si="13"/>
        <v>80</v>
      </c>
      <c r="AA53" s="12">
        <f t="shared" si="13"/>
        <v>434</v>
      </c>
      <c r="AB53" s="12">
        <f t="shared" si="13"/>
        <v>675</v>
      </c>
      <c r="AC53" s="12">
        <f t="shared" si="13"/>
        <v>517</v>
      </c>
    </row>
    <row r="54" spans="1:29" x14ac:dyDescent="0.25">
      <c r="A54" s="11" t="s">
        <v>13</v>
      </c>
      <c r="B54" s="222">
        <v>0</v>
      </c>
      <c r="C54" s="12">
        <f t="shared" si="0"/>
        <v>251</v>
      </c>
      <c r="D54" s="12">
        <f t="shared" si="0"/>
        <v>2</v>
      </c>
      <c r="E54" s="12">
        <f t="shared" si="1"/>
        <v>586</v>
      </c>
      <c r="F54" s="12">
        <f t="shared" si="1"/>
        <v>261</v>
      </c>
      <c r="G54" s="12">
        <f t="shared" si="2"/>
        <v>261</v>
      </c>
      <c r="H54" s="12">
        <f t="shared" si="2"/>
        <v>450</v>
      </c>
      <c r="I54" s="12">
        <f t="shared" si="2"/>
        <v>0</v>
      </c>
      <c r="J54" s="12">
        <f t="shared" si="2"/>
        <v>330</v>
      </c>
      <c r="K54" s="12">
        <f t="shared" si="2"/>
        <v>160</v>
      </c>
      <c r="L54" s="12">
        <f t="shared" si="2"/>
        <v>519</v>
      </c>
      <c r="M54" s="12">
        <f t="shared" si="2"/>
        <v>177</v>
      </c>
      <c r="N54" s="12">
        <f t="shared" si="2"/>
        <v>263</v>
      </c>
      <c r="O54" s="12">
        <f t="shared" si="2"/>
        <v>4</v>
      </c>
      <c r="P54" s="12">
        <f t="shared" si="2"/>
        <v>2</v>
      </c>
      <c r="Q54" s="12">
        <f t="shared" si="4"/>
        <v>174</v>
      </c>
      <c r="R54" s="12">
        <f t="shared" si="4"/>
        <v>347</v>
      </c>
      <c r="S54" s="12">
        <f t="shared" si="5"/>
        <v>281</v>
      </c>
      <c r="T54" s="12">
        <f t="shared" ref="T54:AC54" si="14">T14-S14</f>
        <v>253</v>
      </c>
      <c r="U54" s="12">
        <f t="shared" si="14"/>
        <v>279</v>
      </c>
      <c r="V54" s="12">
        <f t="shared" si="14"/>
        <v>0</v>
      </c>
      <c r="W54" s="12">
        <f t="shared" si="14"/>
        <v>0</v>
      </c>
      <c r="X54" s="12">
        <f t="shared" si="14"/>
        <v>133</v>
      </c>
      <c r="Y54" s="12">
        <f t="shared" si="14"/>
        <v>254</v>
      </c>
      <c r="Z54" s="12">
        <f t="shared" si="14"/>
        <v>264</v>
      </c>
      <c r="AA54" s="12">
        <f t="shared" si="14"/>
        <v>607</v>
      </c>
      <c r="AB54" s="12">
        <f t="shared" si="14"/>
        <v>364</v>
      </c>
      <c r="AC54" s="12">
        <f t="shared" si="14"/>
        <v>0</v>
      </c>
    </row>
    <row r="55" spans="1:29" x14ac:dyDescent="0.25">
      <c r="A55" s="13" t="s">
        <v>14</v>
      </c>
      <c r="B55" s="222">
        <v>44</v>
      </c>
      <c r="C55" s="12">
        <f t="shared" si="0"/>
        <v>366</v>
      </c>
      <c r="D55" s="12">
        <f t="shared" si="0"/>
        <v>257</v>
      </c>
      <c r="E55" s="12">
        <f t="shared" si="1"/>
        <v>99</v>
      </c>
      <c r="F55" s="12">
        <f t="shared" si="1"/>
        <v>133</v>
      </c>
      <c r="G55" s="12">
        <f t="shared" ref="G55:P64" si="15">G15-F15</f>
        <v>259</v>
      </c>
      <c r="H55" s="12">
        <f t="shared" si="15"/>
        <v>521</v>
      </c>
      <c r="I55" s="12">
        <f t="shared" si="15"/>
        <v>475</v>
      </c>
      <c r="J55" s="12">
        <f t="shared" si="15"/>
        <v>389</v>
      </c>
      <c r="K55" s="12">
        <f t="shared" si="15"/>
        <v>25</v>
      </c>
      <c r="L55" s="12">
        <f t="shared" si="15"/>
        <v>154</v>
      </c>
      <c r="M55" s="12">
        <f t="shared" si="15"/>
        <v>262</v>
      </c>
      <c r="N55" s="12">
        <f t="shared" si="15"/>
        <v>355</v>
      </c>
      <c r="O55" s="12">
        <f t="shared" si="15"/>
        <v>561</v>
      </c>
      <c r="P55" s="12">
        <f t="shared" si="15"/>
        <v>216</v>
      </c>
      <c r="Q55" s="12">
        <f t="shared" si="4"/>
        <v>605</v>
      </c>
      <c r="R55" s="12">
        <f t="shared" si="4"/>
        <v>215</v>
      </c>
      <c r="S55" s="12">
        <f t="shared" si="5"/>
        <v>519</v>
      </c>
      <c r="T55" s="12">
        <f t="shared" ref="T55:AC55" si="16">T15-S15</f>
        <v>606</v>
      </c>
      <c r="U55" s="12">
        <f t="shared" si="16"/>
        <v>563</v>
      </c>
      <c r="V55" s="12">
        <f t="shared" si="16"/>
        <v>44</v>
      </c>
      <c r="W55" s="12">
        <f t="shared" si="16"/>
        <v>476</v>
      </c>
      <c r="X55" s="12">
        <f t="shared" si="16"/>
        <v>578</v>
      </c>
      <c r="Y55" s="12">
        <f t="shared" si="16"/>
        <v>675</v>
      </c>
      <c r="Z55" s="12">
        <f t="shared" si="16"/>
        <v>72</v>
      </c>
      <c r="AA55" s="12">
        <f t="shared" si="16"/>
        <v>249</v>
      </c>
      <c r="AB55" s="12">
        <f t="shared" si="16"/>
        <v>676</v>
      </c>
      <c r="AC55" s="12">
        <f t="shared" si="16"/>
        <v>591</v>
      </c>
    </row>
    <row r="56" spans="1:29" x14ac:dyDescent="0.25">
      <c r="A56" s="13" t="s">
        <v>15</v>
      </c>
      <c r="B56" s="222">
        <v>0</v>
      </c>
      <c r="C56" s="12">
        <f t="shared" si="0"/>
        <v>221</v>
      </c>
      <c r="D56" s="12">
        <f t="shared" si="0"/>
        <v>408</v>
      </c>
      <c r="E56" s="12">
        <f t="shared" si="1"/>
        <v>133</v>
      </c>
      <c r="F56" s="12">
        <f t="shared" si="1"/>
        <v>586</v>
      </c>
      <c r="G56" s="12">
        <f t="shared" si="15"/>
        <v>517</v>
      </c>
      <c r="H56" s="12">
        <f t="shared" si="15"/>
        <v>560</v>
      </c>
      <c r="I56" s="12">
        <f t="shared" si="15"/>
        <v>44</v>
      </c>
      <c r="J56" s="12">
        <f t="shared" si="15"/>
        <v>110</v>
      </c>
      <c r="K56" s="12">
        <f t="shared" si="15"/>
        <v>132</v>
      </c>
      <c r="L56" s="12">
        <f t="shared" si="15"/>
        <v>285</v>
      </c>
      <c r="M56" s="12">
        <f t="shared" si="15"/>
        <v>261</v>
      </c>
      <c r="N56" s="12">
        <f t="shared" si="15"/>
        <v>519</v>
      </c>
      <c r="O56" s="12">
        <f t="shared" si="15"/>
        <v>517</v>
      </c>
      <c r="P56" s="12">
        <f t="shared" si="15"/>
        <v>276</v>
      </c>
      <c r="Q56" s="12">
        <f t="shared" si="4"/>
        <v>263</v>
      </c>
      <c r="R56" s="12">
        <f t="shared" si="4"/>
        <v>328</v>
      </c>
      <c r="S56" s="12">
        <f t="shared" si="5"/>
        <v>391</v>
      </c>
      <c r="T56" s="12">
        <f t="shared" ref="T56:AC56" si="17">T16-S16</f>
        <v>244</v>
      </c>
      <c r="U56" s="12">
        <f t="shared" si="17"/>
        <v>586</v>
      </c>
      <c r="V56" s="12">
        <f t="shared" si="17"/>
        <v>517</v>
      </c>
      <c r="W56" s="12">
        <f t="shared" si="17"/>
        <v>2</v>
      </c>
      <c r="X56" s="12">
        <f t="shared" si="17"/>
        <v>91</v>
      </c>
      <c r="Y56" s="12">
        <f t="shared" si="17"/>
        <v>251</v>
      </c>
      <c r="Z56" s="12">
        <f t="shared" si="17"/>
        <v>251</v>
      </c>
      <c r="AA56" s="12">
        <f t="shared" si="17"/>
        <v>501</v>
      </c>
      <c r="AB56" s="12">
        <f t="shared" si="17"/>
        <v>673</v>
      </c>
      <c r="AC56" s="12">
        <f t="shared" si="17"/>
        <v>433</v>
      </c>
    </row>
    <row r="57" spans="1:29" x14ac:dyDescent="0.25">
      <c r="A57" s="13" t="s">
        <v>16</v>
      </c>
      <c r="B57" s="222">
        <v>477</v>
      </c>
      <c r="C57" s="12">
        <f t="shared" si="0"/>
        <v>150</v>
      </c>
      <c r="D57" s="12">
        <f t="shared" si="0"/>
        <v>251</v>
      </c>
      <c r="E57" s="12">
        <f t="shared" si="1"/>
        <v>24</v>
      </c>
      <c r="F57" s="12">
        <f t="shared" si="1"/>
        <v>346</v>
      </c>
      <c r="G57" s="12">
        <f t="shared" si="15"/>
        <v>278</v>
      </c>
      <c r="H57" s="12">
        <f t="shared" si="15"/>
        <v>0</v>
      </c>
      <c r="I57" s="12">
        <f t="shared" si="15"/>
        <v>0</v>
      </c>
      <c r="J57" s="12">
        <f t="shared" si="15"/>
        <v>3</v>
      </c>
      <c r="K57" s="12">
        <f t="shared" si="15"/>
        <v>0</v>
      </c>
      <c r="L57" s="12">
        <f t="shared" si="15"/>
        <v>20</v>
      </c>
      <c r="M57" s="12">
        <f t="shared" si="15"/>
        <v>390</v>
      </c>
      <c r="N57" s="12">
        <f t="shared" si="15"/>
        <v>194</v>
      </c>
      <c r="O57" s="12">
        <f t="shared" si="15"/>
        <v>0</v>
      </c>
      <c r="P57" s="12">
        <f t="shared" si="15"/>
        <v>0</v>
      </c>
      <c r="Q57" s="12">
        <f t="shared" si="4"/>
        <v>139</v>
      </c>
      <c r="R57" s="12">
        <f t="shared" si="4"/>
        <v>560</v>
      </c>
      <c r="S57" s="12">
        <f t="shared" si="5"/>
        <v>561</v>
      </c>
      <c r="T57" s="12">
        <f t="shared" ref="T57:AC57" si="18">T17-S17</f>
        <v>449</v>
      </c>
      <c r="U57" s="12">
        <f t="shared" si="18"/>
        <v>132</v>
      </c>
      <c r="V57" s="12">
        <f t="shared" si="18"/>
        <v>0</v>
      </c>
      <c r="W57" s="12">
        <f t="shared" si="18"/>
        <v>0</v>
      </c>
      <c r="X57" s="12">
        <f t="shared" si="18"/>
        <v>416</v>
      </c>
      <c r="Y57" s="12">
        <f t="shared" si="18"/>
        <v>433</v>
      </c>
      <c r="Z57" s="12">
        <f t="shared" si="18"/>
        <v>560</v>
      </c>
      <c r="AA57" s="12">
        <f t="shared" si="18"/>
        <v>409</v>
      </c>
      <c r="AB57" s="12">
        <f t="shared" si="18"/>
        <v>190</v>
      </c>
      <c r="AC57" s="12">
        <f t="shared" si="18"/>
        <v>131</v>
      </c>
    </row>
    <row r="58" spans="1:29" x14ac:dyDescent="0.25">
      <c r="A58" s="13" t="s">
        <v>17</v>
      </c>
      <c r="B58" s="222">
        <v>0</v>
      </c>
      <c r="C58" s="12">
        <f t="shared" si="0"/>
        <v>72</v>
      </c>
      <c r="D58" s="12">
        <f t="shared" si="0"/>
        <v>251</v>
      </c>
      <c r="E58" s="12">
        <f t="shared" si="1"/>
        <v>344</v>
      </c>
      <c r="F58" s="12">
        <f t="shared" si="1"/>
        <v>448</v>
      </c>
      <c r="G58" s="12">
        <f t="shared" si="15"/>
        <v>204</v>
      </c>
      <c r="H58" s="12">
        <f t="shared" si="15"/>
        <v>0</v>
      </c>
      <c r="I58" s="12">
        <f t="shared" si="15"/>
        <v>0</v>
      </c>
      <c r="J58" s="12">
        <f t="shared" si="15"/>
        <v>272</v>
      </c>
      <c r="K58" s="12">
        <f t="shared" si="15"/>
        <v>517</v>
      </c>
      <c r="L58" s="12">
        <f t="shared" si="15"/>
        <v>603</v>
      </c>
      <c r="M58" s="12">
        <f t="shared" si="15"/>
        <v>366</v>
      </c>
      <c r="N58" s="12">
        <f t="shared" si="15"/>
        <v>99</v>
      </c>
      <c r="O58" s="12">
        <f t="shared" si="15"/>
        <v>0</v>
      </c>
      <c r="P58" s="12">
        <f t="shared" si="15"/>
        <v>0</v>
      </c>
      <c r="Q58" s="12">
        <f t="shared" si="4"/>
        <v>1</v>
      </c>
      <c r="R58" s="12">
        <f t="shared" si="4"/>
        <v>251</v>
      </c>
      <c r="S58" s="12">
        <f t="shared" si="5"/>
        <v>269</v>
      </c>
      <c r="T58" s="12">
        <f t="shared" ref="T58:AC58" si="19">T18-S18</f>
        <v>586</v>
      </c>
      <c r="U58" s="12">
        <f t="shared" si="19"/>
        <v>517</v>
      </c>
      <c r="V58" s="12">
        <f t="shared" si="19"/>
        <v>346</v>
      </c>
      <c r="W58" s="12">
        <f t="shared" si="19"/>
        <v>432</v>
      </c>
      <c r="X58" s="12">
        <f t="shared" si="19"/>
        <v>449</v>
      </c>
      <c r="Y58" s="12">
        <f t="shared" si="19"/>
        <v>263</v>
      </c>
      <c r="Z58" s="12">
        <f t="shared" si="19"/>
        <v>192</v>
      </c>
      <c r="AA58" s="12">
        <f t="shared" si="19"/>
        <v>250</v>
      </c>
      <c r="AB58" s="12">
        <f t="shared" si="19"/>
        <v>169</v>
      </c>
      <c r="AC58" s="12">
        <f t="shared" si="19"/>
        <v>588</v>
      </c>
    </row>
    <row r="59" spans="1:29" x14ac:dyDescent="0.25">
      <c r="A59" s="13" t="s">
        <v>18</v>
      </c>
      <c r="B59" s="222">
        <v>475</v>
      </c>
      <c r="C59" s="12">
        <f t="shared" si="0"/>
        <v>391</v>
      </c>
      <c r="D59" s="12">
        <f t="shared" si="0"/>
        <v>21</v>
      </c>
      <c r="E59" s="12">
        <f t="shared" si="1"/>
        <v>251</v>
      </c>
      <c r="F59" s="12">
        <f t="shared" si="1"/>
        <v>258</v>
      </c>
      <c r="G59" s="12">
        <f t="shared" si="15"/>
        <v>519</v>
      </c>
      <c r="H59" s="12">
        <f t="shared" si="15"/>
        <v>520</v>
      </c>
      <c r="I59" s="12">
        <f t="shared" si="15"/>
        <v>474</v>
      </c>
      <c r="J59" s="12">
        <f t="shared" si="15"/>
        <v>390</v>
      </c>
      <c r="K59" s="12">
        <f t="shared" si="15"/>
        <v>161</v>
      </c>
      <c r="L59" s="12">
        <f t="shared" si="15"/>
        <v>434</v>
      </c>
      <c r="M59" s="12">
        <f t="shared" si="15"/>
        <v>179</v>
      </c>
      <c r="N59" s="12">
        <f t="shared" si="15"/>
        <v>561</v>
      </c>
      <c r="O59" s="12">
        <f t="shared" si="15"/>
        <v>173</v>
      </c>
      <c r="P59" s="12">
        <f t="shared" si="15"/>
        <v>173</v>
      </c>
      <c r="Q59" s="12">
        <f t="shared" si="4"/>
        <v>604</v>
      </c>
      <c r="R59" s="12">
        <f t="shared" si="4"/>
        <v>170</v>
      </c>
      <c r="S59" s="12">
        <f t="shared" si="5"/>
        <v>391</v>
      </c>
      <c r="T59" s="12">
        <f t="shared" ref="T59:AC59" si="20">T19-S19</f>
        <v>604</v>
      </c>
      <c r="U59" s="12">
        <f t="shared" si="20"/>
        <v>605</v>
      </c>
      <c r="V59" s="12">
        <f t="shared" si="20"/>
        <v>46</v>
      </c>
      <c r="W59" s="12">
        <f t="shared" si="20"/>
        <v>175</v>
      </c>
      <c r="X59" s="12">
        <f t="shared" si="20"/>
        <v>20</v>
      </c>
      <c r="Y59" s="12">
        <f t="shared" si="20"/>
        <v>132</v>
      </c>
      <c r="Z59" s="12">
        <f t="shared" si="20"/>
        <v>252</v>
      </c>
      <c r="AA59" s="12">
        <f t="shared" si="20"/>
        <v>251</v>
      </c>
      <c r="AB59" s="12">
        <f t="shared" si="20"/>
        <v>252</v>
      </c>
      <c r="AC59" s="12">
        <f t="shared" si="20"/>
        <v>0</v>
      </c>
    </row>
    <row r="60" spans="1:29" x14ac:dyDescent="0.25">
      <c r="A60" s="13" t="s">
        <v>19</v>
      </c>
      <c r="B60" s="222">
        <v>5</v>
      </c>
      <c r="C60" s="12">
        <f t="shared" si="0"/>
        <v>352</v>
      </c>
      <c r="D60" s="12">
        <f t="shared" si="0"/>
        <v>605</v>
      </c>
      <c r="E60" s="12">
        <f t="shared" si="1"/>
        <v>603</v>
      </c>
      <c r="F60" s="12">
        <f t="shared" si="1"/>
        <v>353</v>
      </c>
      <c r="G60" s="12">
        <f t="shared" si="15"/>
        <v>139</v>
      </c>
      <c r="H60" s="12">
        <f t="shared" si="15"/>
        <v>0</v>
      </c>
      <c r="I60" s="12">
        <f t="shared" si="15"/>
        <v>0</v>
      </c>
      <c r="J60" s="12">
        <f t="shared" si="15"/>
        <v>263</v>
      </c>
      <c r="K60" s="12">
        <f t="shared" si="15"/>
        <v>586</v>
      </c>
      <c r="L60" s="12">
        <f t="shared" si="15"/>
        <v>432</v>
      </c>
      <c r="M60" s="12">
        <f t="shared" si="15"/>
        <v>5</v>
      </c>
      <c r="N60" s="12">
        <f t="shared" si="15"/>
        <v>3</v>
      </c>
      <c r="O60" s="12">
        <f t="shared" si="15"/>
        <v>1</v>
      </c>
      <c r="P60" s="12">
        <f t="shared" si="15"/>
        <v>2</v>
      </c>
      <c r="Q60" s="12">
        <f t="shared" si="4"/>
        <v>6</v>
      </c>
      <c r="R60" s="12">
        <f t="shared" si="4"/>
        <v>21</v>
      </c>
      <c r="S60" s="12">
        <f t="shared" si="5"/>
        <v>250</v>
      </c>
      <c r="T60" s="12">
        <f t="shared" ref="T60:AC60" si="21">T20-S20</f>
        <v>254</v>
      </c>
      <c r="U60" s="12">
        <f t="shared" si="21"/>
        <v>79</v>
      </c>
      <c r="V60" s="12">
        <f t="shared" si="21"/>
        <v>0</v>
      </c>
      <c r="W60" s="12">
        <f t="shared" si="21"/>
        <v>175</v>
      </c>
      <c r="X60" s="12">
        <f t="shared" si="21"/>
        <v>517</v>
      </c>
      <c r="Y60" s="12">
        <f t="shared" si="21"/>
        <v>521</v>
      </c>
      <c r="Z60" s="12">
        <f t="shared" si="21"/>
        <v>132</v>
      </c>
      <c r="AA60" s="12">
        <f t="shared" si="21"/>
        <v>157</v>
      </c>
      <c r="AB60" s="12">
        <f t="shared" si="21"/>
        <v>330</v>
      </c>
      <c r="AC60" s="12">
        <f t="shared" si="21"/>
        <v>0</v>
      </c>
    </row>
    <row r="61" spans="1:29" x14ac:dyDescent="0.25">
      <c r="A61" s="13" t="s">
        <v>20</v>
      </c>
      <c r="B61" s="222">
        <v>0</v>
      </c>
      <c r="C61" s="12">
        <f t="shared" si="0"/>
        <v>261</v>
      </c>
      <c r="D61" s="12">
        <f t="shared" si="0"/>
        <v>90</v>
      </c>
      <c r="E61" s="12">
        <f t="shared" si="1"/>
        <v>448</v>
      </c>
      <c r="F61" s="12">
        <f t="shared" si="1"/>
        <v>185</v>
      </c>
      <c r="G61" s="12">
        <f t="shared" si="15"/>
        <v>555</v>
      </c>
      <c r="H61" s="12">
        <f t="shared" si="15"/>
        <v>43</v>
      </c>
      <c r="I61" s="12">
        <f t="shared" si="15"/>
        <v>520</v>
      </c>
      <c r="J61" s="12">
        <f t="shared" si="15"/>
        <v>353</v>
      </c>
      <c r="K61" s="12">
        <f t="shared" si="15"/>
        <v>604</v>
      </c>
      <c r="L61" s="12">
        <f t="shared" si="15"/>
        <v>223</v>
      </c>
      <c r="M61" s="12">
        <f t="shared" si="15"/>
        <v>304</v>
      </c>
      <c r="N61" s="12">
        <f t="shared" si="15"/>
        <v>222</v>
      </c>
      <c r="O61" s="12">
        <f t="shared" si="15"/>
        <v>43</v>
      </c>
      <c r="P61" s="12">
        <f t="shared" si="15"/>
        <v>432</v>
      </c>
      <c r="Q61" s="12">
        <f t="shared" si="4"/>
        <v>92</v>
      </c>
      <c r="R61" s="12">
        <f t="shared" si="4"/>
        <v>22</v>
      </c>
      <c r="S61" s="12">
        <f t="shared" si="5"/>
        <v>133</v>
      </c>
      <c r="T61" s="12">
        <f t="shared" ref="T61:AC61" si="22">T21-S21</f>
        <v>191</v>
      </c>
      <c r="U61" s="12">
        <f t="shared" si="22"/>
        <v>587</v>
      </c>
      <c r="V61" s="12">
        <f t="shared" si="22"/>
        <v>517</v>
      </c>
      <c r="W61" s="12">
        <f t="shared" si="22"/>
        <v>433</v>
      </c>
      <c r="X61" s="12">
        <f t="shared" si="22"/>
        <v>562</v>
      </c>
      <c r="Y61" s="12">
        <f t="shared" si="22"/>
        <v>409</v>
      </c>
      <c r="Z61" s="12">
        <f t="shared" si="22"/>
        <v>133</v>
      </c>
      <c r="AA61" s="12">
        <f t="shared" si="22"/>
        <v>251</v>
      </c>
      <c r="AB61" s="12">
        <f t="shared" si="22"/>
        <v>416</v>
      </c>
      <c r="AC61" s="12">
        <f t="shared" si="22"/>
        <v>0</v>
      </c>
    </row>
    <row r="62" spans="1:29" x14ac:dyDescent="0.25">
      <c r="A62" s="13" t="s">
        <v>21</v>
      </c>
      <c r="B62" s="222">
        <v>44</v>
      </c>
      <c r="C62" s="12">
        <f t="shared" si="0"/>
        <v>177</v>
      </c>
      <c r="D62" s="12">
        <f t="shared" si="0"/>
        <v>158</v>
      </c>
      <c r="E62" s="12">
        <f t="shared" si="1"/>
        <v>476</v>
      </c>
      <c r="F62" s="12">
        <f t="shared" si="1"/>
        <v>603</v>
      </c>
      <c r="G62" s="12">
        <f t="shared" si="15"/>
        <v>603</v>
      </c>
      <c r="H62" s="12">
        <f t="shared" si="15"/>
        <v>474</v>
      </c>
      <c r="I62" s="12">
        <f t="shared" si="15"/>
        <v>476</v>
      </c>
      <c r="J62" s="12">
        <f t="shared" si="15"/>
        <v>604</v>
      </c>
      <c r="K62" s="12">
        <f t="shared" si="15"/>
        <v>255</v>
      </c>
      <c r="L62" s="12">
        <f t="shared" si="15"/>
        <v>603</v>
      </c>
      <c r="M62" s="12">
        <f t="shared" si="15"/>
        <v>520</v>
      </c>
      <c r="N62" s="12">
        <f t="shared" si="15"/>
        <v>431</v>
      </c>
      <c r="O62" s="12">
        <f t="shared" si="15"/>
        <v>517</v>
      </c>
      <c r="P62" s="12">
        <f t="shared" si="15"/>
        <v>477</v>
      </c>
      <c r="Q62" s="12">
        <f t="shared" si="4"/>
        <v>205</v>
      </c>
      <c r="R62" s="12">
        <f t="shared" si="4"/>
        <v>518</v>
      </c>
      <c r="S62" s="12">
        <f t="shared" si="5"/>
        <v>348</v>
      </c>
      <c r="T62" s="12">
        <f t="shared" ref="T62:AC62" si="23">T22-S22</f>
        <v>391</v>
      </c>
      <c r="U62" s="12">
        <f t="shared" si="23"/>
        <v>603</v>
      </c>
      <c r="V62" s="12">
        <f t="shared" si="23"/>
        <v>0</v>
      </c>
      <c r="W62" s="12">
        <f t="shared" si="23"/>
        <v>43</v>
      </c>
      <c r="X62" s="12">
        <f t="shared" si="23"/>
        <v>517</v>
      </c>
      <c r="Y62" s="12">
        <f t="shared" si="23"/>
        <v>176</v>
      </c>
      <c r="Z62" s="12">
        <f t="shared" si="23"/>
        <v>337</v>
      </c>
      <c r="AA62" s="12">
        <f t="shared" si="23"/>
        <v>676</v>
      </c>
      <c r="AB62" s="12">
        <f t="shared" si="23"/>
        <v>577</v>
      </c>
      <c r="AC62" s="12">
        <f t="shared" si="23"/>
        <v>431</v>
      </c>
    </row>
    <row r="63" spans="1:29" x14ac:dyDescent="0.25">
      <c r="A63" s="13" t="s">
        <v>22</v>
      </c>
      <c r="B63" s="222">
        <v>0</v>
      </c>
      <c r="C63" s="12">
        <f t="shared" si="0"/>
        <v>260</v>
      </c>
      <c r="D63" s="12">
        <f t="shared" si="0"/>
        <v>476</v>
      </c>
      <c r="E63" s="12">
        <f t="shared" si="1"/>
        <v>563</v>
      </c>
      <c r="F63" s="12">
        <f t="shared" si="1"/>
        <v>348</v>
      </c>
      <c r="G63" s="12">
        <f t="shared" si="15"/>
        <v>519</v>
      </c>
      <c r="H63" s="12">
        <f t="shared" si="15"/>
        <v>19</v>
      </c>
      <c r="I63" s="12">
        <f t="shared" si="15"/>
        <v>0</v>
      </c>
      <c r="J63" s="12">
        <f t="shared" si="15"/>
        <v>134</v>
      </c>
      <c r="K63" s="12">
        <f t="shared" si="15"/>
        <v>382</v>
      </c>
      <c r="L63" s="12">
        <f t="shared" si="15"/>
        <v>196</v>
      </c>
      <c r="M63" s="12">
        <f t="shared" si="15"/>
        <v>227</v>
      </c>
      <c r="N63" s="12">
        <f t="shared" si="15"/>
        <v>458</v>
      </c>
      <c r="O63" s="12">
        <f t="shared" si="15"/>
        <v>0</v>
      </c>
      <c r="P63" s="12">
        <f t="shared" si="15"/>
        <v>0</v>
      </c>
      <c r="Q63" s="12">
        <f t="shared" si="4"/>
        <v>252</v>
      </c>
      <c r="R63" s="12">
        <f t="shared" si="4"/>
        <v>252</v>
      </c>
      <c r="S63" s="12">
        <f t="shared" si="5"/>
        <v>375</v>
      </c>
      <c r="T63" s="12">
        <f t="shared" ref="T63:AC63" si="24">T23-S23</f>
        <v>260</v>
      </c>
      <c r="U63" s="12">
        <f t="shared" si="24"/>
        <v>132</v>
      </c>
      <c r="V63" s="12">
        <f t="shared" si="24"/>
        <v>0</v>
      </c>
      <c r="W63" s="12">
        <f t="shared" si="24"/>
        <v>20</v>
      </c>
      <c r="X63" s="12">
        <f t="shared" si="24"/>
        <v>2</v>
      </c>
      <c r="Y63" s="12">
        <f t="shared" si="24"/>
        <v>21</v>
      </c>
      <c r="Z63" s="12">
        <f t="shared" si="24"/>
        <v>158</v>
      </c>
      <c r="AA63" s="12">
        <f t="shared" si="24"/>
        <v>71</v>
      </c>
      <c r="AB63" s="12">
        <f t="shared" si="24"/>
        <v>306</v>
      </c>
      <c r="AC63" s="12">
        <f t="shared" si="24"/>
        <v>173</v>
      </c>
    </row>
    <row r="64" spans="1:29" x14ac:dyDescent="0.25">
      <c r="A64" s="11" t="s">
        <v>23</v>
      </c>
      <c r="B64" s="222">
        <v>43</v>
      </c>
      <c r="C64" s="12">
        <f t="shared" si="0"/>
        <v>203</v>
      </c>
      <c r="D64" s="12">
        <f t="shared" si="0"/>
        <v>81</v>
      </c>
      <c r="E64" s="12">
        <f t="shared" si="1"/>
        <v>261</v>
      </c>
      <c r="F64" s="12">
        <f t="shared" si="1"/>
        <v>603</v>
      </c>
      <c r="G64" s="12">
        <f t="shared" si="15"/>
        <v>154</v>
      </c>
      <c r="H64" s="12">
        <f t="shared" si="15"/>
        <v>0</v>
      </c>
      <c r="I64" s="12">
        <f t="shared" si="15"/>
        <v>0</v>
      </c>
      <c r="J64" s="12">
        <f t="shared" si="15"/>
        <v>250</v>
      </c>
      <c r="K64" s="12">
        <f t="shared" si="15"/>
        <v>259</v>
      </c>
      <c r="L64" s="12">
        <f t="shared" si="15"/>
        <v>561</v>
      </c>
      <c r="M64" s="12">
        <f t="shared" si="15"/>
        <v>287</v>
      </c>
      <c r="N64" s="12">
        <f t="shared" si="15"/>
        <v>602</v>
      </c>
      <c r="O64" s="12">
        <f t="shared" si="15"/>
        <v>516</v>
      </c>
      <c r="P64" s="12">
        <f t="shared" si="15"/>
        <v>430</v>
      </c>
      <c r="Q64" s="12">
        <f t="shared" si="4"/>
        <v>560</v>
      </c>
      <c r="R64" s="12">
        <f t="shared" si="4"/>
        <v>602</v>
      </c>
      <c r="S64" s="12">
        <f t="shared" si="5"/>
        <v>252</v>
      </c>
      <c r="T64" s="12">
        <f t="shared" ref="T64:AC64" si="25">T24-S24</f>
        <v>518</v>
      </c>
      <c r="U64" s="12">
        <f t="shared" si="25"/>
        <v>559</v>
      </c>
      <c r="V64" s="12">
        <f t="shared" si="25"/>
        <v>473</v>
      </c>
      <c r="W64" s="12">
        <f t="shared" si="25"/>
        <v>474</v>
      </c>
      <c r="X64" s="12">
        <f t="shared" si="25"/>
        <v>602</v>
      </c>
      <c r="Y64" s="12">
        <f t="shared" si="25"/>
        <v>491</v>
      </c>
      <c r="Z64" s="12">
        <f t="shared" si="25"/>
        <v>280</v>
      </c>
      <c r="AA64" s="12">
        <f t="shared" si="25"/>
        <v>1</v>
      </c>
      <c r="AB64" s="12">
        <f t="shared" si="25"/>
        <v>251</v>
      </c>
      <c r="AC64" s="12">
        <f t="shared" si="25"/>
        <v>192</v>
      </c>
    </row>
    <row r="65" spans="1:29" x14ac:dyDescent="0.25">
      <c r="A65" s="13" t="s">
        <v>24</v>
      </c>
      <c r="B65" s="222">
        <v>1</v>
      </c>
      <c r="C65" s="12">
        <f t="shared" ref="C65:D79" si="26">C25-B25</f>
        <v>521</v>
      </c>
      <c r="D65" s="12">
        <f t="shared" si="26"/>
        <v>173</v>
      </c>
      <c r="E65" s="12">
        <f t="shared" ref="E65:F79" si="27">E25-D25</f>
        <v>162</v>
      </c>
      <c r="F65" s="12">
        <f t="shared" si="27"/>
        <v>564</v>
      </c>
      <c r="G65" s="12">
        <f t="shared" ref="G65:P74" si="28">G25-F25</f>
        <v>389</v>
      </c>
      <c r="H65" s="12">
        <f t="shared" si="28"/>
        <v>1</v>
      </c>
      <c r="I65" s="12">
        <f t="shared" si="28"/>
        <v>4</v>
      </c>
      <c r="J65" s="12">
        <f t="shared" si="28"/>
        <v>94</v>
      </c>
      <c r="K65" s="12">
        <f t="shared" si="28"/>
        <v>21</v>
      </c>
      <c r="L65" s="12">
        <f t="shared" si="28"/>
        <v>263</v>
      </c>
      <c r="M65" s="12">
        <f t="shared" si="28"/>
        <v>0</v>
      </c>
      <c r="N65" s="12">
        <f t="shared" si="28"/>
        <v>339</v>
      </c>
      <c r="O65" s="12">
        <f t="shared" si="28"/>
        <v>433</v>
      </c>
      <c r="P65" s="12">
        <f t="shared" si="28"/>
        <v>434</v>
      </c>
      <c r="Q65" s="12">
        <f t="shared" si="4"/>
        <v>607</v>
      </c>
      <c r="R65" s="12">
        <f t="shared" si="4"/>
        <v>608</v>
      </c>
      <c r="S65" s="12">
        <f t="shared" si="5"/>
        <v>273</v>
      </c>
      <c r="T65" s="12">
        <f t="shared" ref="T65:AC65" si="29">T25-S25</f>
        <v>251</v>
      </c>
      <c r="U65" s="12">
        <f t="shared" si="29"/>
        <v>252</v>
      </c>
      <c r="V65" s="12">
        <f t="shared" si="29"/>
        <v>0</v>
      </c>
      <c r="W65" s="12">
        <f t="shared" si="29"/>
        <v>194</v>
      </c>
      <c r="X65" s="12">
        <f t="shared" si="29"/>
        <v>74</v>
      </c>
      <c r="Y65" s="12">
        <f t="shared" si="29"/>
        <v>70</v>
      </c>
      <c r="Z65" s="12">
        <f t="shared" si="29"/>
        <v>20</v>
      </c>
      <c r="AA65" s="12">
        <f t="shared" si="29"/>
        <v>133</v>
      </c>
      <c r="AB65" s="12">
        <f t="shared" si="29"/>
        <v>302</v>
      </c>
      <c r="AC65" s="12">
        <f t="shared" si="29"/>
        <v>0</v>
      </c>
    </row>
    <row r="66" spans="1:29" x14ac:dyDescent="0.25">
      <c r="A66" s="13" t="s">
        <v>25</v>
      </c>
      <c r="B66" s="222">
        <v>0</v>
      </c>
      <c r="C66" s="12">
        <f t="shared" si="26"/>
        <v>251</v>
      </c>
      <c r="D66" s="12">
        <f t="shared" si="26"/>
        <v>313</v>
      </c>
      <c r="E66" s="12">
        <f t="shared" si="27"/>
        <v>261</v>
      </c>
      <c r="F66" s="12">
        <f t="shared" si="27"/>
        <v>0</v>
      </c>
      <c r="G66" s="12">
        <f t="shared" si="28"/>
        <v>192</v>
      </c>
      <c r="H66" s="12">
        <f t="shared" si="28"/>
        <v>0</v>
      </c>
      <c r="I66" s="12">
        <f t="shared" si="28"/>
        <v>0</v>
      </c>
      <c r="J66" s="12">
        <f t="shared" si="28"/>
        <v>254</v>
      </c>
      <c r="K66" s="12">
        <f t="shared" si="28"/>
        <v>518</v>
      </c>
      <c r="L66" s="12">
        <f t="shared" si="28"/>
        <v>142</v>
      </c>
      <c r="M66" s="12">
        <f t="shared" si="28"/>
        <v>431</v>
      </c>
      <c r="N66" s="12">
        <f t="shared" si="28"/>
        <v>22</v>
      </c>
      <c r="O66" s="12">
        <f t="shared" si="28"/>
        <v>87</v>
      </c>
      <c r="P66" s="12">
        <f t="shared" si="28"/>
        <v>363</v>
      </c>
      <c r="Q66" s="12">
        <f t="shared" si="4"/>
        <v>432</v>
      </c>
      <c r="R66" s="12">
        <f t="shared" si="4"/>
        <v>80</v>
      </c>
      <c r="S66" s="12">
        <f t="shared" si="5"/>
        <v>561</v>
      </c>
      <c r="T66" s="12">
        <f t="shared" ref="T66:AC66" si="30">T26-S26</f>
        <v>474</v>
      </c>
      <c r="U66" s="12">
        <f t="shared" si="30"/>
        <v>20</v>
      </c>
      <c r="V66" s="12">
        <f t="shared" si="30"/>
        <v>0</v>
      </c>
      <c r="W66" s="12">
        <f t="shared" si="30"/>
        <v>0</v>
      </c>
      <c r="X66" s="12">
        <f t="shared" si="30"/>
        <v>132</v>
      </c>
      <c r="Y66" s="12">
        <f t="shared" si="30"/>
        <v>502</v>
      </c>
      <c r="Z66" s="12">
        <f t="shared" si="30"/>
        <v>591</v>
      </c>
      <c r="AA66" s="12">
        <f t="shared" si="30"/>
        <v>560</v>
      </c>
      <c r="AB66" s="12">
        <f t="shared" si="30"/>
        <v>133</v>
      </c>
      <c r="AC66" s="12">
        <f t="shared" si="30"/>
        <v>22</v>
      </c>
    </row>
    <row r="67" spans="1:29" x14ac:dyDescent="0.25">
      <c r="A67" s="13" t="s">
        <v>26</v>
      </c>
      <c r="B67" s="222">
        <v>517</v>
      </c>
      <c r="C67" s="12">
        <f t="shared" si="26"/>
        <v>72</v>
      </c>
      <c r="D67" s="12">
        <f t="shared" si="26"/>
        <v>283</v>
      </c>
      <c r="E67" s="12">
        <f t="shared" si="27"/>
        <v>263</v>
      </c>
      <c r="F67" s="12">
        <f t="shared" si="27"/>
        <v>523</v>
      </c>
      <c r="G67" s="12">
        <f t="shared" si="28"/>
        <v>606</v>
      </c>
      <c r="H67" s="12">
        <f t="shared" si="28"/>
        <v>519</v>
      </c>
      <c r="I67" s="12">
        <f t="shared" si="28"/>
        <v>431</v>
      </c>
      <c r="J67" s="12">
        <f t="shared" si="28"/>
        <v>153</v>
      </c>
      <c r="K67" s="12">
        <f t="shared" si="28"/>
        <v>0</v>
      </c>
      <c r="L67" s="12">
        <f t="shared" si="28"/>
        <v>328</v>
      </c>
      <c r="M67" s="12">
        <f t="shared" si="28"/>
        <v>474</v>
      </c>
      <c r="N67" s="12">
        <f t="shared" si="28"/>
        <v>344</v>
      </c>
      <c r="O67" s="12">
        <f t="shared" si="28"/>
        <v>0</v>
      </c>
      <c r="P67" s="12">
        <f t="shared" si="28"/>
        <v>3</v>
      </c>
      <c r="Q67" s="12">
        <f t="shared" si="4"/>
        <v>155</v>
      </c>
      <c r="R67" s="12">
        <f t="shared" si="4"/>
        <v>415</v>
      </c>
      <c r="S67" s="12">
        <f t="shared" si="5"/>
        <v>521</v>
      </c>
      <c r="T67" s="12">
        <f t="shared" ref="T67:AC67" si="31">T27-S27</f>
        <v>605</v>
      </c>
      <c r="U67" s="12">
        <f t="shared" si="31"/>
        <v>175</v>
      </c>
      <c r="V67" s="12">
        <f t="shared" si="31"/>
        <v>0</v>
      </c>
      <c r="W67" s="12">
        <f t="shared" si="31"/>
        <v>0</v>
      </c>
      <c r="X67" s="12">
        <f t="shared" si="31"/>
        <v>20</v>
      </c>
      <c r="Y67" s="12">
        <f t="shared" si="31"/>
        <v>117</v>
      </c>
      <c r="Z67" s="12">
        <f t="shared" si="31"/>
        <v>508</v>
      </c>
      <c r="AA67" s="12">
        <f t="shared" si="31"/>
        <v>175</v>
      </c>
      <c r="AB67" s="12">
        <f t="shared" si="31"/>
        <v>432</v>
      </c>
      <c r="AC67" s="12">
        <f t="shared" si="31"/>
        <v>22</v>
      </c>
    </row>
    <row r="68" spans="1:29" x14ac:dyDescent="0.25">
      <c r="A68" s="13" t="s">
        <v>27</v>
      </c>
      <c r="B68" s="222">
        <v>0</v>
      </c>
      <c r="C68" s="12">
        <f t="shared" si="26"/>
        <v>252</v>
      </c>
      <c r="D68" s="12">
        <f t="shared" si="26"/>
        <v>388</v>
      </c>
      <c r="E68" s="12">
        <f t="shared" si="27"/>
        <v>320</v>
      </c>
      <c r="F68" s="12">
        <f t="shared" si="27"/>
        <v>192</v>
      </c>
      <c r="G68" s="12">
        <f t="shared" si="28"/>
        <v>0</v>
      </c>
      <c r="H68" s="12">
        <f t="shared" si="28"/>
        <v>0</v>
      </c>
      <c r="I68" s="12">
        <f t="shared" si="28"/>
        <v>0</v>
      </c>
      <c r="J68" s="12">
        <f t="shared" si="28"/>
        <v>256</v>
      </c>
      <c r="K68" s="12">
        <f t="shared" si="28"/>
        <v>561</v>
      </c>
      <c r="L68" s="12">
        <f t="shared" si="28"/>
        <v>64</v>
      </c>
      <c r="M68" s="12">
        <f t="shared" si="28"/>
        <v>82</v>
      </c>
      <c r="N68" s="12">
        <f t="shared" si="28"/>
        <v>433</v>
      </c>
      <c r="O68" s="12">
        <f t="shared" si="28"/>
        <v>517</v>
      </c>
      <c r="P68" s="12">
        <f t="shared" si="28"/>
        <v>477</v>
      </c>
      <c r="Q68" s="12">
        <f t="shared" si="4"/>
        <v>476</v>
      </c>
      <c r="R68" s="12">
        <f t="shared" si="4"/>
        <v>20</v>
      </c>
      <c r="S68" s="12">
        <f t="shared" si="5"/>
        <v>168</v>
      </c>
      <c r="T68" s="12">
        <f t="shared" ref="T68:AC68" si="32">T28-S28</f>
        <v>281</v>
      </c>
      <c r="U68" s="12">
        <f t="shared" si="32"/>
        <v>2</v>
      </c>
      <c r="V68" s="12">
        <f t="shared" si="32"/>
        <v>0</v>
      </c>
      <c r="W68" s="12">
        <f t="shared" si="32"/>
        <v>0</v>
      </c>
      <c r="X68" s="12">
        <f t="shared" si="32"/>
        <v>251</v>
      </c>
      <c r="Y68" s="12">
        <f t="shared" si="32"/>
        <v>155</v>
      </c>
      <c r="Z68" s="12">
        <f t="shared" si="32"/>
        <v>193</v>
      </c>
      <c r="AA68" s="12">
        <f t="shared" si="32"/>
        <v>191</v>
      </c>
      <c r="AB68" s="12">
        <f t="shared" si="32"/>
        <v>259</v>
      </c>
      <c r="AC68" s="12">
        <f t="shared" si="32"/>
        <v>348</v>
      </c>
    </row>
    <row r="69" spans="1:29" x14ac:dyDescent="0.25">
      <c r="A69" s="11" t="s">
        <v>28</v>
      </c>
      <c r="B69" s="222">
        <v>0</v>
      </c>
      <c r="C69" s="12">
        <f t="shared" si="26"/>
        <v>132</v>
      </c>
      <c r="D69" s="12">
        <f t="shared" si="26"/>
        <v>133</v>
      </c>
      <c r="E69" s="12">
        <f t="shared" si="27"/>
        <v>346</v>
      </c>
      <c r="F69" s="12">
        <f t="shared" si="27"/>
        <v>2</v>
      </c>
      <c r="G69" s="12">
        <f t="shared" si="28"/>
        <v>138</v>
      </c>
      <c r="H69" s="12">
        <f t="shared" si="28"/>
        <v>349</v>
      </c>
      <c r="I69" s="12">
        <f t="shared" si="28"/>
        <v>476</v>
      </c>
      <c r="J69" s="12">
        <f t="shared" si="28"/>
        <v>607</v>
      </c>
      <c r="K69" s="12">
        <f t="shared" si="28"/>
        <v>155</v>
      </c>
      <c r="L69" s="12">
        <f t="shared" si="28"/>
        <v>100</v>
      </c>
      <c r="M69" s="12">
        <f t="shared" si="28"/>
        <v>255</v>
      </c>
      <c r="N69" s="12">
        <f t="shared" si="28"/>
        <v>351</v>
      </c>
      <c r="O69" s="12">
        <f t="shared" si="28"/>
        <v>0</v>
      </c>
      <c r="P69" s="12">
        <f t="shared" si="28"/>
        <v>3</v>
      </c>
      <c r="Q69" s="12">
        <f t="shared" si="4"/>
        <v>523</v>
      </c>
      <c r="R69" s="12">
        <f t="shared" si="4"/>
        <v>152</v>
      </c>
      <c r="S69" s="12">
        <f t="shared" si="5"/>
        <v>245</v>
      </c>
      <c r="T69" s="12">
        <f t="shared" ref="T69:AC69" si="33">T29-S29</f>
        <v>92</v>
      </c>
      <c r="U69" s="12">
        <f t="shared" si="33"/>
        <v>260</v>
      </c>
      <c r="V69" s="12">
        <f t="shared" si="33"/>
        <v>0</v>
      </c>
      <c r="W69" s="12">
        <f t="shared" si="33"/>
        <v>0</v>
      </c>
      <c r="X69" s="12">
        <f t="shared" si="33"/>
        <v>253</v>
      </c>
      <c r="Y69" s="12">
        <f t="shared" si="33"/>
        <v>148</v>
      </c>
      <c r="Z69" s="12">
        <f t="shared" si="33"/>
        <v>3</v>
      </c>
      <c r="AA69" s="12">
        <f t="shared" si="33"/>
        <v>250</v>
      </c>
      <c r="AB69" s="12">
        <f t="shared" si="33"/>
        <v>191</v>
      </c>
      <c r="AC69" s="12">
        <f t="shared" si="33"/>
        <v>0</v>
      </c>
    </row>
    <row r="70" spans="1:29" x14ac:dyDescent="0.25">
      <c r="A70" s="13" t="s">
        <v>29</v>
      </c>
      <c r="B70" s="222">
        <v>0</v>
      </c>
      <c r="C70" s="12">
        <f t="shared" si="26"/>
        <v>586</v>
      </c>
      <c r="D70" s="12">
        <f t="shared" si="26"/>
        <v>517</v>
      </c>
      <c r="E70" s="12">
        <f t="shared" si="27"/>
        <v>517</v>
      </c>
      <c r="F70" s="12">
        <f t="shared" si="27"/>
        <v>203</v>
      </c>
      <c r="G70" s="12">
        <f t="shared" si="28"/>
        <v>251</v>
      </c>
      <c r="H70" s="12">
        <f t="shared" si="28"/>
        <v>277</v>
      </c>
      <c r="I70" s="12">
        <f t="shared" si="28"/>
        <v>517</v>
      </c>
      <c r="J70" s="12">
        <f t="shared" si="28"/>
        <v>516</v>
      </c>
      <c r="K70" s="12">
        <f t="shared" si="28"/>
        <v>175</v>
      </c>
      <c r="L70" s="12">
        <f t="shared" si="28"/>
        <v>21</v>
      </c>
      <c r="M70" s="12">
        <f t="shared" si="28"/>
        <v>132</v>
      </c>
      <c r="N70" s="12">
        <f t="shared" si="28"/>
        <v>329</v>
      </c>
      <c r="O70" s="12">
        <f t="shared" si="28"/>
        <v>215</v>
      </c>
      <c r="P70" s="12">
        <f t="shared" si="28"/>
        <v>344</v>
      </c>
      <c r="Q70" s="12">
        <f t="shared" si="4"/>
        <v>353</v>
      </c>
      <c r="R70" s="12">
        <f t="shared" si="4"/>
        <v>602</v>
      </c>
      <c r="S70" s="12">
        <f t="shared" si="5"/>
        <v>451</v>
      </c>
      <c r="T70" s="12">
        <f t="shared" ref="T70:AC70" si="34">T30-S30</f>
        <v>91</v>
      </c>
      <c r="U70" s="12">
        <f t="shared" si="34"/>
        <v>80</v>
      </c>
      <c r="V70" s="12">
        <f t="shared" si="34"/>
        <v>520</v>
      </c>
      <c r="W70" s="12">
        <f t="shared" si="34"/>
        <v>435</v>
      </c>
      <c r="X70" s="12">
        <f t="shared" si="34"/>
        <v>604</v>
      </c>
      <c r="Y70" s="12">
        <f t="shared" si="34"/>
        <v>432</v>
      </c>
      <c r="Z70" s="12">
        <f t="shared" si="34"/>
        <v>22</v>
      </c>
      <c r="AA70" s="12">
        <f t="shared" si="34"/>
        <v>131</v>
      </c>
      <c r="AB70" s="12">
        <f t="shared" si="34"/>
        <v>587</v>
      </c>
      <c r="AC70" s="12">
        <f t="shared" si="34"/>
        <v>518</v>
      </c>
    </row>
    <row r="71" spans="1:29" x14ac:dyDescent="0.25">
      <c r="A71" s="11" t="s">
        <v>30</v>
      </c>
      <c r="B71" s="222">
        <v>49</v>
      </c>
      <c r="C71" s="12">
        <f t="shared" si="26"/>
        <v>565</v>
      </c>
      <c r="D71" s="12">
        <f t="shared" si="26"/>
        <v>63</v>
      </c>
      <c r="E71" s="12">
        <f t="shared" si="27"/>
        <v>0</v>
      </c>
      <c r="F71" s="12">
        <f t="shared" si="27"/>
        <v>312</v>
      </c>
      <c r="G71" s="12">
        <f t="shared" si="28"/>
        <v>3</v>
      </c>
      <c r="H71" s="12">
        <f t="shared" si="28"/>
        <v>520</v>
      </c>
      <c r="I71" s="12">
        <f t="shared" si="28"/>
        <v>346</v>
      </c>
      <c r="J71" s="12">
        <f t="shared" si="28"/>
        <v>451</v>
      </c>
      <c r="K71" s="12">
        <f t="shared" si="28"/>
        <v>100</v>
      </c>
      <c r="L71" s="12">
        <f t="shared" si="28"/>
        <v>263</v>
      </c>
      <c r="M71" s="12">
        <f t="shared" si="28"/>
        <v>0</v>
      </c>
      <c r="N71" s="12">
        <f t="shared" si="28"/>
        <v>0</v>
      </c>
      <c r="O71" s="12">
        <f t="shared" si="28"/>
        <v>0</v>
      </c>
      <c r="P71" s="12">
        <f t="shared" si="28"/>
        <v>0</v>
      </c>
      <c r="Q71" s="12">
        <f t="shared" si="4"/>
        <v>0</v>
      </c>
      <c r="R71" s="12">
        <f t="shared" si="4"/>
        <v>0</v>
      </c>
      <c r="S71" s="12">
        <f t="shared" si="5"/>
        <v>280</v>
      </c>
      <c r="T71" s="12">
        <f t="shared" ref="T71:AC71" si="35">T31-S31</f>
        <v>89</v>
      </c>
      <c r="U71" s="12">
        <f t="shared" si="35"/>
        <v>21</v>
      </c>
      <c r="V71" s="12">
        <f t="shared" si="35"/>
        <v>0</v>
      </c>
      <c r="W71" s="12">
        <f t="shared" si="35"/>
        <v>0</v>
      </c>
      <c r="X71" s="12">
        <f t="shared" si="35"/>
        <v>82</v>
      </c>
      <c r="Y71" s="12">
        <f t="shared" si="35"/>
        <v>518</v>
      </c>
      <c r="Z71" s="12">
        <f t="shared" si="35"/>
        <v>675</v>
      </c>
      <c r="AA71" s="12">
        <f t="shared" si="35"/>
        <v>20</v>
      </c>
      <c r="AB71" s="12">
        <f t="shared" si="35"/>
        <v>251</v>
      </c>
      <c r="AC71" s="12">
        <f t="shared" si="35"/>
        <v>19</v>
      </c>
    </row>
    <row r="72" spans="1:29" s="124" customFormat="1" x14ac:dyDescent="0.25">
      <c r="A72" s="13" t="s">
        <v>111</v>
      </c>
      <c r="B72" s="222">
        <v>433</v>
      </c>
      <c r="C72" s="12">
        <f t="shared" si="26"/>
        <v>604</v>
      </c>
      <c r="D72" s="12">
        <f t="shared" si="26"/>
        <v>486</v>
      </c>
      <c r="E72" s="12">
        <f t="shared" si="27"/>
        <v>551</v>
      </c>
      <c r="F72" s="12">
        <f t="shared" si="27"/>
        <v>129</v>
      </c>
      <c r="G72" s="12">
        <f t="shared" si="28"/>
        <v>273</v>
      </c>
      <c r="H72" s="12">
        <f t="shared" si="28"/>
        <v>262</v>
      </c>
      <c r="I72" s="12">
        <f t="shared" si="28"/>
        <v>0</v>
      </c>
      <c r="J72" s="12">
        <f t="shared" si="28"/>
        <v>88</v>
      </c>
      <c r="K72" s="12">
        <f t="shared" si="28"/>
        <v>604</v>
      </c>
      <c r="L72" s="12">
        <f t="shared" si="28"/>
        <v>518</v>
      </c>
      <c r="M72" s="12">
        <f t="shared" si="28"/>
        <v>152</v>
      </c>
      <c r="N72" s="12">
        <f t="shared" si="28"/>
        <v>398</v>
      </c>
      <c r="O72" s="12">
        <f t="shared" si="28"/>
        <v>564</v>
      </c>
      <c r="P72" s="12">
        <f t="shared" si="28"/>
        <v>302</v>
      </c>
      <c r="Q72" s="12">
        <f t="shared" si="4"/>
        <v>3</v>
      </c>
      <c r="R72" s="12">
        <f t="shared" si="4"/>
        <v>561</v>
      </c>
      <c r="S72" s="12">
        <f t="shared" si="5"/>
        <v>152</v>
      </c>
      <c r="T72" s="12">
        <f t="shared" ref="T72:AC72" si="36">T32-S32</f>
        <v>132</v>
      </c>
      <c r="U72" s="12">
        <f t="shared" si="36"/>
        <v>252</v>
      </c>
      <c r="V72" s="12">
        <f t="shared" si="36"/>
        <v>0</v>
      </c>
      <c r="W72" s="12">
        <f t="shared" si="36"/>
        <v>0</v>
      </c>
      <c r="X72" s="12">
        <f t="shared" si="36"/>
        <v>252</v>
      </c>
      <c r="Y72" s="12">
        <f t="shared" si="36"/>
        <v>19</v>
      </c>
      <c r="Z72" s="12">
        <f t="shared" si="36"/>
        <v>432</v>
      </c>
      <c r="AA72" s="12">
        <f t="shared" si="36"/>
        <v>262</v>
      </c>
      <c r="AB72" s="12">
        <f t="shared" si="36"/>
        <v>154</v>
      </c>
      <c r="AC72" s="12">
        <f t="shared" si="36"/>
        <v>0</v>
      </c>
    </row>
    <row r="73" spans="1:29" s="124" customFormat="1" x14ac:dyDescent="0.25">
      <c r="A73" s="11" t="s">
        <v>112</v>
      </c>
      <c r="B73" s="222">
        <v>0</v>
      </c>
      <c r="C73" s="12">
        <f t="shared" si="26"/>
        <v>357</v>
      </c>
      <c r="D73" s="12">
        <f t="shared" si="26"/>
        <v>99</v>
      </c>
      <c r="E73" s="12">
        <f t="shared" si="27"/>
        <v>133</v>
      </c>
      <c r="F73" s="12">
        <f t="shared" si="27"/>
        <v>259</v>
      </c>
      <c r="G73" s="12">
        <f t="shared" si="28"/>
        <v>520</v>
      </c>
      <c r="H73" s="12">
        <f t="shared" si="28"/>
        <v>260</v>
      </c>
      <c r="I73" s="12">
        <f t="shared" si="28"/>
        <v>3</v>
      </c>
      <c r="J73" s="12">
        <f t="shared" si="28"/>
        <v>217</v>
      </c>
      <c r="K73" s="12">
        <f t="shared" si="28"/>
        <v>475</v>
      </c>
      <c r="L73" s="12">
        <f t="shared" si="28"/>
        <v>20</v>
      </c>
      <c r="M73" s="12">
        <f t="shared" si="28"/>
        <v>252</v>
      </c>
      <c r="N73" s="12">
        <f t="shared" si="28"/>
        <v>251</v>
      </c>
      <c r="O73" s="12">
        <f t="shared" si="28"/>
        <v>0</v>
      </c>
      <c r="P73" s="12">
        <f t="shared" si="28"/>
        <v>0</v>
      </c>
      <c r="Q73" s="12">
        <f t="shared" si="4"/>
        <v>191</v>
      </c>
      <c r="R73" s="12">
        <f t="shared" si="4"/>
        <v>132</v>
      </c>
      <c r="S73" s="12">
        <f t="shared" si="5"/>
        <v>244</v>
      </c>
      <c r="T73" s="12">
        <f t="shared" ref="T73:AC73" si="37">T33-S33</f>
        <v>80</v>
      </c>
      <c r="U73" s="12">
        <f t="shared" si="37"/>
        <v>5</v>
      </c>
      <c r="V73" s="12">
        <f t="shared" si="37"/>
        <v>0</v>
      </c>
      <c r="W73" s="12">
        <f t="shared" si="37"/>
        <v>0</v>
      </c>
      <c r="X73" s="12">
        <f t="shared" si="37"/>
        <v>540</v>
      </c>
      <c r="Y73" s="12">
        <f t="shared" si="37"/>
        <v>99</v>
      </c>
      <c r="Z73" s="12">
        <f t="shared" si="37"/>
        <v>156</v>
      </c>
      <c r="AA73" s="12">
        <f t="shared" si="37"/>
        <v>605</v>
      </c>
      <c r="AB73" s="12">
        <f t="shared" si="37"/>
        <v>201</v>
      </c>
      <c r="AC73" s="12">
        <f t="shared" si="37"/>
        <v>0</v>
      </c>
    </row>
    <row r="74" spans="1:29" s="124" customFormat="1" x14ac:dyDescent="0.25">
      <c r="A74" s="13" t="s">
        <v>113</v>
      </c>
      <c r="B74" s="222">
        <v>435</v>
      </c>
      <c r="C74" s="12">
        <f t="shared" si="26"/>
        <v>606</v>
      </c>
      <c r="D74" s="12">
        <f t="shared" si="26"/>
        <v>564</v>
      </c>
      <c r="E74" s="12">
        <f t="shared" si="27"/>
        <v>136</v>
      </c>
      <c r="F74" s="12">
        <f t="shared" si="27"/>
        <v>253</v>
      </c>
      <c r="G74" s="12">
        <f t="shared" si="28"/>
        <v>252</v>
      </c>
      <c r="H74" s="12">
        <f t="shared" si="28"/>
        <v>0</v>
      </c>
      <c r="I74" s="12">
        <f t="shared" si="28"/>
        <v>0</v>
      </c>
      <c r="J74" s="12">
        <f t="shared" si="28"/>
        <v>240</v>
      </c>
      <c r="K74" s="12">
        <f t="shared" si="28"/>
        <v>265</v>
      </c>
      <c r="L74" s="12">
        <f t="shared" si="28"/>
        <v>134</v>
      </c>
      <c r="M74" s="12">
        <f t="shared" si="28"/>
        <v>252</v>
      </c>
      <c r="N74" s="12">
        <f t="shared" si="28"/>
        <v>331</v>
      </c>
      <c r="O74" s="12">
        <f t="shared" si="28"/>
        <v>0</v>
      </c>
      <c r="P74" s="12">
        <f t="shared" si="28"/>
        <v>0</v>
      </c>
      <c r="Q74" s="12">
        <f t="shared" si="4"/>
        <v>79</v>
      </c>
      <c r="R74" s="12">
        <f t="shared" si="4"/>
        <v>0</v>
      </c>
      <c r="S74" s="12">
        <f t="shared" si="5"/>
        <v>0</v>
      </c>
      <c r="T74" s="12">
        <f t="shared" ref="T74:AC74" si="38">T34-S34</f>
        <v>0</v>
      </c>
      <c r="U74" s="12">
        <f t="shared" si="38"/>
        <v>0</v>
      </c>
      <c r="V74" s="12">
        <f t="shared" si="38"/>
        <v>0</v>
      </c>
      <c r="W74" s="12">
        <f t="shared" si="38"/>
        <v>0</v>
      </c>
      <c r="X74" s="12">
        <f t="shared" si="38"/>
        <v>0</v>
      </c>
      <c r="Y74" s="12">
        <f t="shared" si="38"/>
        <v>0</v>
      </c>
      <c r="Z74" s="12">
        <f t="shared" si="38"/>
        <v>0</v>
      </c>
      <c r="AA74" s="12">
        <f t="shared" si="38"/>
        <v>0</v>
      </c>
      <c r="AB74" s="12">
        <f t="shared" si="38"/>
        <v>0</v>
      </c>
      <c r="AC74" s="12">
        <f t="shared" si="38"/>
        <v>0</v>
      </c>
    </row>
    <row r="75" spans="1:29" s="124" customFormat="1" x14ac:dyDescent="0.25">
      <c r="A75" s="11" t="s">
        <v>114</v>
      </c>
      <c r="B75" s="222">
        <v>0</v>
      </c>
      <c r="C75" s="12">
        <f t="shared" si="26"/>
        <v>89</v>
      </c>
      <c r="D75" s="12">
        <f t="shared" si="26"/>
        <v>2</v>
      </c>
      <c r="E75" s="12">
        <f t="shared" si="27"/>
        <v>23</v>
      </c>
      <c r="F75" s="12">
        <f t="shared" si="27"/>
        <v>167</v>
      </c>
      <c r="G75" s="12">
        <f t="shared" ref="G75:P79" si="39">G35-F35</f>
        <v>261</v>
      </c>
      <c r="H75" s="12">
        <f t="shared" si="39"/>
        <v>520</v>
      </c>
      <c r="I75" s="12">
        <f t="shared" si="39"/>
        <v>431</v>
      </c>
      <c r="J75" s="12">
        <f t="shared" si="39"/>
        <v>517</v>
      </c>
      <c r="K75" s="12">
        <f t="shared" si="39"/>
        <v>259</v>
      </c>
      <c r="L75" s="12">
        <f t="shared" si="39"/>
        <v>133</v>
      </c>
      <c r="M75" s="12">
        <f t="shared" si="39"/>
        <v>199</v>
      </c>
      <c r="N75" s="12">
        <f t="shared" si="39"/>
        <v>551</v>
      </c>
      <c r="O75" s="12">
        <f t="shared" si="39"/>
        <v>564</v>
      </c>
      <c r="P75" s="12">
        <f t="shared" si="39"/>
        <v>234</v>
      </c>
      <c r="Q75" s="12">
        <f t="shared" si="4"/>
        <v>251</v>
      </c>
      <c r="R75" s="12">
        <f t="shared" si="4"/>
        <v>80</v>
      </c>
      <c r="S75" s="12">
        <f t="shared" si="5"/>
        <v>262</v>
      </c>
      <c r="T75" s="12">
        <f t="shared" ref="T75:AC75" si="40">T35-S35</f>
        <v>106</v>
      </c>
      <c r="U75" s="12">
        <f t="shared" si="40"/>
        <v>81</v>
      </c>
      <c r="V75" s="12">
        <f t="shared" si="40"/>
        <v>564</v>
      </c>
      <c r="W75" s="12">
        <f t="shared" si="40"/>
        <v>216</v>
      </c>
      <c r="X75" s="12">
        <f t="shared" si="40"/>
        <v>221</v>
      </c>
      <c r="Y75" s="12">
        <f t="shared" si="40"/>
        <v>252</v>
      </c>
      <c r="Z75" s="12">
        <f t="shared" si="40"/>
        <v>251</v>
      </c>
      <c r="AA75" s="12">
        <f t="shared" si="40"/>
        <v>80</v>
      </c>
      <c r="AB75" s="12">
        <f t="shared" si="40"/>
        <v>19</v>
      </c>
      <c r="AC75" s="12">
        <f t="shared" si="40"/>
        <v>0</v>
      </c>
    </row>
    <row r="76" spans="1:29" s="124" customFormat="1" x14ac:dyDescent="0.25">
      <c r="A76" s="13" t="s">
        <v>115</v>
      </c>
      <c r="B76" s="222">
        <v>0</v>
      </c>
      <c r="C76" s="12">
        <f t="shared" si="26"/>
        <v>213</v>
      </c>
      <c r="D76" s="12">
        <f t="shared" si="26"/>
        <v>558</v>
      </c>
      <c r="E76" s="12">
        <f t="shared" si="27"/>
        <v>117</v>
      </c>
      <c r="F76" s="12">
        <f t="shared" si="27"/>
        <v>0</v>
      </c>
      <c r="G76" s="12">
        <f t="shared" si="39"/>
        <v>312</v>
      </c>
      <c r="H76" s="12">
        <f t="shared" si="39"/>
        <v>562</v>
      </c>
      <c r="I76" s="12">
        <f t="shared" si="39"/>
        <v>217</v>
      </c>
      <c r="J76" s="12">
        <f t="shared" si="39"/>
        <v>262</v>
      </c>
      <c r="K76" s="12">
        <f t="shared" si="39"/>
        <v>606</v>
      </c>
      <c r="L76" s="12">
        <f t="shared" si="39"/>
        <v>366</v>
      </c>
      <c r="M76" s="12">
        <f t="shared" si="39"/>
        <v>98</v>
      </c>
      <c r="N76" s="12">
        <f t="shared" si="39"/>
        <v>1</v>
      </c>
      <c r="O76" s="12">
        <f t="shared" si="39"/>
        <v>0</v>
      </c>
      <c r="P76" s="12">
        <f t="shared" si="39"/>
        <v>0</v>
      </c>
      <c r="Q76" s="12">
        <f t="shared" si="4"/>
        <v>0</v>
      </c>
      <c r="R76" s="12">
        <f t="shared" si="4"/>
        <v>0</v>
      </c>
      <c r="S76" s="12">
        <f t="shared" si="5"/>
        <v>252</v>
      </c>
      <c r="T76" s="12">
        <f t="shared" ref="T76:AC76" si="41">T36-S36</f>
        <v>251</v>
      </c>
      <c r="U76" s="12">
        <f t="shared" si="41"/>
        <v>133</v>
      </c>
      <c r="V76" s="12">
        <f t="shared" si="41"/>
        <v>0</v>
      </c>
      <c r="W76" s="12">
        <f t="shared" si="41"/>
        <v>0</v>
      </c>
      <c r="X76" s="12">
        <f t="shared" si="41"/>
        <v>254</v>
      </c>
      <c r="Y76" s="12">
        <f t="shared" si="41"/>
        <v>365</v>
      </c>
      <c r="Z76" s="12">
        <f t="shared" si="41"/>
        <v>250</v>
      </c>
      <c r="AA76" s="12">
        <f t="shared" si="41"/>
        <v>502</v>
      </c>
      <c r="AB76" s="12">
        <f t="shared" si="41"/>
        <v>19</v>
      </c>
      <c r="AC76" s="12">
        <f t="shared" si="41"/>
        <v>0</v>
      </c>
    </row>
    <row r="77" spans="1:29" s="124" customFormat="1" x14ac:dyDescent="0.25">
      <c r="A77" s="11" t="s">
        <v>116</v>
      </c>
      <c r="B77" s="222">
        <v>0</v>
      </c>
      <c r="C77" s="12">
        <f t="shared" si="26"/>
        <v>0</v>
      </c>
      <c r="D77" s="12">
        <f t="shared" si="26"/>
        <v>0</v>
      </c>
      <c r="E77" s="12">
        <f t="shared" si="27"/>
        <v>0</v>
      </c>
      <c r="F77" s="12">
        <f t="shared" si="27"/>
        <v>19</v>
      </c>
      <c r="G77" s="12">
        <f t="shared" si="39"/>
        <v>0</v>
      </c>
      <c r="H77" s="12">
        <f t="shared" si="39"/>
        <v>0</v>
      </c>
      <c r="I77" s="12">
        <f t="shared" si="39"/>
        <v>2</v>
      </c>
      <c r="J77" s="12">
        <f t="shared" si="39"/>
        <v>3</v>
      </c>
      <c r="K77" s="12">
        <f t="shared" si="39"/>
        <v>432</v>
      </c>
      <c r="L77" s="12">
        <f t="shared" si="39"/>
        <v>432</v>
      </c>
      <c r="M77" s="12">
        <f t="shared" si="39"/>
        <v>272</v>
      </c>
      <c r="N77" s="12">
        <f t="shared" si="39"/>
        <v>260</v>
      </c>
      <c r="O77" s="12">
        <f t="shared" si="39"/>
        <v>522</v>
      </c>
      <c r="P77" s="12">
        <f t="shared" si="39"/>
        <v>477</v>
      </c>
      <c r="Q77" s="12">
        <f t="shared" si="4"/>
        <v>389</v>
      </c>
      <c r="R77" s="12">
        <f t="shared" si="4"/>
        <v>604</v>
      </c>
      <c r="S77" s="12">
        <f t="shared" si="5"/>
        <v>198</v>
      </c>
      <c r="T77" s="12">
        <f t="shared" ref="T77:AC77" si="42">T37-S37</f>
        <v>133</v>
      </c>
      <c r="U77" s="12">
        <f t="shared" si="42"/>
        <v>252</v>
      </c>
      <c r="V77" s="12">
        <f t="shared" si="42"/>
        <v>0</v>
      </c>
      <c r="W77" s="12">
        <f t="shared" si="42"/>
        <v>0</v>
      </c>
      <c r="X77" s="12">
        <f t="shared" si="42"/>
        <v>252</v>
      </c>
      <c r="Y77" s="12">
        <f t="shared" si="42"/>
        <v>251</v>
      </c>
      <c r="Z77" s="12">
        <f t="shared" si="42"/>
        <v>416</v>
      </c>
      <c r="AA77" s="12">
        <f t="shared" si="42"/>
        <v>21</v>
      </c>
      <c r="AB77" s="12">
        <f t="shared" si="42"/>
        <v>132</v>
      </c>
      <c r="AC77" s="12">
        <f t="shared" si="42"/>
        <v>0</v>
      </c>
    </row>
    <row r="78" spans="1:29" s="124" customFormat="1" x14ac:dyDescent="0.25">
      <c r="A78" s="13" t="s">
        <v>117</v>
      </c>
      <c r="B78" s="222">
        <v>0</v>
      </c>
      <c r="C78" s="12">
        <f t="shared" si="26"/>
        <v>1</v>
      </c>
      <c r="D78" s="12">
        <f t="shared" si="26"/>
        <v>512</v>
      </c>
      <c r="E78" s="12">
        <f t="shared" si="27"/>
        <v>561</v>
      </c>
      <c r="F78" s="12">
        <f t="shared" si="27"/>
        <v>432</v>
      </c>
      <c r="G78" s="12">
        <f t="shared" si="39"/>
        <v>289</v>
      </c>
      <c r="H78" s="12">
        <f t="shared" si="39"/>
        <v>519</v>
      </c>
      <c r="I78" s="12">
        <f t="shared" si="39"/>
        <v>2</v>
      </c>
      <c r="J78" s="12">
        <f t="shared" si="39"/>
        <v>431</v>
      </c>
      <c r="K78" s="12">
        <f t="shared" si="39"/>
        <v>561</v>
      </c>
      <c r="L78" s="12">
        <f t="shared" si="39"/>
        <v>130</v>
      </c>
      <c r="M78" s="12">
        <f t="shared" si="39"/>
        <v>152</v>
      </c>
      <c r="N78" s="12">
        <f t="shared" si="39"/>
        <v>1</v>
      </c>
      <c r="O78" s="12">
        <f t="shared" si="39"/>
        <v>0</v>
      </c>
      <c r="P78" s="12">
        <f t="shared" si="39"/>
        <v>0</v>
      </c>
      <c r="Q78" s="12">
        <f t="shared" si="4"/>
        <v>0</v>
      </c>
      <c r="R78" s="12">
        <f t="shared" si="4"/>
        <v>0</v>
      </c>
      <c r="S78" s="12">
        <f t="shared" si="5"/>
        <v>232</v>
      </c>
      <c r="T78" s="12">
        <f t="shared" ref="T78:AC78" si="43">T38-S38</f>
        <v>90</v>
      </c>
      <c r="U78" s="12">
        <f t="shared" si="43"/>
        <v>5</v>
      </c>
      <c r="V78" s="12">
        <f t="shared" si="43"/>
        <v>562</v>
      </c>
      <c r="W78" s="12">
        <f t="shared" si="43"/>
        <v>217</v>
      </c>
      <c r="X78" s="12">
        <f t="shared" si="43"/>
        <v>89</v>
      </c>
      <c r="Y78" s="12">
        <f t="shared" si="43"/>
        <v>100</v>
      </c>
      <c r="Z78" s="12">
        <f t="shared" si="43"/>
        <v>252</v>
      </c>
      <c r="AA78" s="12">
        <f t="shared" si="43"/>
        <v>251</v>
      </c>
      <c r="AB78" s="12">
        <f t="shared" si="43"/>
        <v>2</v>
      </c>
      <c r="AC78" s="12">
        <f t="shared" si="43"/>
        <v>0</v>
      </c>
    </row>
    <row r="79" spans="1:29" s="124" customFormat="1" x14ac:dyDescent="0.25">
      <c r="A79" s="11" t="s">
        <v>118</v>
      </c>
      <c r="B79" s="222">
        <v>0</v>
      </c>
      <c r="C79" s="12">
        <f t="shared" si="26"/>
        <v>109</v>
      </c>
      <c r="D79" s="12">
        <f t="shared" si="26"/>
        <v>0</v>
      </c>
      <c r="E79" s="12">
        <f t="shared" si="27"/>
        <v>0</v>
      </c>
      <c r="F79" s="12">
        <f t="shared" si="27"/>
        <v>0</v>
      </c>
      <c r="G79" s="12">
        <f t="shared" si="39"/>
        <v>0</v>
      </c>
      <c r="H79" s="12">
        <f t="shared" si="39"/>
        <v>0</v>
      </c>
      <c r="I79" s="12">
        <f t="shared" si="39"/>
        <v>0</v>
      </c>
      <c r="J79" s="12">
        <f t="shared" si="39"/>
        <v>38</v>
      </c>
      <c r="K79" s="12">
        <f t="shared" si="39"/>
        <v>0</v>
      </c>
      <c r="L79" s="12">
        <f t="shared" si="39"/>
        <v>40</v>
      </c>
      <c r="M79" s="12">
        <f t="shared" si="39"/>
        <v>19</v>
      </c>
      <c r="N79" s="12">
        <f t="shared" si="39"/>
        <v>175</v>
      </c>
      <c r="O79" s="12">
        <f t="shared" si="39"/>
        <v>431</v>
      </c>
      <c r="P79" s="12">
        <f t="shared" si="39"/>
        <v>0</v>
      </c>
      <c r="Q79" s="12">
        <f t="shared" si="4"/>
        <v>152</v>
      </c>
      <c r="R79" s="12">
        <f t="shared" si="4"/>
        <v>271</v>
      </c>
      <c r="S79" s="12">
        <f t="shared" si="5"/>
        <v>231</v>
      </c>
      <c r="T79" s="12">
        <f t="shared" ref="T79:AC79" si="44">T39-S39</f>
        <v>232</v>
      </c>
      <c r="U79" s="12">
        <f t="shared" si="44"/>
        <v>271</v>
      </c>
      <c r="V79" s="12">
        <f t="shared" si="44"/>
        <v>0</v>
      </c>
      <c r="W79" s="12">
        <f t="shared" si="44"/>
        <v>0</v>
      </c>
      <c r="X79" s="12">
        <f t="shared" si="44"/>
        <v>251</v>
      </c>
      <c r="Y79" s="12">
        <f t="shared" si="44"/>
        <v>263</v>
      </c>
      <c r="Z79" s="12">
        <f t="shared" si="44"/>
        <v>252</v>
      </c>
      <c r="AA79" s="12">
        <f t="shared" si="44"/>
        <v>346</v>
      </c>
      <c r="AB79" s="12">
        <f t="shared" si="44"/>
        <v>19</v>
      </c>
      <c r="AC79" s="12">
        <f t="shared" si="44"/>
        <v>0</v>
      </c>
    </row>
    <row r="80" spans="1:29" ht="15.75" thickBot="1" x14ac:dyDescent="0.3">
      <c r="A80" s="14"/>
      <c r="B80" s="172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</row>
    <row r="81" spans="1:29" ht="15.75" thickBot="1" x14ac:dyDescent="0.3">
      <c r="A81" s="15" t="s">
        <v>34</v>
      </c>
      <c r="B81" s="16">
        <f>SUM(B45:B79)</f>
        <v>4986</v>
      </c>
      <c r="C81" s="16">
        <f t="shared" ref="C81:P81" si="45">SUM(C45:C79)</f>
        <v>9799</v>
      </c>
      <c r="D81" s="16">
        <f t="shared" si="45"/>
        <v>9348</v>
      </c>
      <c r="E81" s="16">
        <f t="shared" si="45"/>
        <v>9354</v>
      </c>
      <c r="F81" s="16">
        <f t="shared" si="45"/>
        <v>9275</v>
      </c>
      <c r="G81" s="16">
        <f t="shared" si="45"/>
        <v>9261</v>
      </c>
      <c r="H81" s="16">
        <f t="shared" si="45"/>
        <v>6567</v>
      </c>
      <c r="I81" s="16">
        <f t="shared" si="45"/>
        <v>4940</v>
      </c>
      <c r="J81" s="16">
        <f t="shared" si="45"/>
        <v>9299</v>
      </c>
      <c r="K81" s="16">
        <f t="shared" si="45"/>
        <v>9334</v>
      </c>
      <c r="L81" s="16">
        <f t="shared" si="45"/>
        <v>9333</v>
      </c>
      <c r="M81" s="16">
        <f t="shared" si="45"/>
        <v>9295</v>
      </c>
      <c r="N81" s="16">
        <f t="shared" si="45"/>
        <v>9325</v>
      </c>
      <c r="O81" s="16">
        <f t="shared" si="45"/>
        <v>6486</v>
      </c>
      <c r="P81" s="16">
        <f t="shared" si="45"/>
        <v>5392</v>
      </c>
      <c r="Q81" s="16">
        <f>SUM(Q45:Q79)</f>
        <v>9182</v>
      </c>
      <c r="R81" s="16">
        <f t="shared" ref="R81:AC81" si="46">SUM(R45:R79)</f>
        <v>9286</v>
      </c>
      <c r="S81" s="16">
        <f t="shared" si="46"/>
        <v>11606</v>
      </c>
      <c r="T81" s="16">
        <f t="shared" si="46"/>
        <v>10206</v>
      </c>
      <c r="U81" s="16">
        <f t="shared" si="46"/>
        <v>9129</v>
      </c>
      <c r="V81" s="16">
        <f t="shared" si="46"/>
        <v>6487</v>
      </c>
      <c r="W81" s="16">
        <f t="shared" si="46"/>
        <v>5761</v>
      </c>
      <c r="X81" s="16">
        <f t="shared" si="46"/>
        <v>9904</v>
      </c>
      <c r="Y81" s="16">
        <f t="shared" si="46"/>
        <v>9823</v>
      </c>
      <c r="Z81" s="16">
        <f t="shared" si="46"/>
        <v>9767</v>
      </c>
      <c r="AA81" s="16">
        <f t="shared" si="46"/>
        <v>9788</v>
      </c>
      <c r="AB81" s="16">
        <f t="shared" si="46"/>
        <v>10003</v>
      </c>
      <c r="AC81" s="16">
        <f t="shared" si="46"/>
        <v>6803</v>
      </c>
    </row>
    <row r="82" spans="1:29" s="124" customFormat="1" x14ac:dyDescent="0.25">
      <c r="A82" s="234"/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35"/>
      <c r="W82" s="235"/>
      <c r="X82" s="235"/>
      <c r="Y82" s="235"/>
      <c r="Z82" s="235"/>
      <c r="AA82" s="235"/>
      <c r="AB82" s="235"/>
      <c r="AC82" s="235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255"/>
  <sheetViews>
    <sheetView tabSelected="1" topLeftCell="G1" zoomScale="115" zoomScaleNormal="115" workbookViewId="0">
      <pane ySplit="4" topLeftCell="A5" activePane="bottomLeft" state="frozen"/>
      <selection pane="bottomLeft" activeCell="N20" sqref="N20"/>
    </sheetView>
  </sheetViews>
  <sheetFormatPr baseColWidth="10" defaultColWidth="11.5703125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6" style="124" customWidth="1"/>
    <col min="9" max="9" width="13.28515625" customWidth="1"/>
    <col min="12" max="12" width="14.140625" customWidth="1"/>
    <col min="14" max="14" width="15.140625" customWidth="1"/>
    <col min="16" max="16" width="12" customWidth="1"/>
    <col min="17" max="17" width="6.7109375" customWidth="1"/>
    <col min="18" max="18" width="6.28515625" customWidth="1"/>
    <col min="19" max="19" width="6" style="124" customWidth="1"/>
    <col min="20" max="20" width="8.140625" customWidth="1"/>
    <col min="21" max="21" width="5.28515625" customWidth="1"/>
    <col min="22" max="22" width="7.85546875" style="124" customWidth="1"/>
  </cols>
  <sheetData>
    <row r="1" spans="1:32" x14ac:dyDescent="0.25">
      <c r="A1" s="17"/>
      <c r="B1" s="18"/>
      <c r="C1" s="18"/>
      <c r="D1" s="18"/>
      <c r="E1" s="282" t="s">
        <v>160</v>
      </c>
      <c r="F1" s="282">
        <v>7.68</v>
      </c>
      <c r="H1" s="157" t="s">
        <v>125</v>
      </c>
      <c r="I1" s="157">
        <v>21.7</v>
      </c>
      <c r="J1" s="157" t="s">
        <v>35</v>
      </c>
      <c r="K1" s="157">
        <v>25.4</v>
      </c>
      <c r="L1" s="157" t="s">
        <v>36</v>
      </c>
      <c r="M1" s="157">
        <v>29.11</v>
      </c>
      <c r="N1" s="157" t="s">
        <v>119</v>
      </c>
      <c r="O1" s="157">
        <v>21.7</v>
      </c>
      <c r="P1" s="229" t="s">
        <v>151</v>
      </c>
      <c r="Q1" s="240">
        <v>8.3000000000000007</v>
      </c>
      <c r="R1" s="229" t="s">
        <v>152</v>
      </c>
      <c r="S1" s="240">
        <v>34.83</v>
      </c>
      <c r="T1" s="229" t="s">
        <v>157</v>
      </c>
      <c r="U1" s="275">
        <v>39.19</v>
      </c>
      <c r="W1" s="229" t="s">
        <v>155</v>
      </c>
      <c r="X1" s="253">
        <v>11.71</v>
      </c>
      <c r="Y1" s="229" t="s">
        <v>164</v>
      </c>
      <c r="Z1" s="287">
        <v>6</v>
      </c>
      <c r="AA1" s="229" t="s">
        <v>166</v>
      </c>
      <c r="AB1" s="287">
        <v>2.2000000000000002</v>
      </c>
      <c r="AC1" s="229" t="s">
        <v>169</v>
      </c>
      <c r="AD1" s="290">
        <v>20.81</v>
      </c>
      <c r="AE1" s="229" t="s">
        <v>175</v>
      </c>
      <c r="AF1" s="300">
        <v>21.43</v>
      </c>
    </row>
    <row r="2" spans="1:32" ht="15.75" thickBot="1" x14ac:dyDescent="0.3">
      <c r="A2" s="17"/>
      <c r="B2" s="347" t="s">
        <v>37</v>
      </c>
      <c r="C2" s="347"/>
      <c r="D2" s="348" t="s">
        <v>37</v>
      </c>
      <c r="E2" s="348"/>
      <c r="F2" s="229" t="s">
        <v>163</v>
      </c>
      <c r="G2" s="286">
        <f>M2-K1</f>
        <v>17.730000000000004</v>
      </c>
      <c r="H2" s="202" t="s">
        <v>147</v>
      </c>
      <c r="I2" s="202">
        <v>30.4</v>
      </c>
      <c r="J2" s="157" t="s">
        <v>121</v>
      </c>
      <c r="K2" s="157">
        <v>25.4</v>
      </c>
      <c r="L2" s="157" t="s">
        <v>38</v>
      </c>
      <c r="M2" s="157">
        <v>43.13</v>
      </c>
      <c r="N2" s="157" t="s">
        <v>110</v>
      </c>
      <c r="O2" s="157">
        <v>35.729999999999997</v>
      </c>
      <c r="P2" s="229" t="s">
        <v>150</v>
      </c>
      <c r="Q2" s="227">
        <v>33.97</v>
      </c>
      <c r="R2" s="229" t="s">
        <v>153</v>
      </c>
      <c r="S2" s="250">
        <v>7.4</v>
      </c>
      <c r="T2" s="229" t="s">
        <v>158</v>
      </c>
      <c r="U2" s="276">
        <v>12.72</v>
      </c>
      <c r="W2" s="229" t="s">
        <v>156</v>
      </c>
      <c r="X2" s="277">
        <v>21.7</v>
      </c>
      <c r="Y2" s="229" t="s">
        <v>165</v>
      </c>
      <c r="Z2" s="287">
        <v>3.9</v>
      </c>
      <c r="AA2" s="229" t="s">
        <v>168</v>
      </c>
      <c r="AB2" s="289">
        <f>(26.4-21.43)</f>
        <v>4.9699999999999989</v>
      </c>
      <c r="AC2" s="229" t="s">
        <v>170</v>
      </c>
      <c r="AD2" s="292">
        <v>10.55</v>
      </c>
    </row>
    <row r="3" spans="1:32" ht="14.1" customHeight="1" x14ac:dyDescent="0.25">
      <c r="A3" s="17"/>
      <c r="B3" s="347" t="s">
        <v>39</v>
      </c>
      <c r="C3" s="347"/>
      <c r="D3" s="348" t="s">
        <v>40</v>
      </c>
      <c r="E3" s="348"/>
      <c r="F3" s="343" t="s">
        <v>41</v>
      </c>
      <c r="G3" s="343" t="s">
        <v>42</v>
      </c>
      <c r="H3" s="343" t="s">
        <v>161</v>
      </c>
      <c r="I3" s="343" t="s">
        <v>43</v>
      </c>
      <c r="J3" s="343" t="s">
        <v>44</v>
      </c>
      <c r="K3" s="343" t="s">
        <v>45</v>
      </c>
      <c r="L3" s="343" t="s">
        <v>46</v>
      </c>
      <c r="M3" s="343" t="s">
        <v>47</v>
      </c>
      <c r="N3" s="334" t="s">
        <v>48</v>
      </c>
      <c r="O3" s="334" t="s">
        <v>49</v>
      </c>
      <c r="P3" s="333"/>
      <c r="Q3" s="335" t="s">
        <v>139</v>
      </c>
      <c r="R3" s="336"/>
      <c r="S3" s="337"/>
      <c r="T3" s="338" t="s">
        <v>142</v>
      </c>
      <c r="U3" s="339"/>
      <c r="V3" s="340"/>
      <c r="W3" s="332" t="s">
        <v>143</v>
      </c>
      <c r="X3" s="332" t="s">
        <v>162</v>
      </c>
    </row>
    <row r="4" spans="1:32" ht="17.25" customHeight="1" x14ac:dyDescent="0.25">
      <c r="A4" s="17"/>
      <c r="B4" s="41" t="s">
        <v>50</v>
      </c>
      <c r="C4" s="41" t="s">
        <v>51</v>
      </c>
      <c r="D4" s="42" t="s">
        <v>50</v>
      </c>
      <c r="E4" s="42" t="s">
        <v>51</v>
      </c>
      <c r="F4" s="343"/>
      <c r="G4" s="349"/>
      <c r="H4" s="349"/>
      <c r="I4" s="343"/>
      <c r="J4" s="343"/>
      <c r="K4" s="343"/>
      <c r="L4" s="343"/>
      <c r="M4" s="343"/>
      <c r="N4" s="334"/>
      <c r="O4" s="334"/>
      <c r="P4" s="333"/>
      <c r="Q4" s="371" t="s">
        <v>140</v>
      </c>
      <c r="R4" s="372" t="s">
        <v>141</v>
      </c>
      <c r="S4" s="372" t="s">
        <v>146</v>
      </c>
      <c r="T4" s="373" t="s">
        <v>140</v>
      </c>
      <c r="U4" s="374" t="s">
        <v>141</v>
      </c>
      <c r="V4" s="373" t="s">
        <v>146</v>
      </c>
      <c r="W4" s="375"/>
      <c r="X4" s="375"/>
    </row>
    <row r="5" spans="1:32" x14ac:dyDescent="0.25">
      <c r="A5" s="60">
        <v>46054</v>
      </c>
      <c r="B5" s="215">
        <v>51</v>
      </c>
      <c r="C5" s="215">
        <v>3</v>
      </c>
      <c r="D5" s="138">
        <f>'Data Ocupacion'!D33</f>
        <v>51</v>
      </c>
      <c r="E5" s="138">
        <f>'Data Ocupacion'!E33</f>
        <v>3</v>
      </c>
      <c r="F5" s="215" t="s">
        <v>38</v>
      </c>
      <c r="G5" s="215">
        <f t="shared" ref="G5:G10" si="0">D5+E5*2</f>
        <v>57</v>
      </c>
      <c r="H5" s="215">
        <f>B5+C5*2</f>
        <v>57</v>
      </c>
      <c r="I5" s="215">
        <f t="shared" ref="I5:I10" si="1">D5+E5</f>
        <v>54</v>
      </c>
      <c r="J5" s="215">
        <f>G5*M$2</f>
        <v>2458.4100000000003</v>
      </c>
      <c r="K5" s="153">
        <f>I5*M$2</f>
        <v>2329.02</v>
      </c>
      <c r="L5" s="215">
        <f t="shared" ref="L5:L10" si="2">J5*104</f>
        <v>255674.64000000004</v>
      </c>
      <c r="M5" s="215">
        <f t="shared" ref="M5:M10" si="3">I5*104</f>
        <v>5616</v>
      </c>
      <c r="N5" s="19"/>
      <c r="O5" s="19"/>
      <c r="P5" s="146"/>
      <c r="Q5" s="144"/>
      <c r="R5" s="144"/>
      <c r="S5" s="144"/>
      <c r="T5" s="376"/>
      <c r="U5" s="377"/>
      <c r="V5" s="377"/>
      <c r="W5" s="378">
        <f>J5-(Q5*($M$2-$K$1))-(R5*($M$2-$M$1))- (S5*($M$2-$I$2))+ (T5*($G$2))</f>
        <v>2458.4100000000003</v>
      </c>
      <c r="X5" s="378">
        <f>H5*$M$2</f>
        <v>2458.4100000000003</v>
      </c>
    </row>
    <row r="6" spans="1:32" ht="15" customHeight="1" x14ac:dyDescent="0.25">
      <c r="A6" s="201"/>
      <c r="B6" s="215">
        <v>57</v>
      </c>
      <c r="C6" s="215">
        <v>0</v>
      </c>
      <c r="D6" s="138">
        <f>'Data Ocupacion'!D34</f>
        <v>57</v>
      </c>
      <c r="E6" s="138">
        <f>'Data Ocupacion'!E34</f>
        <v>0</v>
      </c>
      <c r="F6" s="215" t="s">
        <v>52</v>
      </c>
      <c r="G6" s="215">
        <f t="shared" si="0"/>
        <v>57</v>
      </c>
      <c r="H6" s="215">
        <f t="shared" ref="H6:H10" si="4">B6+C6*2</f>
        <v>57</v>
      </c>
      <c r="I6" s="215">
        <f t="shared" si="1"/>
        <v>57</v>
      </c>
      <c r="J6" s="215">
        <f>G6*M$2</f>
        <v>2458.4100000000003</v>
      </c>
      <c r="K6" s="153">
        <f>I6*M$2</f>
        <v>2458.4100000000003</v>
      </c>
      <c r="L6" s="215">
        <f t="shared" si="2"/>
        <v>255674.64000000004</v>
      </c>
      <c r="M6" s="215">
        <f t="shared" si="3"/>
        <v>5928</v>
      </c>
      <c r="N6" s="19"/>
      <c r="O6" s="19"/>
      <c r="P6" s="146"/>
      <c r="Q6" s="377"/>
      <c r="R6" s="377"/>
      <c r="S6" s="379"/>
      <c r="T6" s="144"/>
      <c r="U6" s="379"/>
      <c r="V6" s="30"/>
      <c r="W6" s="378">
        <f>J6-(T6*($M$2-$K$1)+(U6*($M$2-$M$1)))</f>
        <v>2458.4100000000003</v>
      </c>
      <c r="X6" s="378">
        <f>H6*$M$2</f>
        <v>2458.4100000000003</v>
      </c>
    </row>
    <row r="7" spans="1:32" ht="15" customHeight="1" x14ac:dyDescent="0.25">
      <c r="A7" s="201"/>
      <c r="B7" s="215">
        <v>0</v>
      </c>
      <c r="C7" s="215">
        <v>0</v>
      </c>
      <c r="D7" s="138">
        <f>'Data Ocupacion'!D35</f>
        <v>0</v>
      </c>
      <c r="E7" s="138">
        <f>'Data Ocupacion'!E35</f>
        <v>0</v>
      </c>
      <c r="F7" s="215" t="s">
        <v>36</v>
      </c>
      <c r="G7" s="215">
        <f t="shared" si="0"/>
        <v>0</v>
      </c>
      <c r="H7" s="215">
        <f t="shared" si="4"/>
        <v>0</v>
      </c>
      <c r="I7" s="215">
        <f t="shared" si="1"/>
        <v>0</v>
      </c>
      <c r="J7" s="215">
        <f>G7*M$1</f>
        <v>0</v>
      </c>
      <c r="K7" s="153">
        <f>I7*M$1</f>
        <v>0</v>
      </c>
      <c r="L7" s="215">
        <f t="shared" si="2"/>
        <v>0</v>
      </c>
      <c r="M7" s="215">
        <f t="shared" si="3"/>
        <v>0</v>
      </c>
      <c r="N7" s="19"/>
      <c r="O7" s="19"/>
      <c r="P7" s="146"/>
      <c r="Q7" s="203"/>
      <c r="R7" s="190"/>
      <c r="S7" s="225"/>
      <c r="T7" s="225"/>
      <c r="U7" s="189"/>
      <c r="V7" s="189"/>
      <c r="W7" s="183">
        <f>J7-(Q7*($M$1-$K$1))</f>
        <v>0</v>
      </c>
      <c r="X7" s="183">
        <f>H7*$M$1</f>
        <v>0</v>
      </c>
    </row>
    <row r="8" spans="1:32" ht="15" customHeight="1" x14ac:dyDescent="0.25">
      <c r="A8" s="201"/>
      <c r="B8" s="215">
        <v>0</v>
      </c>
      <c r="C8" s="215">
        <v>0</v>
      </c>
      <c r="D8" s="138">
        <f>'Data Ocupacion'!D36</f>
        <v>0</v>
      </c>
      <c r="E8" s="138">
        <f>'Data Ocupacion'!E36</f>
        <v>0</v>
      </c>
      <c r="F8" s="215" t="s">
        <v>53</v>
      </c>
      <c r="G8" s="215">
        <f t="shared" si="0"/>
        <v>0</v>
      </c>
      <c r="H8" s="215">
        <f t="shared" si="4"/>
        <v>0</v>
      </c>
      <c r="I8" s="215">
        <f t="shared" si="1"/>
        <v>0</v>
      </c>
      <c r="J8" s="215">
        <f>G8*M$1</f>
        <v>0</v>
      </c>
      <c r="K8" s="153">
        <f>I8*M$1</f>
        <v>0</v>
      </c>
      <c r="L8" s="215">
        <f t="shared" si="2"/>
        <v>0</v>
      </c>
      <c r="M8" s="215">
        <f t="shared" si="3"/>
        <v>0</v>
      </c>
      <c r="N8" s="19"/>
      <c r="O8" s="19"/>
      <c r="P8" s="146"/>
      <c r="Q8" s="189"/>
      <c r="R8" s="189"/>
      <c r="S8" s="189"/>
      <c r="T8" s="189"/>
      <c r="U8" s="189"/>
      <c r="V8" s="189"/>
      <c r="W8" s="183">
        <f>J8</f>
        <v>0</v>
      </c>
      <c r="X8" s="183">
        <f>H8*$M$1</f>
        <v>0</v>
      </c>
    </row>
    <row r="9" spans="1:32" s="124" customFormat="1" ht="15" customHeight="1" x14ac:dyDescent="0.25">
      <c r="A9" s="201"/>
      <c r="B9" s="215">
        <v>0</v>
      </c>
      <c r="C9" s="215">
        <v>0</v>
      </c>
      <c r="D9" s="138">
        <f>'Data Ocupacion'!D37</f>
        <v>0</v>
      </c>
      <c r="E9" s="138">
        <f>'Data Ocupacion'!E37</f>
        <v>0</v>
      </c>
      <c r="F9" s="215" t="s">
        <v>122</v>
      </c>
      <c r="G9" s="215">
        <f t="shared" si="0"/>
        <v>0</v>
      </c>
      <c r="H9" s="215">
        <f t="shared" si="4"/>
        <v>0</v>
      </c>
      <c r="I9" s="215">
        <f t="shared" si="1"/>
        <v>0</v>
      </c>
      <c r="J9" s="215">
        <f>G9*K$1</f>
        <v>0</v>
      </c>
      <c r="K9" s="153">
        <f>I9*K$1</f>
        <v>0</v>
      </c>
      <c r="L9" s="215">
        <f t="shared" si="2"/>
        <v>0</v>
      </c>
      <c r="M9" s="215">
        <f t="shared" si="3"/>
        <v>0</v>
      </c>
      <c r="N9" s="19"/>
      <c r="O9" s="19"/>
      <c r="P9" s="146"/>
      <c r="Q9" s="189"/>
      <c r="R9" s="189"/>
      <c r="S9" s="189"/>
      <c r="T9" s="189"/>
      <c r="U9" s="189"/>
      <c r="V9" s="189"/>
      <c r="W9" s="183">
        <f>J9</f>
        <v>0</v>
      </c>
      <c r="X9" s="183">
        <f>H9*$K$1</f>
        <v>0</v>
      </c>
    </row>
    <row r="10" spans="1:32" ht="15.95" customHeight="1" thickBot="1" x14ac:dyDescent="0.3">
      <c r="A10" s="201"/>
      <c r="B10" s="215">
        <v>0</v>
      </c>
      <c r="C10" s="215">
        <v>0</v>
      </c>
      <c r="D10" s="138">
        <f>'Data Ocupacion'!D38</f>
        <v>0</v>
      </c>
      <c r="E10" s="138">
        <f>'Data Ocupacion'!E38</f>
        <v>0</v>
      </c>
      <c r="F10" s="215" t="s">
        <v>35</v>
      </c>
      <c r="G10" s="215">
        <f t="shared" si="0"/>
        <v>0</v>
      </c>
      <c r="H10" s="215">
        <f t="shared" si="4"/>
        <v>0</v>
      </c>
      <c r="I10" s="215">
        <f t="shared" si="1"/>
        <v>0</v>
      </c>
      <c r="J10" s="215">
        <f>G10*K$1</f>
        <v>0</v>
      </c>
      <c r="K10" s="153">
        <f>I10*K$1</f>
        <v>0</v>
      </c>
      <c r="L10" s="215">
        <f t="shared" si="2"/>
        <v>0</v>
      </c>
      <c r="M10" s="215">
        <f t="shared" si="3"/>
        <v>0</v>
      </c>
      <c r="N10" s="19"/>
      <c r="O10" s="19"/>
      <c r="P10" s="146"/>
      <c r="Q10" s="189"/>
      <c r="R10" s="189"/>
      <c r="S10" s="189"/>
      <c r="T10" s="189"/>
      <c r="U10" s="189"/>
      <c r="V10" s="189"/>
      <c r="W10" s="183">
        <f>J10</f>
        <v>0</v>
      </c>
      <c r="X10" s="183">
        <f>H10*$K$1</f>
        <v>0</v>
      </c>
    </row>
    <row r="11" spans="1:32" ht="15.75" thickBot="1" x14ac:dyDescent="0.3">
      <c r="A11" s="20"/>
      <c r="B11" s="119">
        <f>SUM(B5:B10)</f>
        <v>108</v>
      </c>
      <c r="C11" s="119">
        <f>SUM(C5:C10)</f>
        <v>3</v>
      </c>
      <c r="D11" s="148">
        <f>SUM(D5:D10)</f>
        <v>108</v>
      </c>
      <c r="E11" s="148">
        <f>SUM(E5:E10)</f>
        <v>3</v>
      </c>
      <c r="F11" s="119"/>
      <c r="G11" s="119">
        <f t="shared" ref="G11:M11" si="5">SUM(G5:G10)</f>
        <v>114</v>
      </c>
      <c r="H11" s="119">
        <f t="shared" si="5"/>
        <v>114</v>
      </c>
      <c r="I11" s="119">
        <f t="shared" si="5"/>
        <v>111</v>
      </c>
      <c r="J11" s="119">
        <f t="shared" si="5"/>
        <v>4916.8200000000006</v>
      </c>
      <c r="K11" s="119">
        <f t="shared" si="5"/>
        <v>4787.43</v>
      </c>
      <c r="L11" s="119">
        <f t="shared" si="5"/>
        <v>511349.28000000009</v>
      </c>
      <c r="M11" s="119">
        <f t="shared" si="5"/>
        <v>11544</v>
      </c>
      <c r="N11" s="123">
        <f>'Odometro-Kilometraje'!B81</f>
        <v>4986</v>
      </c>
      <c r="O11" s="21">
        <f>(W11/N11)*100</f>
        <v>98.612515042117948</v>
      </c>
      <c r="P11" s="192"/>
      <c r="Q11" s="182"/>
      <c r="R11" s="182"/>
      <c r="S11" s="182"/>
      <c r="T11" s="182"/>
      <c r="U11" s="182"/>
      <c r="V11" s="182"/>
      <c r="W11" s="193">
        <f>SUM(W5:W10)</f>
        <v>4916.8200000000006</v>
      </c>
      <c r="X11" s="193">
        <f>SUM(X5:X10)</f>
        <v>4916.8200000000006</v>
      </c>
      <c r="Z11" s="172">
        <f>J11-W11</f>
        <v>0</v>
      </c>
      <c r="AA11" s="172"/>
    </row>
    <row r="12" spans="1:32" x14ac:dyDescent="0.25">
      <c r="A12" s="60">
        <f>A5+1</f>
        <v>46055</v>
      </c>
      <c r="B12" s="288">
        <v>71</v>
      </c>
      <c r="C12" s="288">
        <v>8</v>
      </c>
      <c r="D12" s="126">
        <v>71</v>
      </c>
      <c r="E12" s="126">
        <v>8</v>
      </c>
      <c r="F12" s="125" t="s">
        <v>38</v>
      </c>
      <c r="G12" s="125">
        <f t="shared" ref="G12:G17" si="6">D12+E12*2</f>
        <v>87</v>
      </c>
      <c r="H12" s="125">
        <f>B12+C12*2</f>
        <v>87</v>
      </c>
      <c r="I12" s="125">
        <f t="shared" ref="I12:I17" si="7">D12+E12</f>
        <v>79</v>
      </c>
      <c r="J12" s="125">
        <f>G12*M$2</f>
        <v>3752.3100000000004</v>
      </c>
      <c r="K12" s="153">
        <f>I12*M$2</f>
        <v>3407.27</v>
      </c>
      <c r="L12" s="125">
        <f t="shared" ref="L12:L17" si="8">J12*104</f>
        <v>390240.24000000005</v>
      </c>
      <c r="M12" s="125">
        <f t="shared" ref="M12:M17" si="9">I12*104</f>
        <v>8216</v>
      </c>
      <c r="N12" s="19"/>
      <c r="O12" s="19"/>
      <c r="P12" s="146"/>
      <c r="Q12" s="144">
        <v>5</v>
      </c>
      <c r="R12" s="144"/>
      <c r="S12" s="144"/>
      <c r="T12" s="376"/>
      <c r="U12" s="377"/>
      <c r="V12" s="377"/>
      <c r="W12" s="378">
        <f>J12-(Q12*($M$2-$K$1))-(R12*($M$2-$M$1))- (S12*($M$2-$I$2))+ (T12*($G$2))</f>
        <v>3663.6600000000003</v>
      </c>
      <c r="X12" s="378">
        <f>H12*$M$2</f>
        <v>3752.3100000000004</v>
      </c>
      <c r="Z12" s="124"/>
    </row>
    <row r="13" spans="1:32" ht="15" customHeight="1" x14ac:dyDescent="0.25">
      <c r="A13" s="350" t="s">
        <v>178</v>
      </c>
      <c r="B13" s="288">
        <v>70</v>
      </c>
      <c r="C13" s="288">
        <v>8</v>
      </c>
      <c r="D13" s="126">
        <v>70</v>
      </c>
      <c r="E13" s="126">
        <v>8</v>
      </c>
      <c r="F13" s="125" t="s">
        <v>52</v>
      </c>
      <c r="G13" s="125">
        <f t="shared" si="6"/>
        <v>86</v>
      </c>
      <c r="H13" s="125">
        <f t="shared" ref="H13:H17" si="10">B13+C13*2</f>
        <v>86</v>
      </c>
      <c r="I13" s="125">
        <f t="shared" si="7"/>
        <v>78</v>
      </c>
      <c r="J13" s="125">
        <f>G13*M$2</f>
        <v>3709.1800000000003</v>
      </c>
      <c r="K13" s="153">
        <f>I13*M$2</f>
        <v>3364.1400000000003</v>
      </c>
      <c r="L13" s="125">
        <f t="shared" si="8"/>
        <v>385754.72000000003</v>
      </c>
      <c r="M13" s="125">
        <f t="shared" si="9"/>
        <v>8112</v>
      </c>
      <c r="N13" s="19"/>
      <c r="O13" s="19"/>
      <c r="P13" s="146"/>
      <c r="Q13" s="377"/>
      <c r="R13" s="377"/>
      <c r="S13" s="379"/>
      <c r="T13" s="144"/>
      <c r="U13" s="379"/>
      <c r="V13" s="30"/>
      <c r="W13" s="378">
        <f>J13-(T13*($M$2-$K$1)+(U13*($M$2-$M$1)))</f>
        <v>3709.1800000000003</v>
      </c>
      <c r="X13" s="378">
        <f>H13*$M$2</f>
        <v>3709.1800000000003</v>
      </c>
      <c r="Z13" s="124"/>
    </row>
    <row r="14" spans="1:32" ht="15.95" customHeight="1" x14ac:dyDescent="0.25">
      <c r="A14" s="350"/>
      <c r="B14" s="288">
        <v>33</v>
      </c>
      <c r="C14" s="288">
        <v>0</v>
      </c>
      <c r="D14" s="126">
        <v>31</v>
      </c>
      <c r="E14" s="126">
        <v>0</v>
      </c>
      <c r="F14" s="125" t="s">
        <v>36</v>
      </c>
      <c r="G14" s="125">
        <f t="shared" si="6"/>
        <v>31</v>
      </c>
      <c r="H14" s="125">
        <f t="shared" si="10"/>
        <v>33</v>
      </c>
      <c r="I14" s="125">
        <f t="shared" si="7"/>
        <v>31</v>
      </c>
      <c r="J14" s="125">
        <f>G14*M$1</f>
        <v>902.41</v>
      </c>
      <c r="K14" s="153">
        <f>I14*M$1</f>
        <v>902.41</v>
      </c>
      <c r="L14" s="125">
        <f t="shared" si="8"/>
        <v>93850.64</v>
      </c>
      <c r="M14" s="125">
        <f t="shared" si="9"/>
        <v>3224</v>
      </c>
      <c r="N14" s="19"/>
      <c r="O14" s="19"/>
      <c r="P14" s="146"/>
      <c r="Q14" s="184"/>
      <c r="R14" s="187"/>
      <c r="S14" s="204"/>
      <c r="T14" s="188"/>
      <c r="U14" s="189"/>
      <c r="V14" s="189"/>
      <c r="W14" s="183">
        <f>J14-(Q14*($M$1-$K$1))</f>
        <v>902.41</v>
      </c>
      <c r="X14" s="183">
        <f>H14*$M$1</f>
        <v>960.63</v>
      </c>
      <c r="Z14" s="124"/>
    </row>
    <row r="15" spans="1:32" ht="15" customHeight="1" x14ac:dyDescent="0.25">
      <c r="A15" s="350"/>
      <c r="B15" s="288">
        <v>32</v>
      </c>
      <c r="C15" s="288">
        <v>0</v>
      </c>
      <c r="D15" s="126">
        <v>32</v>
      </c>
      <c r="E15" s="126">
        <v>0</v>
      </c>
      <c r="F15" s="125" t="s">
        <v>53</v>
      </c>
      <c r="G15" s="125">
        <f t="shared" si="6"/>
        <v>32</v>
      </c>
      <c r="H15" s="125">
        <f t="shared" si="10"/>
        <v>32</v>
      </c>
      <c r="I15" s="125">
        <f t="shared" si="7"/>
        <v>32</v>
      </c>
      <c r="J15" s="125">
        <f>G15*M$1</f>
        <v>931.52</v>
      </c>
      <c r="K15" s="153">
        <f>I15*M$1</f>
        <v>931.52</v>
      </c>
      <c r="L15" s="125">
        <f t="shared" si="8"/>
        <v>96878.080000000002</v>
      </c>
      <c r="M15" s="125">
        <f t="shared" si="9"/>
        <v>3328</v>
      </c>
      <c r="N15" s="165"/>
      <c r="O15" s="19"/>
      <c r="P15" s="146"/>
      <c r="Q15" s="189"/>
      <c r="R15" s="189"/>
      <c r="S15" s="189"/>
      <c r="T15" s="189"/>
      <c r="U15" s="189"/>
      <c r="V15" s="189"/>
      <c r="W15" s="183">
        <f>J15</f>
        <v>931.52</v>
      </c>
      <c r="X15" s="183">
        <f>H15*$M$1</f>
        <v>931.52</v>
      </c>
    </row>
    <row r="16" spans="1:32" s="124" customFormat="1" ht="15" customHeight="1" x14ac:dyDescent="0.25">
      <c r="A16" s="350"/>
      <c r="B16" s="288">
        <v>0</v>
      </c>
      <c r="C16" s="288">
        <v>0</v>
      </c>
      <c r="D16" s="126">
        <v>2</v>
      </c>
      <c r="E16" s="126">
        <v>0</v>
      </c>
      <c r="F16" s="125" t="s">
        <v>122</v>
      </c>
      <c r="G16" s="125">
        <f t="shared" si="6"/>
        <v>2</v>
      </c>
      <c r="H16" s="125">
        <f t="shared" si="10"/>
        <v>0</v>
      </c>
      <c r="I16" s="125">
        <f t="shared" si="7"/>
        <v>2</v>
      </c>
      <c r="J16" s="125">
        <f>G16*K$1</f>
        <v>50.8</v>
      </c>
      <c r="K16" s="153">
        <f>I16*K$1</f>
        <v>50.8</v>
      </c>
      <c r="L16" s="125">
        <f t="shared" si="8"/>
        <v>5283.2</v>
      </c>
      <c r="M16" s="125">
        <f t="shared" si="9"/>
        <v>208</v>
      </c>
      <c r="N16" s="165"/>
      <c r="O16" s="19"/>
      <c r="P16" s="146"/>
      <c r="Q16" s="189"/>
      <c r="R16" s="189"/>
      <c r="S16" s="189"/>
      <c r="T16" s="189"/>
      <c r="U16" s="189"/>
      <c r="V16" s="189"/>
      <c r="W16" s="183">
        <f>J16</f>
        <v>50.8</v>
      </c>
      <c r="X16" s="183">
        <f>H16*$K$1</f>
        <v>0</v>
      </c>
    </row>
    <row r="17" spans="1:26" s="124" customFormat="1" ht="15" customHeight="1" thickBot="1" x14ac:dyDescent="0.3">
      <c r="A17" s="350"/>
      <c r="B17" s="288">
        <v>1</v>
      </c>
      <c r="C17" s="288">
        <v>0</v>
      </c>
      <c r="D17" s="126">
        <v>1</v>
      </c>
      <c r="E17" s="126">
        <v>0</v>
      </c>
      <c r="F17" s="125" t="s">
        <v>35</v>
      </c>
      <c r="G17" s="125">
        <f t="shared" si="6"/>
        <v>1</v>
      </c>
      <c r="H17" s="125">
        <f t="shared" si="10"/>
        <v>1</v>
      </c>
      <c r="I17" s="125">
        <f t="shared" si="7"/>
        <v>1</v>
      </c>
      <c r="J17" s="125">
        <f>G17*K$1</f>
        <v>25.4</v>
      </c>
      <c r="K17" s="153">
        <f>I17*K$1</f>
        <v>25.4</v>
      </c>
      <c r="L17" s="125">
        <f t="shared" si="8"/>
        <v>2641.6</v>
      </c>
      <c r="M17" s="125">
        <f t="shared" si="9"/>
        <v>104</v>
      </c>
      <c r="N17" s="19"/>
      <c r="O17" s="19"/>
      <c r="P17" s="146"/>
      <c r="Q17" s="189"/>
      <c r="R17" s="189"/>
      <c r="S17" s="189"/>
      <c r="T17" s="189"/>
      <c r="U17" s="189"/>
      <c r="V17" s="189"/>
      <c r="W17" s="183">
        <f>J17</f>
        <v>25.4</v>
      </c>
      <c r="X17" s="183">
        <f>H17*$K$1</f>
        <v>25.4</v>
      </c>
    </row>
    <row r="18" spans="1:26" ht="15.75" thickBot="1" x14ac:dyDescent="0.3">
      <c r="A18" s="20"/>
      <c r="B18" s="119">
        <f>SUM(B12:B17)</f>
        <v>207</v>
      </c>
      <c r="C18" s="119">
        <f>SUM(C12:C17)</f>
        <v>16</v>
      </c>
      <c r="D18" s="148">
        <f>SUM(D12:D17)</f>
        <v>207</v>
      </c>
      <c r="E18" s="148">
        <f>SUM(E12:E17)</f>
        <v>16</v>
      </c>
      <c r="F18" s="119"/>
      <c r="G18" s="119">
        <f t="shared" ref="G18:M18" si="11">SUM(G12:G17)</f>
        <v>239</v>
      </c>
      <c r="H18" s="119">
        <f t="shared" si="11"/>
        <v>239</v>
      </c>
      <c r="I18" s="119">
        <f t="shared" si="11"/>
        <v>223</v>
      </c>
      <c r="J18" s="119">
        <f t="shared" si="11"/>
        <v>9371.6200000000008</v>
      </c>
      <c r="K18" s="119">
        <f t="shared" si="11"/>
        <v>8681.5399999999991</v>
      </c>
      <c r="L18" s="119">
        <f t="shared" si="11"/>
        <v>974648.48</v>
      </c>
      <c r="M18" s="119">
        <f t="shared" si="11"/>
        <v>23192</v>
      </c>
      <c r="N18" s="123">
        <f>'Odometro-Kilometraje'!C81</f>
        <v>9799</v>
      </c>
      <c r="O18" s="21">
        <f>(W18/N18)*100</f>
        <v>94.733850392897224</v>
      </c>
      <c r="P18" s="192"/>
      <c r="Q18" s="182"/>
      <c r="R18" s="182"/>
      <c r="S18" s="182"/>
      <c r="T18" s="182"/>
      <c r="U18" s="182"/>
      <c r="V18" s="182"/>
      <c r="W18" s="193">
        <f>SUM(W12:W17)</f>
        <v>9282.9699999999993</v>
      </c>
      <c r="X18" s="193">
        <f>SUM(X12:X17)</f>
        <v>9379.0400000000009</v>
      </c>
      <c r="Z18" s="172">
        <f>J18-W18</f>
        <v>88.650000000001455</v>
      </c>
    </row>
    <row r="19" spans="1:26" x14ac:dyDescent="0.25">
      <c r="A19" s="60">
        <f>A12+1</f>
        <v>46056</v>
      </c>
      <c r="B19" s="288">
        <v>78</v>
      </c>
      <c r="C19" s="288">
        <v>1</v>
      </c>
      <c r="D19" s="126">
        <f>'Data Ocupacion'!H33</f>
        <v>78</v>
      </c>
      <c r="E19" s="126">
        <f>'Data Ocupacion'!I33</f>
        <v>1</v>
      </c>
      <c r="F19" s="125" t="s">
        <v>38</v>
      </c>
      <c r="G19" s="125">
        <f t="shared" ref="G19:G24" si="12">D19+E19*2</f>
        <v>80</v>
      </c>
      <c r="H19" s="125">
        <f>B19+C19*2</f>
        <v>80</v>
      </c>
      <c r="I19" s="125">
        <f t="shared" ref="I19:I24" si="13">D19+E19</f>
        <v>79</v>
      </c>
      <c r="J19" s="125">
        <f>G19*M$2</f>
        <v>3450.4</v>
      </c>
      <c r="K19" s="153">
        <f>I19*M$2</f>
        <v>3407.27</v>
      </c>
      <c r="L19" s="125">
        <f t="shared" ref="L19:L24" si="14">J19*104</f>
        <v>358841.60000000003</v>
      </c>
      <c r="M19" s="125">
        <f t="shared" ref="M19:M24" si="15">I19*104</f>
        <v>8216</v>
      </c>
      <c r="N19" s="19"/>
      <c r="O19" s="19"/>
      <c r="P19" s="146"/>
      <c r="Q19" s="144"/>
      <c r="R19" s="144"/>
      <c r="S19" s="144"/>
      <c r="T19" s="376"/>
      <c r="U19" s="377"/>
      <c r="V19" s="377"/>
      <c r="W19" s="378">
        <f>J19-(Q19*($M$2-$K$1))-(R19*($M$2-$M$1))- (S19*($M$2-$I$2))+ (T19*($G$2))</f>
        <v>3450.4</v>
      </c>
      <c r="X19" s="378">
        <f>H19*$M$2</f>
        <v>3450.4</v>
      </c>
    </row>
    <row r="20" spans="1:26" ht="15.95" customHeight="1" x14ac:dyDescent="0.25">
      <c r="A20" s="351" t="s">
        <v>180</v>
      </c>
      <c r="B20" s="288">
        <v>76</v>
      </c>
      <c r="C20" s="288">
        <v>2</v>
      </c>
      <c r="D20" s="126">
        <f>'Data Ocupacion'!H34</f>
        <v>76</v>
      </c>
      <c r="E20" s="126">
        <f>'Data Ocupacion'!I34</f>
        <v>2</v>
      </c>
      <c r="F20" s="125" t="s">
        <v>52</v>
      </c>
      <c r="G20" s="125">
        <f t="shared" si="12"/>
        <v>80</v>
      </c>
      <c r="H20" s="125">
        <f t="shared" ref="H20:H24" si="16">B20+C20*2</f>
        <v>80</v>
      </c>
      <c r="I20" s="125">
        <f t="shared" si="13"/>
        <v>78</v>
      </c>
      <c r="J20" s="125">
        <f>G20*M$2</f>
        <v>3450.4</v>
      </c>
      <c r="K20" s="153">
        <f>I20*M$2</f>
        <v>3364.1400000000003</v>
      </c>
      <c r="L20" s="125">
        <f t="shared" si="14"/>
        <v>358841.60000000003</v>
      </c>
      <c r="M20" s="125">
        <f t="shared" si="15"/>
        <v>8112</v>
      </c>
      <c r="N20" s="19"/>
      <c r="O20" s="19"/>
      <c r="P20" s="146"/>
      <c r="Q20" s="377"/>
      <c r="R20" s="377"/>
      <c r="S20" s="379"/>
      <c r="T20" s="144"/>
      <c r="U20" s="379"/>
      <c r="V20" s="30"/>
      <c r="W20" s="378">
        <f>J20-(T20*($M$2-$K$1)+(U20*($M$2-$M$1)))</f>
        <v>3450.4</v>
      </c>
      <c r="X20" s="378">
        <f>H20*$M$2</f>
        <v>3450.4</v>
      </c>
    </row>
    <row r="21" spans="1:26" ht="15" customHeight="1" x14ac:dyDescent="0.25">
      <c r="A21" s="351"/>
      <c r="B21" s="288">
        <v>33</v>
      </c>
      <c r="C21" s="288">
        <v>0</v>
      </c>
      <c r="D21" s="126">
        <f>'Data Ocupacion'!H35</f>
        <v>33</v>
      </c>
      <c r="E21" s="126">
        <f>'Data Ocupacion'!I35</f>
        <v>0</v>
      </c>
      <c r="F21" s="125" t="s">
        <v>36</v>
      </c>
      <c r="G21" s="125">
        <f t="shared" si="12"/>
        <v>33</v>
      </c>
      <c r="H21" s="125">
        <f t="shared" si="16"/>
        <v>33</v>
      </c>
      <c r="I21" s="125">
        <f t="shared" si="13"/>
        <v>33</v>
      </c>
      <c r="J21" s="125">
        <f>G21*M$1</f>
        <v>960.63</v>
      </c>
      <c r="K21" s="153">
        <f>I21*M$1</f>
        <v>960.63</v>
      </c>
      <c r="L21" s="125">
        <f t="shared" si="14"/>
        <v>99905.52</v>
      </c>
      <c r="M21" s="125">
        <f t="shared" si="15"/>
        <v>3432</v>
      </c>
      <c r="N21" s="19"/>
      <c r="O21" s="19"/>
      <c r="P21" s="146"/>
      <c r="Q21" s="238"/>
      <c r="R21" s="190"/>
      <c r="S21" s="225"/>
      <c r="T21" s="186"/>
      <c r="U21" s="189"/>
      <c r="V21" s="189"/>
      <c r="W21" s="183">
        <f>J21-(Q21*($M$1-$K$1))</f>
        <v>960.63</v>
      </c>
      <c r="X21" s="183">
        <f>H21*$M$1</f>
        <v>960.63</v>
      </c>
    </row>
    <row r="22" spans="1:26" ht="15" customHeight="1" x14ac:dyDescent="0.25">
      <c r="A22" s="351"/>
      <c r="B22" s="288">
        <v>32</v>
      </c>
      <c r="C22" s="288">
        <v>0</v>
      </c>
      <c r="D22" s="126">
        <f>'Data Ocupacion'!H36</f>
        <v>32</v>
      </c>
      <c r="E22" s="126">
        <f>'Data Ocupacion'!I36</f>
        <v>0</v>
      </c>
      <c r="F22" s="125" t="s">
        <v>53</v>
      </c>
      <c r="G22" s="125">
        <f t="shared" si="12"/>
        <v>32</v>
      </c>
      <c r="H22" s="125">
        <f t="shared" si="16"/>
        <v>32</v>
      </c>
      <c r="I22" s="125">
        <f t="shared" si="13"/>
        <v>32</v>
      </c>
      <c r="J22" s="125">
        <f>G22*M$1</f>
        <v>931.52</v>
      </c>
      <c r="K22" s="153">
        <f>I22*M$1</f>
        <v>931.52</v>
      </c>
      <c r="L22" s="125">
        <f t="shared" si="14"/>
        <v>96878.080000000002</v>
      </c>
      <c r="M22" s="125">
        <f t="shared" si="15"/>
        <v>3328</v>
      </c>
      <c r="N22" s="19"/>
      <c r="O22" s="19"/>
      <c r="P22" s="146"/>
      <c r="Q22" s="189"/>
      <c r="R22" s="189"/>
      <c r="S22" s="189"/>
      <c r="T22" s="189"/>
      <c r="U22" s="189"/>
      <c r="V22" s="189"/>
      <c r="W22" s="183">
        <f>J22</f>
        <v>931.52</v>
      </c>
      <c r="X22" s="183">
        <f>H22*$M$1</f>
        <v>931.52</v>
      </c>
    </row>
    <row r="23" spans="1:26" s="124" customFormat="1" ht="15" customHeight="1" x14ac:dyDescent="0.25">
      <c r="A23" s="351"/>
      <c r="B23" s="288">
        <v>0</v>
      </c>
      <c r="C23" s="288">
        <v>0</v>
      </c>
      <c r="D23" s="126">
        <f>'Data Ocupacion'!H37</f>
        <v>0</v>
      </c>
      <c r="E23" s="126">
        <f>'Data Ocupacion'!I37</f>
        <v>0</v>
      </c>
      <c r="F23" s="125" t="s">
        <v>122</v>
      </c>
      <c r="G23" s="125">
        <f t="shared" si="12"/>
        <v>0</v>
      </c>
      <c r="H23" s="125">
        <f t="shared" si="16"/>
        <v>0</v>
      </c>
      <c r="I23" s="125">
        <f t="shared" si="13"/>
        <v>0</v>
      </c>
      <c r="J23" s="125">
        <f>G23*K$1</f>
        <v>0</v>
      </c>
      <c r="K23" s="153">
        <f>I23*K$1</f>
        <v>0</v>
      </c>
      <c r="L23" s="125">
        <f t="shared" si="14"/>
        <v>0</v>
      </c>
      <c r="M23" s="125">
        <f t="shared" si="15"/>
        <v>0</v>
      </c>
      <c r="N23" s="19"/>
      <c r="O23" s="19"/>
      <c r="P23" s="146"/>
      <c r="Q23" s="189"/>
      <c r="R23" s="189"/>
      <c r="S23" s="189"/>
      <c r="T23" s="189"/>
      <c r="U23" s="189"/>
      <c r="V23" s="189"/>
      <c r="W23" s="183">
        <f>J23</f>
        <v>0</v>
      </c>
      <c r="X23" s="183">
        <f>H23*$K$1</f>
        <v>0</v>
      </c>
    </row>
    <row r="24" spans="1:26" s="124" customFormat="1" ht="15" customHeight="1" thickBot="1" x14ac:dyDescent="0.3">
      <c r="A24" s="351"/>
      <c r="B24" s="288">
        <v>1</v>
      </c>
      <c r="C24" s="288">
        <v>0</v>
      </c>
      <c r="D24" s="126">
        <f>'Data Ocupacion'!H38</f>
        <v>1</v>
      </c>
      <c r="E24" s="126">
        <f>'Data Ocupacion'!I38</f>
        <v>0</v>
      </c>
      <c r="F24" s="125" t="s">
        <v>35</v>
      </c>
      <c r="G24" s="125">
        <f t="shared" si="12"/>
        <v>1</v>
      </c>
      <c r="H24" s="125">
        <f t="shared" si="16"/>
        <v>1</v>
      </c>
      <c r="I24" s="125">
        <f t="shared" si="13"/>
        <v>1</v>
      </c>
      <c r="J24" s="125">
        <f>G24*K$1</f>
        <v>25.4</v>
      </c>
      <c r="K24" s="153">
        <f>I24*K$1</f>
        <v>25.4</v>
      </c>
      <c r="L24" s="125">
        <f t="shared" si="14"/>
        <v>2641.6</v>
      </c>
      <c r="M24" s="125">
        <f t="shared" si="15"/>
        <v>104</v>
      </c>
      <c r="N24" s="19"/>
      <c r="O24" s="19"/>
      <c r="P24" s="146"/>
      <c r="Q24" s="189"/>
      <c r="R24" s="189"/>
      <c r="S24" s="189"/>
      <c r="T24" s="189"/>
      <c r="U24" s="189"/>
      <c r="V24" s="189"/>
      <c r="W24" s="183">
        <f>J24</f>
        <v>25.4</v>
      </c>
      <c r="X24" s="183">
        <f>H24*$K$1</f>
        <v>25.4</v>
      </c>
    </row>
    <row r="25" spans="1:26" ht="15.95" customHeight="1" thickBot="1" x14ac:dyDescent="0.3">
      <c r="A25" s="20"/>
      <c r="B25" s="119">
        <f>SUM(B19:B24)</f>
        <v>220</v>
      </c>
      <c r="C25" s="119">
        <f>SUM(C19:C24)</f>
        <v>3</v>
      </c>
      <c r="D25" s="148">
        <f>SUM(D19:D24)</f>
        <v>220</v>
      </c>
      <c r="E25" s="148">
        <f>SUM(E19:E24)</f>
        <v>3</v>
      </c>
      <c r="F25" s="119"/>
      <c r="G25" s="119">
        <f t="shared" ref="G25:M25" si="17">SUM(G19:G24)</f>
        <v>226</v>
      </c>
      <c r="H25" s="119">
        <f t="shared" si="17"/>
        <v>226</v>
      </c>
      <c r="I25" s="119">
        <f t="shared" si="17"/>
        <v>223</v>
      </c>
      <c r="J25" s="119">
        <f t="shared" si="17"/>
        <v>8818.35</v>
      </c>
      <c r="K25" s="119">
        <f t="shared" si="17"/>
        <v>8688.9599999999991</v>
      </c>
      <c r="L25" s="119">
        <f t="shared" si="17"/>
        <v>917108.4</v>
      </c>
      <c r="M25" s="119">
        <f t="shared" si="17"/>
        <v>23192</v>
      </c>
      <c r="N25" s="181">
        <f>'Odometro-Kilometraje'!D81</f>
        <v>9348</v>
      </c>
      <c r="O25" s="21">
        <f>(W25/N25)*100</f>
        <v>94.334082156611046</v>
      </c>
      <c r="P25" s="192"/>
      <c r="Q25" s="182"/>
      <c r="R25" s="182"/>
      <c r="S25" s="182"/>
      <c r="T25" s="182"/>
      <c r="U25" s="182"/>
      <c r="V25" s="182"/>
      <c r="W25" s="193">
        <f>SUM(W19:W24)</f>
        <v>8818.35</v>
      </c>
      <c r="X25" s="193">
        <f>SUM(X19:X24)</f>
        <v>8818.35</v>
      </c>
      <c r="Z25" s="172">
        <f>J25-W25</f>
        <v>0</v>
      </c>
    </row>
    <row r="26" spans="1:26" x14ac:dyDescent="0.25">
      <c r="A26" s="60">
        <f>A19+1</f>
        <v>46057</v>
      </c>
      <c r="B26" s="288">
        <v>78</v>
      </c>
      <c r="C26" s="288">
        <v>1</v>
      </c>
      <c r="D26" s="138">
        <f>'Data Ocupacion'!J33</f>
        <v>76</v>
      </c>
      <c r="E26" s="138">
        <f>'Data Ocupacion'!K33</f>
        <v>3</v>
      </c>
      <c r="F26" s="125" t="s">
        <v>38</v>
      </c>
      <c r="G26" s="125">
        <f t="shared" ref="G26:G31" si="18">D26+E26*2</f>
        <v>82</v>
      </c>
      <c r="H26" s="125">
        <f>B26+C26*2</f>
        <v>80</v>
      </c>
      <c r="I26" s="125">
        <f t="shared" ref="I26:I31" si="19">D26+E26</f>
        <v>79</v>
      </c>
      <c r="J26" s="125">
        <f>G26*M$2</f>
        <v>3536.6600000000003</v>
      </c>
      <c r="K26" s="153">
        <f>I26*M$2</f>
        <v>3407.27</v>
      </c>
      <c r="L26" s="125">
        <f t="shared" ref="L26:L31" si="20">J26*104</f>
        <v>367812.64</v>
      </c>
      <c r="M26" s="125">
        <f t="shared" ref="M26:M31" si="21">I26*104</f>
        <v>8216</v>
      </c>
      <c r="N26" s="19"/>
      <c r="O26" s="19"/>
      <c r="P26" s="146"/>
      <c r="Q26" s="144"/>
      <c r="R26" s="144"/>
      <c r="S26" s="144"/>
      <c r="T26" s="376"/>
      <c r="U26" s="377"/>
      <c r="V26" s="377"/>
      <c r="W26" s="378">
        <f>J26-(Q26*($M$2-$K$1))-(R26*($M$2-$M$1))- (S26*($M$2-$I$2))+ (T26*($G$2))</f>
        <v>3536.6600000000003</v>
      </c>
      <c r="X26" s="378">
        <f>H26*$M$2</f>
        <v>3450.4</v>
      </c>
    </row>
    <row r="27" spans="1:26" ht="17.25" customHeight="1" x14ac:dyDescent="0.25">
      <c r="A27" s="350" t="s">
        <v>179</v>
      </c>
      <c r="B27" s="288">
        <v>76</v>
      </c>
      <c r="C27" s="288">
        <v>2</v>
      </c>
      <c r="D27" s="138">
        <f>'Data Ocupacion'!J34</f>
        <v>75</v>
      </c>
      <c r="E27" s="138">
        <f>'Data Ocupacion'!K34</f>
        <v>3</v>
      </c>
      <c r="F27" s="125" t="s">
        <v>52</v>
      </c>
      <c r="G27" s="125">
        <f t="shared" si="18"/>
        <v>81</v>
      </c>
      <c r="H27" s="125">
        <f t="shared" ref="H27:H31" si="22">B27+C27*2</f>
        <v>80</v>
      </c>
      <c r="I27" s="125">
        <f t="shared" si="19"/>
        <v>78</v>
      </c>
      <c r="J27" s="125">
        <f>G27*M$2</f>
        <v>3493.53</v>
      </c>
      <c r="K27" s="153">
        <f>I27*M$2</f>
        <v>3364.1400000000003</v>
      </c>
      <c r="L27" s="125">
        <f t="shared" si="20"/>
        <v>363327.12</v>
      </c>
      <c r="M27" s="125">
        <f t="shared" si="21"/>
        <v>8112</v>
      </c>
      <c r="N27" s="19"/>
      <c r="O27" s="19"/>
      <c r="P27" s="146"/>
      <c r="Q27" s="377"/>
      <c r="R27" s="377"/>
      <c r="S27" s="379"/>
      <c r="T27" s="144"/>
      <c r="U27" s="379"/>
      <c r="V27" s="30"/>
      <c r="W27" s="378">
        <f>J27-(T27*($M$2-$K$1)+(U27*($M$2-$M$1))+(V27*($M$2-$I$2)))</f>
        <v>3493.53</v>
      </c>
      <c r="X27" s="378">
        <f>H27*$M$2</f>
        <v>3450.4</v>
      </c>
    </row>
    <row r="28" spans="1:26" ht="15" customHeight="1" x14ac:dyDescent="0.25">
      <c r="A28" s="350"/>
      <c r="B28" s="288">
        <v>33</v>
      </c>
      <c r="C28" s="288">
        <v>0</v>
      </c>
      <c r="D28" s="138">
        <f>'Data Ocupacion'!J35</f>
        <v>30</v>
      </c>
      <c r="E28" s="138">
        <f>'Data Ocupacion'!K35</f>
        <v>0</v>
      </c>
      <c r="F28" s="125" t="s">
        <v>36</v>
      </c>
      <c r="G28" s="125">
        <f t="shared" si="18"/>
        <v>30</v>
      </c>
      <c r="H28" s="125">
        <f t="shared" si="22"/>
        <v>33</v>
      </c>
      <c r="I28" s="125">
        <f t="shared" si="19"/>
        <v>30</v>
      </c>
      <c r="J28" s="125">
        <f>G28*M$1</f>
        <v>873.3</v>
      </c>
      <c r="K28" s="153">
        <f>I28*M$1</f>
        <v>873.3</v>
      </c>
      <c r="L28" s="125">
        <f t="shared" si="20"/>
        <v>90823.2</v>
      </c>
      <c r="M28" s="125">
        <f t="shared" si="21"/>
        <v>3120</v>
      </c>
      <c r="N28" s="19"/>
      <c r="O28" s="19"/>
      <c r="P28" s="146"/>
      <c r="Q28" s="238"/>
      <c r="R28" s="190"/>
      <c r="S28" s="225"/>
      <c r="T28" s="186"/>
      <c r="U28" s="189"/>
      <c r="V28" s="189"/>
      <c r="W28" s="183">
        <f>J28-(Q28*($M$1-$K$1))</f>
        <v>873.3</v>
      </c>
      <c r="X28" s="183">
        <f>H28*$M$1</f>
        <v>960.63</v>
      </c>
    </row>
    <row r="29" spans="1:26" ht="15" customHeight="1" x14ac:dyDescent="0.25">
      <c r="A29" s="350"/>
      <c r="B29" s="288">
        <v>32</v>
      </c>
      <c r="C29" s="288">
        <v>0</v>
      </c>
      <c r="D29" s="138">
        <f>'Data Ocupacion'!J36</f>
        <v>28</v>
      </c>
      <c r="E29" s="138">
        <f>'Data Ocupacion'!K36</f>
        <v>1</v>
      </c>
      <c r="F29" s="125" t="s">
        <v>53</v>
      </c>
      <c r="G29" s="125">
        <f t="shared" si="18"/>
        <v>30</v>
      </c>
      <c r="H29" s="125">
        <f t="shared" si="22"/>
        <v>32</v>
      </c>
      <c r="I29" s="125">
        <f t="shared" si="19"/>
        <v>29</v>
      </c>
      <c r="J29" s="125">
        <f>G29*M$1</f>
        <v>873.3</v>
      </c>
      <c r="K29" s="153">
        <f>I29*M$1</f>
        <v>844.18999999999994</v>
      </c>
      <c r="L29" s="125">
        <f t="shared" si="20"/>
        <v>90823.2</v>
      </c>
      <c r="M29" s="125">
        <f t="shared" si="21"/>
        <v>3016</v>
      </c>
      <c r="N29" s="19"/>
      <c r="O29" s="19"/>
      <c r="P29" s="146"/>
      <c r="Q29" s="189"/>
      <c r="R29" s="189"/>
      <c r="S29" s="189"/>
      <c r="T29" s="189"/>
      <c r="U29" s="189"/>
      <c r="V29" s="189"/>
      <c r="W29" s="183">
        <f>J29</f>
        <v>873.3</v>
      </c>
      <c r="X29" s="183">
        <f>H29*$M$1</f>
        <v>931.52</v>
      </c>
    </row>
    <row r="30" spans="1:26" s="124" customFormat="1" ht="15" customHeight="1" x14ac:dyDescent="0.25">
      <c r="A30" s="350"/>
      <c r="B30" s="288">
        <v>0</v>
      </c>
      <c r="C30" s="288">
        <v>0</v>
      </c>
      <c r="D30" s="126">
        <f>'Data Ocupacion'!J37</f>
        <v>0</v>
      </c>
      <c r="E30" s="126">
        <f>'Data Ocupacion'!K37</f>
        <v>0</v>
      </c>
      <c r="F30" s="125" t="s">
        <v>122</v>
      </c>
      <c r="G30" s="125">
        <f t="shared" si="18"/>
        <v>0</v>
      </c>
      <c r="H30" s="125">
        <f t="shared" si="22"/>
        <v>0</v>
      </c>
      <c r="I30" s="125">
        <f t="shared" si="19"/>
        <v>0</v>
      </c>
      <c r="J30" s="125">
        <f>G30*K$1</f>
        <v>0</v>
      </c>
      <c r="K30" s="153">
        <f>I30*K$1</f>
        <v>0</v>
      </c>
      <c r="L30" s="125">
        <f t="shared" si="20"/>
        <v>0</v>
      </c>
      <c r="M30" s="125">
        <f t="shared" si="21"/>
        <v>0</v>
      </c>
      <c r="N30" s="19"/>
      <c r="P30" s="146"/>
      <c r="Q30" s="189"/>
      <c r="R30" s="189"/>
      <c r="S30" s="189"/>
      <c r="T30" s="189"/>
      <c r="U30" s="189"/>
      <c r="V30" s="189"/>
      <c r="W30" s="183">
        <f>J30</f>
        <v>0</v>
      </c>
      <c r="X30" s="183">
        <f>H30*$K$1</f>
        <v>0</v>
      </c>
    </row>
    <row r="31" spans="1:26" ht="15.95" customHeight="1" thickBot="1" x14ac:dyDescent="0.3">
      <c r="A31" s="350"/>
      <c r="B31" s="288">
        <v>1</v>
      </c>
      <c r="C31" s="288">
        <v>0</v>
      </c>
      <c r="D31" s="126">
        <f>'Data Ocupacion'!J38</f>
        <v>1</v>
      </c>
      <c r="E31" s="126">
        <f>'Data Ocupacion'!K38</f>
        <v>0</v>
      </c>
      <c r="F31" s="125" t="s">
        <v>35</v>
      </c>
      <c r="G31" s="125">
        <f t="shared" si="18"/>
        <v>1</v>
      </c>
      <c r="H31" s="125">
        <f t="shared" si="22"/>
        <v>1</v>
      </c>
      <c r="I31" s="125">
        <f t="shared" si="19"/>
        <v>1</v>
      </c>
      <c r="J31" s="125">
        <f>G31*K$1</f>
        <v>25.4</v>
      </c>
      <c r="K31" s="153">
        <f>I31*K$1</f>
        <v>25.4</v>
      </c>
      <c r="L31" s="125">
        <f t="shared" si="20"/>
        <v>2641.6</v>
      </c>
      <c r="M31" s="125">
        <f t="shared" si="21"/>
        <v>104</v>
      </c>
      <c r="N31" s="19"/>
      <c r="P31" s="146"/>
      <c r="Q31" s="189"/>
      <c r="R31" s="189"/>
      <c r="S31" s="189"/>
      <c r="T31" s="189"/>
      <c r="U31" s="189"/>
      <c r="V31" s="189"/>
      <c r="W31" s="183">
        <f>J31</f>
        <v>25.4</v>
      </c>
      <c r="X31" s="183">
        <f>H31*$K$1</f>
        <v>25.4</v>
      </c>
    </row>
    <row r="32" spans="1:26" ht="15.75" thickBot="1" x14ac:dyDescent="0.3">
      <c r="A32" s="20"/>
      <c r="B32" s="119">
        <f>SUM(B26:B31)</f>
        <v>220</v>
      </c>
      <c r="C32" s="119">
        <f>SUM(C26:C31)</f>
        <v>3</v>
      </c>
      <c r="D32" s="152">
        <f>SUM(D26:D31)</f>
        <v>210</v>
      </c>
      <c r="E32" s="152">
        <f>SUM(E26:E31)</f>
        <v>7</v>
      </c>
      <c r="F32" s="119"/>
      <c r="G32" s="119">
        <f t="shared" ref="G32:M32" si="23">SUM(G26:G31)</f>
        <v>224</v>
      </c>
      <c r="H32" s="119">
        <f t="shared" si="23"/>
        <v>226</v>
      </c>
      <c r="I32" s="119">
        <f t="shared" si="23"/>
        <v>217</v>
      </c>
      <c r="J32" s="120">
        <f t="shared" si="23"/>
        <v>8802.19</v>
      </c>
      <c r="K32" s="119">
        <f t="shared" si="23"/>
        <v>8514.2999999999993</v>
      </c>
      <c r="L32" s="118">
        <f t="shared" si="23"/>
        <v>915427.75999999989</v>
      </c>
      <c r="M32" s="151">
        <f t="shared" si="23"/>
        <v>22568</v>
      </c>
      <c r="N32" s="123">
        <f>'Odometro-Kilometraje'!E81</f>
        <v>9354</v>
      </c>
      <c r="O32" s="21">
        <f>(W32/N32)*100</f>
        <v>94.100812486636741</v>
      </c>
      <c r="P32" s="192"/>
      <c r="Q32" s="182"/>
      <c r="R32" s="182"/>
      <c r="S32" s="182"/>
      <c r="T32" s="182"/>
      <c r="U32" s="182"/>
      <c r="V32" s="182"/>
      <c r="W32" s="193">
        <f>SUM(W26:W31)</f>
        <v>8802.19</v>
      </c>
      <c r="X32" s="193">
        <f>SUM(X26:X31)</f>
        <v>8818.35</v>
      </c>
      <c r="Z32" s="172">
        <f>J32-W32</f>
        <v>0</v>
      </c>
    </row>
    <row r="33" spans="1:32" x14ac:dyDescent="0.25">
      <c r="A33" s="60">
        <f>A26+1</f>
        <v>46058</v>
      </c>
      <c r="B33" s="288">
        <v>78</v>
      </c>
      <c r="C33" s="288">
        <v>1</v>
      </c>
      <c r="D33" s="126">
        <f>'Data Ocupacion'!L33</f>
        <v>77</v>
      </c>
      <c r="E33" s="126">
        <f>'Data Ocupacion'!M33</f>
        <v>2</v>
      </c>
      <c r="F33" s="125" t="s">
        <v>38</v>
      </c>
      <c r="G33" s="125">
        <f t="shared" ref="G33:G38" si="24">D33+E33*2</f>
        <v>81</v>
      </c>
      <c r="H33" s="125">
        <f>B33+C33*2</f>
        <v>80</v>
      </c>
      <c r="I33" s="125">
        <f t="shared" ref="I33:I38" si="25">D33+E33</f>
        <v>79</v>
      </c>
      <c r="J33" s="125">
        <f>G33*M$2</f>
        <v>3493.53</v>
      </c>
      <c r="K33" s="153">
        <f>I33*M$2</f>
        <v>3407.27</v>
      </c>
      <c r="L33" s="125">
        <f t="shared" ref="L33:L38" si="26">J33*104</f>
        <v>363327.12</v>
      </c>
      <c r="M33" s="125">
        <f t="shared" ref="M33:M38" si="27">I33*104</f>
        <v>8216</v>
      </c>
      <c r="N33" s="19"/>
      <c r="O33" s="19"/>
      <c r="P33" s="146"/>
      <c r="Q33" s="144"/>
      <c r="R33" s="144"/>
      <c r="S33" s="144"/>
      <c r="T33" s="376"/>
      <c r="U33" s="377"/>
      <c r="V33" s="377"/>
      <c r="W33" s="378">
        <f>J33-(Q33*($M$2-$K$1))-(R33*($M$2-$M$1))- (S33*($M$2-$I$2))+ (T33*($G$2))</f>
        <v>3493.53</v>
      </c>
      <c r="X33" s="378">
        <f>H33*$M$2</f>
        <v>3450.4</v>
      </c>
    </row>
    <row r="34" spans="1:32" ht="15" customHeight="1" x14ac:dyDescent="0.25">
      <c r="A34" s="247"/>
      <c r="B34" s="288">
        <v>76</v>
      </c>
      <c r="C34" s="288">
        <v>2</v>
      </c>
      <c r="D34" s="126">
        <f>'Data Ocupacion'!L34</f>
        <v>76</v>
      </c>
      <c r="E34" s="126">
        <f>'Data Ocupacion'!M34</f>
        <v>2</v>
      </c>
      <c r="F34" s="125" t="s">
        <v>52</v>
      </c>
      <c r="G34" s="125">
        <f t="shared" si="24"/>
        <v>80</v>
      </c>
      <c r="H34" s="125">
        <f t="shared" ref="H34:H38" si="28">B34+C34*2</f>
        <v>80</v>
      </c>
      <c r="I34" s="125">
        <f t="shared" si="25"/>
        <v>78</v>
      </c>
      <c r="J34" s="125">
        <f>G34*M$2</f>
        <v>3450.4</v>
      </c>
      <c r="K34" s="153">
        <f>I34*M$2</f>
        <v>3364.1400000000003</v>
      </c>
      <c r="L34" s="125">
        <f t="shared" si="26"/>
        <v>358841.60000000003</v>
      </c>
      <c r="M34" s="125">
        <f t="shared" si="27"/>
        <v>8112</v>
      </c>
      <c r="N34" s="19"/>
      <c r="O34" s="19"/>
      <c r="P34" s="146"/>
      <c r="Q34" s="377"/>
      <c r="R34" s="377"/>
      <c r="S34" s="379"/>
      <c r="T34" s="144">
        <v>1</v>
      </c>
      <c r="U34" s="379"/>
      <c r="V34" s="30"/>
      <c r="W34" s="378">
        <f>J34-(T34*($M$2-$K$1)+(U34*($M$2-$M$1))+(V34*($M$2-$I$2)))</f>
        <v>3432.67</v>
      </c>
      <c r="X34" s="378">
        <f>H34*$M$2</f>
        <v>3450.4</v>
      </c>
    </row>
    <row r="35" spans="1:32" ht="15" customHeight="1" x14ac:dyDescent="0.25">
      <c r="A35" s="247"/>
      <c r="B35" s="288">
        <v>33</v>
      </c>
      <c r="C35" s="288">
        <v>0</v>
      </c>
      <c r="D35" s="126">
        <f>'Data Ocupacion'!L35</f>
        <v>33</v>
      </c>
      <c r="E35" s="126">
        <f>'Data Ocupacion'!M35</f>
        <v>0</v>
      </c>
      <c r="F35" s="125" t="s">
        <v>36</v>
      </c>
      <c r="G35" s="125">
        <f t="shared" si="24"/>
        <v>33</v>
      </c>
      <c r="H35" s="125">
        <f t="shared" si="28"/>
        <v>33</v>
      </c>
      <c r="I35" s="125">
        <f t="shared" si="25"/>
        <v>33</v>
      </c>
      <c r="J35" s="125">
        <f>G35*M$1</f>
        <v>960.63</v>
      </c>
      <c r="K35" s="153">
        <f>I35*M$1</f>
        <v>960.63</v>
      </c>
      <c r="L35" s="125">
        <f t="shared" si="26"/>
        <v>99905.52</v>
      </c>
      <c r="M35" s="125">
        <f t="shared" si="27"/>
        <v>3432</v>
      </c>
      <c r="N35" s="19"/>
      <c r="O35" s="19"/>
      <c r="P35" s="146"/>
      <c r="Q35" s="238"/>
      <c r="R35" s="190"/>
      <c r="S35" s="225"/>
      <c r="T35" s="186"/>
      <c r="U35" s="189"/>
      <c r="V35" s="189"/>
      <c r="W35" s="183">
        <f>J35-(Q35*($M$1-$K$1))</f>
        <v>960.63</v>
      </c>
      <c r="X35" s="183">
        <f>H35*$M$1</f>
        <v>960.63</v>
      </c>
    </row>
    <row r="36" spans="1:32" ht="15" customHeight="1" x14ac:dyDescent="0.25">
      <c r="A36" s="247"/>
      <c r="B36" s="288">
        <v>32</v>
      </c>
      <c r="C36" s="288">
        <v>0</v>
      </c>
      <c r="D36" s="126">
        <f>'Data Ocupacion'!L36</f>
        <v>32</v>
      </c>
      <c r="E36" s="126">
        <f>'Data Ocupacion'!M36</f>
        <v>0</v>
      </c>
      <c r="F36" s="125" t="s">
        <v>53</v>
      </c>
      <c r="G36" s="125">
        <f t="shared" si="24"/>
        <v>32</v>
      </c>
      <c r="H36" s="125">
        <f t="shared" si="28"/>
        <v>32</v>
      </c>
      <c r="I36" s="125">
        <f t="shared" si="25"/>
        <v>32</v>
      </c>
      <c r="J36" s="125">
        <f>G36*M$1</f>
        <v>931.52</v>
      </c>
      <c r="K36" s="153">
        <f>I36*M$1</f>
        <v>931.52</v>
      </c>
      <c r="L36" s="125">
        <f t="shared" si="26"/>
        <v>96878.080000000002</v>
      </c>
      <c r="M36" s="125">
        <f t="shared" si="27"/>
        <v>3328</v>
      </c>
      <c r="N36" s="19"/>
      <c r="O36" s="19"/>
      <c r="P36" s="146"/>
      <c r="Q36" s="189"/>
      <c r="R36" s="189"/>
      <c r="S36" s="189"/>
      <c r="T36" s="189"/>
      <c r="U36" s="189"/>
      <c r="V36" s="189"/>
      <c r="W36" s="183">
        <f>J36</f>
        <v>931.52</v>
      </c>
      <c r="X36" s="183">
        <f>H36*$M$1</f>
        <v>931.52</v>
      </c>
    </row>
    <row r="37" spans="1:32" s="124" customFormat="1" ht="15" customHeight="1" x14ac:dyDescent="0.25">
      <c r="A37" s="247"/>
      <c r="B37" s="288">
        <v>0</v>
      </c>
      <c r="C37" s="288">
        <v>0</v>
      </c>
      <c r="D37" s="126">
        <f>'Data Ocupacion'!L37</f>
        <v>0</v>
      </c>
      <c r="E37" s="126">
        <f>'Data Ocupacion'!M37</f>
        <v>0</v>
      </c>
      <c r="F37" s="125" t="s">
        <v>122</v>
      </c>
      <c r="G37" s="125">
        <f t="shared" si="24"/>
        <v>0</v>
      </c>
      <c r="H37" s="125">
        <f t="shared" si="28"/>
        <v>0</v>
      </c>
      <c r="I37" s="125">
        <f t="shared" si="25"/>
        <v>0</v>
      </c>
      <c r="J37" s="125">
        <f>G37*K$1</f>
        <v>0</v>
      </c>
      <c r="K37" s="153">
        <f>I37*K$1</f>
        <v>0</v>
      </c>
      <c r="L37" s="125">
        <f t="shared" si="26"/>
        <v>0</v>
      </c>
      <c r="M37" s="125">
        <f t="shared" si="27"/>
        <v>0</v>
      </c>
      <c r="N37" s="19"/>
      <c r="O37" s="19"/>
      <c r="P37" s="146"/>
      <c r="Q37" s="189"/>
      <c r="R37" s="189"/>
      <c r="S37" s="189"/>
      <c r="T37" s="189"/>
      <c r="U37" s="189"/>
      <c r="V37" s="189"/>
      <c r="W37" s="183">
        <f>J37</f>
        <v>0</v>
      </c>
      <c r="X37" s="183">
        <f>H37*$K$1</f>
        <v>0</v>
      </c>
    </row>
    <row r="38" spans="1:32" ht="15.95" customHeight="1" thickBot="1" x14ac:dyDescent="0.3">
      <c r="A38" s="247"/>
      <c r="B38" s="288">
        <v>1</v>
      </c>
      <c r="C38" s="288">
        <v>0</v>
      </c>
      <c r="D38" s="126">
        <f>'Data Ocupacion'!L38</f>
        <v>1</v>
      </c>
      <c r="E38" s="126">
        <f>'Data Ocupacion'!M38</f>
        <v>0</v>
      </c>
      <c r="F38" s="125" t="s">
        <v>35</v>
      </c>
      <c r="G38" s="125">
        <f t="shared" si="24"/>
        <v>1</v>
      </c>
      <c r="H38" s="125">
        <f t="shared" si="28"/>
        <v>1</v>
      </c>
      <c r="I38" s="125">
        <f t="shared" si="25"/>
        <v>1</v>
      </c>
      <c r="J38" s="125">
        <f>G38*K$1</f>
        <v>25.4</v>
      </c>
      <c r="K38" s="153">
        <f>I38*K$1</f>
        <v>25.4</v>
      </c>
      <c r="L38" s="125">
        <f t="shared" si="26"/>
        <v>2641.6</v>
      </c>
      <c r="M38" s="125">
        <f t="shared" si="27"/>
        <v>104</v>
      </c>
      <c r="N38" s="19"/>
      <c r="O38" s="19"/>
      <c r="P38" s="146"/>
      <c r="Q38" s="189"/>
      <c r="R38" s="189"/>
      <c r="S38" s="189"/>
      <c r="T38" s="189"/>
      <c r="U38" s="189"/>
      <c r="V38" s="189"/>
      <c r="W38" s="183">
        <f>J38</f>
        <v>25.4</v>
      </c>
      <c r="X38" s="183">
        <f>H38*$K$1</f>
        <v>25.4</v>
      </c>
    </row>
    <row r="39" spans="1:32" ht="15.75" thickBot="1" x14ac:dyDescent="0.3">
      <c r="A39" s="20"/>
      <c r="B39" s="119">
        <f>SUM(B33:B38)</f>
        <v>220</v>
      </c>
      <c r="C39" s="119">
        <f>SUM(C33:C38)</f>
        <v>3</v>
      </c>
      <c r="D39" s="152">
        <f>SUM(D33:D38)</f>
        <v>219</v>
      </c>
      <c r="E39" s="152">
        <f>SUM(E33:E38)</f>
        <v>4</v>
      </c>
      <c r="F39" s="119"/>
      <c r="G39" s="119">
        <f t="shared" ref="G39:M39" si="29">SUM(G33:G38)</f>
        <v>227</v>
      </c>
      <c r="H39" s="119">
        <f t="shared" si="29"/>
        <v>226</v>
      </c>
      <c r="I39" s="119">
        <f t="shared" si="29"/>
        <v>223</v>
      </c>
      <c r="J39" s="120">
        <f t="shared" si="29"/>
        <v>8861.48</v>
      </c>
      <c r="K39" s="119">
        <f t="shared" si="29"/>
        <v>8688.9599999999991</v>
      </c>
      <c r="L39" s="118">
        <f t="shared" si="29"/>
        <v>921593.91999999993</v>
      </c>
      <c r="M39" s="151">
        <f t="shared" si="29"/>
        <v>23192</v>
      </c>
      <c r="N39" s="123">
        <f>'Odometro-Kilometraje'!F81</f>
        <v>9275</v>
      </c>
      <c r="O39" s="21">
        <f>(W39/N39)*100</f>
        <v>95.350404312668473</v>
      </c>
      <c r="P39" s="192"/>
      <c r="Q39" s="182"/>
      <c r="R39" s="182"/>
      <c r="S39" s="182"/>
      <c r="T39" s="182"/>
      <c r="U39" s="182"/>
      <c r="V39" s="182"/>
      <c r="W39" s="193">
        <f>SUM(W33:W38)</f>
        <v>8843.75</v>
      </c>
      <c r="X39" s="193">
        <f>SUM(X33:X38)</f>
        <v>8818.35</v>
      </c>
      <c r="Z39" s="172">
        <f>J39-W39</f>
        <v>17.729999999999563</v>
      </c>
    </row>
    <row r="40" spans="1:32" x14ac:dyDescent="0.25">
      <c r="A40" s="60">
        <f>A33+1</f>
        <v>46059</v>
      </c>
      <c r="B40" s="288">
        <v>78</v>
      </c>
      <c r="C40" s="288">
        <v>1</v>
      </c>
      <c r="D40" s="126">
        <f>'Data Ocupacion'!N33</f>
        <v>77</v>
      </c>
      <c r="E40" s="126">
        <f>'Data Ocupacion'!O33</f>
        <v>2</v>
      </c>
      <c r="F40" s="125" t="s">
        <v>38</v>
      </c>
      <c r="G40" s="125">
        <f t="shared" ref="G40:G45" si="30">D40+E40*2</f>
        <v>81</v>
      </c>
      <c r="H40" s="125">
        <f>B40+C40*2</f>
        <v>80</v>
      </c>
      <c r="I40" s="125">
        <f t="shared" ref="I40:I45" si="31">D40+E40</f>
        <v>79</v>
      </c>
      <c r="J40" s="125">
        <f>G40*M$2</f>
        <v>3493.53</v>
      </c>
      <c r="K40" s="153">
        <f>I40*M$2</f>
        <v>3407.27</v>
      </c>
      <c r="L40" s="125">
        <f t="shared" ref="L40:L45" si="32">J40*104</f>
        <v>363327.12</v>
      </c>
      <c r="M40" s="125">
        <f t="shared" ref="M40:M45" si="33">I40*104</f>
        <v>8216</v>
      </c>
      <c r="N40" s="19"/>
      <c r="O40" s="19"/>
      <c r="P40" s="146"/>
      <c r="Q40" s="144"/>
      <c r="R40" s="144"/>
      <c r="S40" s="144"/>
      <c r="T40" s="376"/>
      <c r="U40" s="377"/>
      <c r="V40" s="377"/>
      <c r="W40" s="378">
        <f>J40-(Q40*($M$2-$K$1))-(R40*($M$2-$M$1))- (S40*($M$2-$I$2))+ (T40*($G$2))</f>
        <v>3493.53</v>
      </c>
      <c r="X40" s="378">
        <f>H40*$M$2</f>
        <v>3450.4</v>
      </c>
    </row>
    <row r="41" spans="1:32" ht="15" customHeight="1" x14ac:dyDescent="0.25">
      <c r="A41" s="247"/>
      <c r="B41" s="288">
        <v>76</v>
      </c>
      <c r="C41" s="288">
        <v>2</v>
      </c>
      <c r="D41" s="126">
        <f>'Data Ocupacion'!N34</f>
        <v>75</v>
      </c>
      <c r="E41" s="126">
        <f>'Data Ocupacion'!O34</f>
        <v>3</v>
      </c>
      <c r="F41" s="125" t="s">
        <v>52</v>
      </c>
      <c r="G41" s="125">
        <f t="shared" si="30"/>
        <v>81</v>
      </c>
      <c r="H41" s="125">
        <f t="shared" ref="H41:H45" si="34">B41+C41*2</f>
        <v>80</v>
      </c>
      <c r="I41" s="125">
        <f t="shared" si="31"/>
        <v>78</v>
      </c>
      <c r="J41" s="125">
        <f>G41*M$2</f>
        <v>3493.53</v>
      </c>
      <c r="K41" s="153">
        <f>I41*M$2</f>
        <v>3364.1400000000003</v>
      </c>
      <c r="L41" s="125">
        <f t="shared" si="32"/>
        <v>363327.12</v>
      </c>
      <c r="M41" s="125">
        <f t="shared" si="33"/>
        <v>8112</v>
      </c>
      <c r="N41" s="19"/>
      <c r="O41" s="19"/>
      <c r="P41" s="146"/>
      <c r="Q41" s="377"/>
      <c r="R41" s="377"/>
      <c r="S41" s="379"/>
      <c r="T41" s="144"/>
      <c r="U41" s="379"/>
      <c r="V41" s="30"/>
      <c r="W41" s="378">
        <f>J41-(T41*($M$2-$K$1)+(U41*($M$2-$M$1)))</f>
        <v>3493.53</v>
      </c>
      <c r="X41" s="378">
        <f>H41*$M$2</f>
        <v>3450.4</v>
      </c>
    </row>
    <row r="42" spans="1:32" ht="15" customHeight="1" x14ac:dyDescent="0.25">
      <c r="A42" s="247"/>
      <c r="B42" s="288">
        <v>33</v>
      </c>
      <c r="C42" s="288">
        <v>0</v>
      </c>
      <c r="D42" s="126">
        <f>'Data Ocupacion'!N35</f>
        <v>33</v>
      </c>
      <c r="E42" s="126">
        <f>'Data Ocupacion'!O35</f>
        <v>0</v>
      </c>
      <c r="F42" s="125" t="s">
        <v>36</v>
      </c>
      <c r="G42" s="125">
        <f t="shared" si="30"/>
        <v>33</v>
      </c>
      <c r="H42" s="125">
        <f t="shared" si="34"/>
        <v>33</v>
      </c>
      <c r="I42" s="125">
        <f t="shared" si="31"/>
        <v>33</v>
      </c>
      <c r="J42" s="125">
        <f>G42*M$1</f>
        <v>960.63</v>
      </c>
      <c r="K42" s="153">
        <f>I42*M$1</f>
        <v>960.63</v>
      </c>
      <c r="L42" s="125">
        <f t="shared" si="32"/>
        <v>99905.52</v>
      </c>
      <c r="M42" s="125">
        <f t="shared" si="33"/>
        <v>3432</v>
      </c>
      <c r="N42" s="19"/>
      <c r="O42" s="19"/>
      <c r="P42" s="146"/>
      <c r="Q42" s="238"/>
      <c r="R42" s="190"/>
      <c r="S42" s="225"/>
      <c r="T42" s="186"/>
      <c r="U42" s="189"/>
      <c r="V42" s="189"/>
      <c r="W42" s="183">
        <f>J42-(Q42*($M$1-$K$1))</f>
        <v>960.63</v>
      </c>
      <c r="X42" s="183">
        <f>H42*$M$1</f>
        <v>960.63</v>
      </c>
      <c r="Z42" s="249"/>
      <c r="AA42" s="249"/>
      <c r="AB42" s="249"/>
      <c r="AC42" s="249"/>
      <c r="AD42" s="249"/>
      <c r="AE42" s="249"/>
      <c r="AF42" s="249"/>
    </row>
    <row r="43" spans="1:32" x14ac:dyDescent="0.25">
      <c r="A43" s="247"/>
      <c r="B43" s="288">
        <v>32</v>
      </c>
      <c r="C43" s="288">
        <v>0</v>
      </c>
      <c r="D43" s="126">
        <f>'Data Ocupacion'!N36</f>
        <v>32</v>
      </c>
      <c r="E43" s="126">
        <f>'Data Ocupacion'!O36</f>
        <v>0</v>
      </c>
      <c r="F43" s="125" t="s">
        <v>53</v>
      </c>
      <c r="G43" s="125">
        <f t="shared" si="30"/>
        <v>32</v>
      </c>
      <c r="H43" s="125">
        <f t="shared" si="34"/>
        <v>32</v>
      </c>
      <c r="I43" s="125">
        <f t="shared" si="31"/>
        <v>32</v>
      </c>
      <c r="J43" s="125">
        <f>G43*M$1</f>
        <v>931.52</v>
      </c>
      <c r="K43" s="153">
        <f>I43*M$1</f>
        <v>931.52</v>
      </c>
      <c r="L43" s="125">
        <f t="shared" si="32"/>
        <v>96878.080000000002</v>
      </c>
      <c r="M43" s="125">
        <f t="shared" si="33"/>
        <v>3328</v>
      </c>
      <c r="N43" s="19"/>
      <c r="O43" s="19"/>
      <c r="P43" s="146"/>
      <c r="Q43" s="189"/>
      <c r="R43" s="189"/>
      <c r="S43" s="189"/>
      <c r="T43" s="189"/>
      <c r="U43" s="189"/>
      <c r="V43" s="189"/>
      <c r="W43" s="183">
        <f>J43</f>
        <v>931.52</v>
      </c>
      <c r="X43" s="183">
        <f>H43*$M$1</f>
        <v>931.52</v>
      </c>
      <c r="Z43" s="249"/>
      <c r="AA43" s="249"/>
      <c r="AB43" s="249"/>
      <c r="AC43" s="249"/>
      <c r="AD43" s="249"/>
      <c r="AE43" s="249"/>
      <c r="AF43" s="249"/>
    </row>
    <row r="44" spans="1:32" s="124" customFormat="1" x14ac:dyDescent="0.25">
      <c r="A44" s="247"/>
      <c r="B44" s="288">
        <v>0</v>
      </c>
      <c r="C44" s="288">
        <v>0</v>
      </c>
      <c r="D44" s="126">
        <f>'Data Ocupacion'!N37</f>
        <v>0</v>
      </c>
      <c r="E44" s="126">
        <f>'Data Ocupacion'!O37</f>
        <v>0</v>
      </c>
      <c r="F44" s="125" t="s">
        <v>122</v>
      </c>
      <c r="G44" s="125">
        <f t="shared" si="30"/>
        <v>0</v>
      </c>
      <c r="H44" s="125">
        <f t="shared" si="34"/>
        <v>0</v>
      </c>
      <c r="I44" s="125">
        <f t="shared" si="31"/>
        <v>0</v>
      </c>
      <c r="J44" s="125">
        <f>G44*K$1</f>
        <v>0</v>
      </c>
      <c r="K44" s="153">
        <f>I44*K$1</f>
        <v>0</v>
      </c>
      <c r="L44" s="125">
        <f t="shared" si="32"/>
        <v>0</v>
      </c>
      <c r="M44" s="125">
        <f t="shared" si="33"/>
        <v>0</v>
      </c>
      <c r="N44" s="19"/>
      <c r="O44" s="19"/>
      <c r="P44" s="146"/>
      <c r="Q44" s="189"/>
      <c r="R44" s="189"/>
      <c r="S44" s="189"/>
      <c r="T44" s="189"/>
      <c r="U44" s="189"/>
      <c r="V44" s="189"/>
      <c r="W44" s="183">
        <f>J44</f>
        <v>0</v>
      </c>
      <c r="X44" s="183">
        <f>H44*$K$1</f>
        <v>0</v>
      </c>
      <c r="Z44" s="249"/>
      <c r="AA44" s="249"/>
      <c r="AB44" s="249"/>
      <c r="AC44" s="249"/>
      <c r="AD44" s="249"/>
      <c r="AE44" s="249"/>
      <c r="AF44" s="249"/>
    </row>
    <row r="45" spans="1:32" ht="15.75" thickBot="1" x14ac:dyDescent="0.3">
      <c r="A45" s="247"/>
      <c r="B45" s="288">
        <v>1</v>
      </c>
      <c r="C45" s="288">
        <v>0</v>
      </c>
      <c r="D45" s="248">
        <f>'Data Ocupacion'!N38</f>
        <v>1</v>
      </c>
      <c r="E45" s="126">
        <f>'Data Ocupacion'!O38</f>
        <v>0</v>
      </c>
      <c r="F45" s="125" t="s">
        <v>35</v>
      </c>
      <c r="G45" s="125">
        <f t="shared" si="30"/>
        <v>1</v>
      </c>
      <c r="H45" s="125">
        <f t="shared" si="34"/>
        <v>1</v>
      </c>
      <c r="I45" s="125">
        <f t="shared" si="31"/>
        <v>1</v>
      </c>
      <c r="J45" s="125">
        <f>G45*K$1</f>
        <v>25.4</v>
      </c>
      <c r="K45" s="153">
        <f>I45*K$1</f>
        <v>25.4</v>
      </c>
      <c r="L45" s="125">
        <f t="shared" si="32"/>
        <v>2641.6</v>
      </c>
      <c r="M45" s="125">
        <f t="shared" si="33"/>
        <v>104</v>
      </c>
      <c r="N45" s="19"/>
      <c r="O45" s="19"/>
      <c r="P45" s="146"/>
      <c r="Q45" s="189"/>
      <c r="R45" s="189"/>
      <c r="S45" s="189"/>
      <c r="T45" s="189"/>
      <c r="U45" s="189"/>
      <c r="V45" s="189"/>
      <c r="W45" s="183">
        <f>J45</f>
        <v>25.4</v>
      </c>
      <c r="X45" s="183">
        <f>H45*$K$1</f>
        <v>25.4</v>
      </c>
      <c r="Z45" s="249"/>
      <c r="AA45" s="249"/>
      <c r="AB45" s="249"/>
      <c r="AC45" s="249"/>
      <c r="AD45" s="249"/>
      <c r="AE45" s="249"/>
      <c r="AF45" s="249"/>
    </row>
    <row r="46" spans="1:32" ht="15.75" thickBot="1" x14ac:dyDescent="0.3">
      <c r="A46" s="199"/>
      <c r="B46" s="119">
        <f>SUM(B40:B45)</f>
        <v>220</v>
      </c>
      <c r="C46" s="119">
        <f>SUM(C40:C45)</f>
        <v>3</v>
      </c>
      <c r="D46" s="152">
        <f>SUM(D40:D45)</f>
        <v>218</v>
      </c>
      <c r="E46" s="152">
        <f>SUM(E40:E45)</f>
        <v>5</v>
      </c>
      <c r="F46" s="119"/>
      <c r="G46" s="119">
        <f t="shared" ref="G46:M46" si="35">SUM(G40:G45)</f>
        <v>228</v>
      </c>
      <c r="H46" s="119">
        <f t="shared" si="35"/>
        <v>226</v>
      </c>
      <c r="I46" s="119">
        <f t="shared" si="35"/>
        <v>223</v>
      </c>
      <c r="J46" s="120">
        <f t="shared" si="35"/>
        <v>8904.61</v>
      </c>
      <c r="K46" s="119">
        <f t="shared" si="35"/>
        <v>8688.9599999999991</v>
      </c>
      <c r="L46" s="118">
        <f t="shared" si="35"/>
        <v>926079.44</v>
      </c>
      <c r="M46" s="151">
        <f t="shared" si="35"/>
        <v>23192</v>
      </c>
      <c r="N46" s="123">
        <f>'Odometro-Kilometraje'!G81</f>
        <v>9261</v>
      </c>
      <c r="O46" s="21">
        <f>(W46/N46)*100</f>
        <v>96.151711478242092</v>
      </c>
      <c r="P46" s="192"/>
      <c r="Q46" s="182"/>
      <c r="R46" s="182"/>
      <c r="S46" s="182"/>
      <c r="T46" s="182"/>
      <c r="U46" s="182"/>
      <c r="V46" s="182"/>
      <c r="W46" s="193">
        <f>SUM(W40:W45)</f>
        <v>8904.61</v>
      </c>
      <c r="X46" s="193">
        <f>SUM(X40:X45)</f>
        <v>8818.35</v>
      </c>
      <c r="Z46" s="172">
        <f>J46-W46</f>
        <v>0</v>
      </c>
      <c r="AA46" s="249"/>
      <c r="AB46" s="249"/>
      <c r="AC46" s="249"/>
      <c r="AD46" s="249"/>
      <c r="AE46" s="249"/>
      <c r="AF46" s="249"/>
    </row>
    <row r="47" spans="1:32" x14ac:dyDescent="0.25">
      <c r="A47" s="60">
        <f>A40+1</f>
        <v>46060</v>
      </c>
      <c r="B47" s="116">
        <v>69</v>
      </c>
      <c r="C47" s="116">
        <v>3</v>
      </c>
      <c r="D47" s="147">
        <f>'Data Ocupacion'!P33</f>
        <v>69</v>
      </c>
      <c r="E47" s="147">
        <f>'Data Ocupacion'!Q33</f>
        <v>3</v>
      </c>
      <c r="F47" s="116" t="s">
        <v>38</v>
      </c>
      <c r="G47" s="116">
        <f t="shared" ref="G47:G52" si="36">D47+E47*2</f>
        <v>75</v>
      </c>
      <c r="H47" s="116">
        <f>B47+C47*2</f>
        <v>75</v>
      </c>
      <c r="I47" s="116">
        <f t="shared" ref="I47:I52" si="37">D47+E47</f>
        <v>72</v>
      </c>
      <c r="J47" s="116">
        <f>G47*M$2</f>
        <v>3234.75</v>
      </c>
      <c r="K47" s="153">
        <f>I47*M$2</f>
        <v>3105.36</v>
      </c>
      <c r="L47" s="116">
        <f t="shared" ref="L47:L52" si="38">J47*104</f>
        <v>336414</v>
      </c>
      <c r="M47" s="116">
        <f t="shared" ref="M47:M52" si="39">I47*104</f>
        <v>7488</v>
      </c>
      <c r="N47" s="19"/>
      <c r="O47" s="19"/>
      <c r="P47" s="146"/>
      <c r="Q47" s="144"/>
      <c r="R47" s="144"/>
      <c r="S47" s="144"/>
      <c r="T47" s="376"/>
      <c r="U47" s="377"/>
      <c r="V47" s="377"/>
      <c r="W47" s="378">
        <f>J47-(Q47*($M$2-$K$1))-(R47*($M$2-$M$1))- (S47*($M$2-$I$2))+ (T47*($G$2))</f>
        <v>3234.75</v>
      </c>
      <c r="X47" s="378">
        <f>H47*$M$2</f>
        <v>3234.75</v>
      </c>
      <c r="Z47" s="249"/>
      <c r="AA47" s="249"/>
      <c r="AB47" s="249"/>
      <c r="AC47" s="249"/>
      <c r="AD47" s="249"/>
      <c r="AE47" s="249"/>
      <c r="AF47" s="249"/>
    </row>
    <row r="48" spans="1:32" ht="15" customHeight="1" x14ac:dyDescent="0.25">
      <c r="A48" s="201"/>
      <c r="B48" s="116">
        <v>75</v>
      </c>
      <c r="C48" s="116">
        <v>0</v>
      </c>
      <c r="D48" s="147">
        <f>'Data Ocupacion'!P34</f>
        <v>75</v>
      </c>
      <c r="E48" s="147">
        <f>'Data Ocupacion'!Q34</f>
        <v>0</v>
      </c>
      <c r="F48" s="116" t="s">
        <v>52</v>
      </c>
      <c r="G48" s="116">
        <f t="shared" si="36"/>
        <v>75</v>
      </c>
      <c r="H48" s="116">
        <f t="shared" ref="H48:H52" si="40">B48+C48*2</f>
        <v>75</v>
      </c>
      <c r="I48" s="116">
        <f t="shared" si="37"/>
        <v>75</v>
      </c>
      <c r="J48" s="116">
        <f>G48*M$2</f>
        <v>3234.75</v>
      </c>
      <c r="K48" s="153">
        <f>I48*M$2</f>
        <v>3234.75</v>
      </c>
      <c r="L48" s="116">
        <f t="shared" si="38"/>
        <v>336414</v>
      </c>
      <c r="M48" s="116">
        <f t="shared" si="39"/>
        <v>7800</v>
      </c>
      <c r="N48" s="19"/>
      <c r="O48" s="19"/>
      <c r="P48" s="146"/>
      <c r="Q48" s="377"/>
      <c r="R48" s="377"/>
      <c r="S48" s="379"/>
      <c r="T48" s="144"/>
      <c r="U48" s="379"/>
      <c r="V48" s="30"/>
      <c r="W48" s="378">
        <f>J48-(T48*($M$2-$K$1)+(U48*($M$2-$M$1)))</f>
        <v>3234.75</v>
      </c>
      <c r="X48" s="378">
        <f>H48*$M$2</f>
        <v>3234.75</v>
      </c>
    </row>
    <row r="49" spans="1:65" ht="16.5" customHeight="1" x14ac:dyDescent="0.25">
      <c r="A49" s="201"/>
      <c r="B49" s="116">
        <v>0</v>
      </c>
      <c r="C49" s="116">
        <v>0</v>
      </c>
      <c r="D49" s="147">
        <f>'Data Ocupacion'!P35</f>
        <v>0</v>
      </c>
      <c r="E49" s="147">
        <f>'Data Ocupacion'!Q35</f>
        <v>0</v>
      </c>
      <c r="F49" s="116" t="s">
        <v>36</v>
      </c>
      <c r="G49" s="116">
        <f t="shared" si="36"/>
        <v>0</v>
      </c>
      <c r="H49" s="116">
        <f t="shared" si="40"/>
        <v>0</v>
      </c>
      <c r="I49" s="116">
        <f t="shared" si="37"/>
        <v>0</v>
      </c>
      <c r="J49" s="116">
        <f>G49*M$1</f>
        <v>0</v>
      </c>
      <c r="K49" s="153">
        <f>I49*M$1</f>
        <v>0</v>
      </c>
      <c r="L49" s="116">
        <f t="shared" si="38"/>
        <v>0</v>
      </c>
      <c r="M49" s="116">
        <f t="shared" si="39"/>
        <v>0</v>
      </c>
      <c r="N49" s="19"/>
      <c r="O49" s="19"/>
      <c r="P49" s="146"/>
      <c r="Q49" s="238"/>
      <c r="R49" s="190"/>
      <c r="S49" s="225"/>
      <c r="T49" s="186"/>
      <c r="U49" s="189"/>
      <c r="V49" s="189"/>
      <c r="W49" s="183">
        <f>J49-(Q49*($M$1-$K$1))</f>
        <v>0</v>
      </c>
      <c r="X49" s="183">
        <f>H49*$M$1</f>
        <v>0</v>
      </c>
    </row>
    <row r="50" spans="1:65" x14ac:dyDescent="0.25">
      <c r="A50" s="201"/>
      <c r="B50" s="116">
        <v>0</v>
      </c>
      <c r="C50" s="116">
        <v>0</v>
      </c>
      <c r="D50" s="147">
        <f>'Data Ocupacion'!P36</f>
        <v>0</v>
      </c>
      <c r="E50" s="147">
        <f>'Data Ocupacion'!Q36</f>
        <v>0</v>
      </c>
      <c r="F50" s="116" t="s">
        <v>53</v>
      </c>
      <c r="G50" s="116">
        <f t="shared" si="36"/>
        <v>0</v>
      </c>
      <c r="H50" s="116">
        <f t="shared" si="40"/>
        <v>0</v>
      </c>
      <c r="I50" s="116">
        <f t="shared" si="37"/>
        <v>0</v>
      </c>
      <c r="J50" s="116">
        <f>G50*M$1</f>
        <v>0</v>
      </c>
      <c r="K50" s="153">
        <f>I50*M$1</f>
        <v>0</v>
      </c>
      <c r="L50" s="116">
        <f t="shared" si="38"/>
        <v>0</v>
      </c>
      <c r="M50" s="116">
        <f t="shared" si="39"/>
        <v>0</v>
      </c>
      <c r="N50" s="19"/>
      <c r="O50" s="19"/>
      <c r="P50" s="146"/>
      <c r="Q50" s="189"/>
      <c r="R50" s="189"/>
      <c r="S50" s="189"/>
      <c r="T50" s="189"/>
      <c r="U50" s="189"/>
      <c r="V50" s="189"/>
      <c r="W50" s="183">
        <f>J50</f>
        <v>0</v>
      </c>
      <c r="X50" s="183">
        <f>H50*$M$1</f>
        <v>0</v>
      </c>
    </row>
    <row r="51" spans="1:65" s="124" customFormat="1" x14ac:dyDescent="0.25">
      <c r="A51" s="201"/>
      <c r="B51" s="116">
        <v>0</v>
      </c>
      <c r="C51" s="116">
        <v>0</v>
      </c>
      <c r="D51" s="147">
        <f>'Data Ocupacion'!P37</f>
        <v>0</v>
      </c>
      <c r="E51" s="147">
        <f>'Data Ocupacion'!Q37</f>
        <v>0</v>
      </c>
      <c r="F51" s="116" t="s">
        <v>122</v>
      </c>
      <c r="G51" s="116">
        <f t="shared" si="36"/>
        <v>0</v>
      </c>
      <c r="H51" s="116">
        <f t="shared" si="40"/>
        <v>0</v>
      </c>
      <c r="I51" s="116">
        <f t="shared" si="37"/>
        <v>0</v>
      </c>
      <c r="J51" s="116">
        <f>G51*K$1</f>
        <v>0</v>
      </c>
      <c r="K51" s="153">
        <f>I51*K$1</f>
        <v>0</v>
      </c>
      <c r="L51" s="116">
        <f t="shared" si="38"/>
        <v>0</v>
      </c>
      <c r="M51" s="116">
        <f t="shared" si="39"/>
        <v>0</v>
      </c>
      <c r="N51" s="19"/>
      <c r="O51" s="19"/>
      <c r="P51" s="146"/>
      <c r="Q51" s="189"/>
      <c r="R51" s="189"/>
      <c r="S51" s="189"/>
      <c r="T51" s="189"/>
      <c r="U51" s="189"/>
      <c r="V51" s="189"/>
      <c r="W51" s="183">
        <f>J51</f>
        <v>0</v>
      </c>
      <c r="X51" s="183">
        <f>H51*$K$1</f>
        <v>0</v>
      </c>
    </row>
    <row r="52" spans="1:65" ht="15.75" thickBot="1" x14ac:dyDescent="0.3">
      <c r="A52" s="201"/>
      <c r="B52" s="116">
        <v>0</v>
      </c>
      <c r="C52" s="116">
        <v>0</v>
      </c>
      <c r="D52" s="301">
        <f>'Data Ocupacion'!P38</f>
        <v>0</v>
      </c>
      <c r="E52" s="147">
        <f>'Data Ocupacion'!Q38</f>
        <v>0</v>
      </c>
      <c r="F52" s="116" t="s">
        <v>35</v>
      </c>
      <c r="G52" s="116">
        <f t="shared" si="36"/>
        <v>0</v>
      </c>
      <c r="H52" s="116">
        <f t="shared" si="40"/>
        <v>0</v>
      </c>
      <c r="I52" s="116">
        <f t="shared" si="37"/>
        <v>0</v>
      </c>
      <c r="J52" s="116">
        <f>G52*K$1</f>
        <v>0</v>
      </c>
      <c r="K52" s="153">
        <f>I52*K$1</f>
        <v>0</v>
      </c>
      <c r="L52" s="116">
        <f t="shared" si="38"/>
        <v>0</v>
      </c>
      <c r="M52" s="116">
        <f t="shared" si="39"/>
        <v>0</v>
      </c>
      <c r="N52" s="19"/>
      <c r="O52" s="19"/>
      <c r="P52" s="146"/>
      <c r="Q52" s="189"/>
      <c r="R52" s="189"/>
      <c r="S52" s="189"/>
      <c r="T52" s="189"/>
      <c r="U52" s="189"/>
      <c r="V52" s="189"/>
      <c r="W52" s="183">
        <f>J52</f>
        <v>0</v>
      </c>
      <c r="X52" s="183">
        <f>H52*$K$1</f>
        <v>0</v>
      </c>
    </row>
    <row r="53" spans="1:65" ht="18" customHeight="1" thickBot="1" x14ac:dyDescent="0.3">
      <c r="A53" s="20"/>
      <c r="B53" s="119">
        <f>SUM(B47:B52)</f>
        <v>144</v>
      </c>
      <c r="C53" s="119">
        <f>SUM(C47:C52)</f>
        <v>3</v>
      </c>
      <c r="D53" s="152">
        <f>SUM(D47:D52)</f>
        <v>144</v>
      </c>
      <c r="E53" s="152">
        <f>SUM(E47:E52)</f>
        <v>3</v>
      </c>
      <c r="F53" s="119"/>
      <c r="G53" s="119">
        <f t="shared" ref="G53:M53" si="41">SUM(G47:G52)</f>
        <v>150</v>
      </c>
      <c r="H53" s="119">
        <f t="shared" si="41"/>
        <v>150</v>
      </c>
      <c r="I53" s="119">
        <f t="shared" si="41"/>
        <v>147</v>
      </c>
      <c r="J53" s="120">
        <f t="shared" si="41"/>
        <v>6469.5</v>
      </c>
      <c r="K53" s="119">
        <f t="shared" si="41"/>
        <v>6340.1100000000006</v>
      </c>
      <c r="L53" s="118">
        <f t="shared" si="41"/>
        <v>672828</v>
      </c>
      <c r="M53" s="151">
        <f t="shared" si="41"/>
        <v>15288</v>
      </c>
      <c r="N53" s="123">
        <f>'Odometro-Kilometraje'!H81</f>
        <v>6567</v>
      </c>
      <c r="O53" s="21">
        <f>(W53/N53)*100</f>
        <v>98.51530379168571</v>
      </c>
      <c r="P53" s="192"/>
      <c r="Q53" s="182"/>
      <c r="R53" s="182"/>
      <c r="S53" s="182"/>
      <c r="T53" s="182"/>
      <c r="U53" s="182"/>
      <c r="V53" s="182"/>
      <c r="W53" s="193">
        <f>SUM(W47:W52)</f>
        <v>6469.5</v>
      </c>
      <c r="X53" s="193">
        <f>SUM(X47:X52)</f>
        <v>6469.5</v>
      </c>
      <c r="Z53" s="172">
        <f>J53-W53</f>
        <v>0</v>
      </c>
    </row>
    <row r="54" spans="1:65" x14ac:dyDescent="0.25">
      <c r="A54" s="60">
        <f>A47+1</f>
        <v>46061</v>
      </c>
      <c r="B54" s="215">
        <v>51</v>
      </c>
      <c r="C54" s="215">
        <v>3</v>
      </c>
      <c r="D54" s="138">
        <f>'Data Ocupacion'!R33</f>
        <v>51</v>
      </c>
      <c r="E54" s="138">
        <f>'Data Ocupacion'!S33</f>
        <v>3</v>
      </c>
      <c r="F54" s="215" t="s">
        <v>38</v>
      </c>
      <c r="G54" s="215">
        <f t="shared" ref="G54:G59" si="42">D54+E54*2</f>
        <v>57</v>
      </c>
      <c r="H54" s="215">
        <f>B54+C54*2</f>
        <v>57</v>
      </c>
      <c r="I54" s="215">
        <f t="shared" ref="I54:I59" si="43">D54+E54</f>
        <v>54</v>
      </c>
      <c r="J54" s="215">
        <f>G54*M$2</f>
        <v>2458.4100000000003</v>
      </c>
      <c r="K54" s="153">
        <f>I54*M$2</f>
        <v>2329.02</v>
      </c>
      <c r="L54" s="215">
        <f t="shared" ref="L54:L59" si="44">J54*104</f>
        <v>255674.64000000004</v>
      </c>
      <c r="M54" s="215">
        <f t="shared" ref="M54:M59" si="45">I54*104</f>
        <v>5616</v>
      </c>
      <c r="N54" s="19"/>
      <c r="O54" s="19"/>
      <c r="P54" s="146"/>
      <c r="Q54" s="144"/>
      <c r="R54" s="144"/>
      <c r="S54" s="144"/>
      <c r="T54" s="376"/>
      <c r="U54" s="377"/>
      <c r="V54" s="377"/>
      <c r="W54" s="378">
        <f>J54-(Q54*($M$2-$K$1))-(R54*($M$2-$M$1))- (S54*($M$2-$I$2))+ (T54*($G$2))</f>
        <v>2458.4100000000003</v>
      </c>
      <c r="X54" s="378">
        <f>H54*$M$2</f>
        <v>2458.4100000000003</v>
      </c>
    </row>
    <row r="55" spans="1:65" ht="15" customHeight="1" x14ac:dyDescent="0.25">
      <c r="A55" s="180"/>
      <c r="B55" s="215">
        <v>57</v>
      </c>
      <c r="C55" s="215">
        <v>0</v>
      </c>
      <c r="D55" s="138">
        <f>'Data Ocupacion'!R34</f>
        <v>57</v>
      </c>
      <c r="E55" s="138">
        <f>'Data Ocupacion'!S34</f>
        <v>0</v>
      </c>
      <c r="F55" s="215" t="s">
        <v>52</v>
      </c>
      <c r="G55" s="215">
        <f t="shared" si="42"/>
        <v>57</v>
      </c>
      <c r="H55" s="215">
        <f t="shared" ref="H55:H59" si="46">B55+C55*2</f>
        <v>57</v>
      </c>
      <c r="I55" s="215">
        <f t="shared" si="43"/>
        <v>57</v>
      </c>
      <c r="J55" s="215">
        <f>G55*M$2</f>
        <v>2458.4100000000003</v>
      </c>
      <c r="K55" s="153">
        <f>I55*M$2</f>
        <v>2458.4100000000003</v>
      </c>
      <c r="L55" s="215">
        <f t="shared" si="44"/>
        <v>255674.64000000004</v>
      </c>
      <c r="M55" s="215">
        <f t="shared" si="45"/>
        <v>5928</v>
      </c>
      <c r="N55" s="19"/>
      <c r="O55" s="19"/>
      <c r="P55" s="146"/>
      <c r="Q55" s="377"/>
      <c r="R55" s="377"/>
      <c r="S55" s="379"/>
      <c r="T55" s="144"/>
      <c r="U55" s="379"/>
      <c r="V55" s="30"/>
      <c r="W55" s="378">
        <f>J55-(T55*($M$2-$K$1)+(U55*($M$2-$M$1)))</f>
        <v>2458.4100000000003</v>
      </c>
      <c r="X55" s="378">
        <f>H55*$M$2</f>
        <v>2458.4100000000003</v>
      </c>
    </row>
    <row r="56" spans="1:65" ht="15" customHeight="1" x14ac:dyDescent="0.25">
      <c r="A56" s="180"/>
      <c r="B56" s="215">
        <v>0</v>
      </c>
      <c r="C56" s="215">
        <v>0</v>
      </c>
      <c r="D56" s="138">
        <f>'Data Ocupacion'!R35</f>
        <v>0</v>
      </c>
      <c r="E56" s="138">
        <f>'Data Ocupacion'!S35</f>
        <v>0</v>
      </c>
      <c r="F56" s="215" t="s">
        <v>36</v>
      </c>
      <c r="G56" s="215">
        <f t="shared" si="42"/>
        <v>0</v>
      </c>
      <c r="H56" s="215">
        <f t="shared" si="46"/>
        <v>0</v>
      </c>
      <c r="I56" s="215">
        <f t="shared" si="43"/>
        <v>0</v>
      </c>
      <c r="J56" s="215">
        <f>G56*M$1</f>
        <v>0</v>
      </c>
      <c r="K56" s="153">
        <f>I56*M$1</f>
        <v>0</v>
      </c>
      <c r="L56" s="215">
        <f t="shared" si="44"/>
        <v>0</v>
      </c>
      <c r="M56" s="215">
        <f t="shared" si="45"/>
        <v>0</v>
      </c>
      <c r="N56" s="19"/>
      <c r="O56" s="19"/>
      <c r="P56" s="146"/>
      <c r="Q56" s="238"/>
      <c r="R56" s="187"/>
      <c r="S56" s="204"/>
      <c r="T56" s="188"/>
      <c r="U56" s="189"/>
      <c r="V56" s="189"/>
      <c r="W56" s="183">
        <f>J56-(Q56*($M$1-$K$1))</f>
        <v>0</v>
      </c>
      <c r="X56" s="183">
        <f>H56*$M$1</f>
        <v>0</v>
      </c>
    </row>
    <row r="57" spans="1:65" ht="15" customHeight="1" x14ac:dyDescent="0.25">
      <c r="A57" s="180"/>
      <c r="B57" s="215">
        <v>0</v>
      </c>
      <c r="C57" s="215">
        <v>0</v>
      </c>
      <c r="D57" s="138">
        <f>'Data Ocupacion'!R36</f>
        <v>0</v>
      </c>
      <c r="E57" s="138">
        <f>'Data Ocupacion'!S36</f>
        <v>0</v>
      </c>
      <c r="F57" s="215" t="s">
        <v>53</v>
      </c>
      <c r="G57" s="215">
        <f t="shared" si="42"/>
        <v>0</v>
      </c>
      <c r="H57" s="215">
        <f t="shared" si="46"/>
        <v>0</v>
      </c>
      <c r="I57" s="215">
        <f t="shared" si="43"/>
        <v>0</v>
      </c>
      <c r="J57" s="215">
        <f>G57*M$1</f>
        <v>0</v>
      </c>
      <c r="K57" s="153">
        <f>I57*M$1</f>
        <v>0</v>
      </c>
      <c r="L57" s="215">
        <f t="shared" si="44"/>
        <v>0</v>
      </c>
      <c r="M57" s="215">
        <f t="shared" si="45"/>
        <v>0</v>
      </c>
      <c r="N57" s="19"/>
      <c r="O57" s="19"/>
      <c r="P57" s="146"/>
      <c r="Q57" s="189"/>
      <c r="R57" s="189"/>
      <c r="S57" s="189"/>
      <c r="T57" s="189"/>
      <c r="U57" s="189"/>
      <c r="V57" s="189"/>
      <c r="W57" s="183">
        <f>J57</f>
        <v>0</v>
      </c>
      <c r="X57" s="183">
        <f>H57*$M$1</f>
        <v>0</v>
      </c>
      <c r="BM57" t="s">
        <v>120</v>
      </c>
    </row>
    <row r="58" spans="1:65" s="124" customFormat="1" ht="15" customHeight="1" x14ac:dyDescent="0.25">
      <c r="A58" s="180"/>
      <c r="B58" s="215">
        <v>0</v>
      </c>
      <c r="C58" s="215">
        <v>0</v>
      </c>
      <c r="D58" s="138">
        <f>'Data Ocupacion'!R37</f>
        <v>0</v>
      </c>
      <c r="E58" s="138">
        <f>'Data Ocupacion'!S37</f>
        <v>0</v>
      </c>
      <c r="F58" s="215" t="s">
        <v>122</v>
      </c>
      <c r="G58" s="215">
        <f t="shared" si="42"/>
        <v>0</v>
      </c>
      <c r="H58" s="215">
        <f t="shared" si="46"/>
        <v>0</v>
      </c>
      <c r="I58" s="215">
        <f t="shared" si="43"/>
        <v>0</v>
      </c>
      <c r="J58" s="215">
        <f>G58*K$1</f>
        <v>0</v>
      </c>
      <c r="K58" s="153">
        <f>I58*K$1</f>
        <v>0</v>
      </c>
      <c r="L58" s="215">
        <f t="shared" si="44"/>
        <v>0</v>
      </c>
      <c r="M58" s="215">
        <f t="shared" si="45"/>
        <v>0</v>
      </c>
      <c r="N58" s="19"/>
      <c r="O58" s="19"/>
      <c r="P58" s="146"/>
      <c r="Q58" s="189"/>
      <c r="R58" s="189"/>
      <c r="S58" s="189"/>
      <c r="T58" s="189"/>
      <c r="U58" s="189"/>
      <c r="V58" s="189"/>
      <c r="W58" s="183">
        <f>J58</f>
        <v>0</v>
      </c>
      <c r="X58" s="183">
        <f>H58*$K$1</f>
        <v>0</v>
      </c>
    </row>
    <row r="59" spans="1:65" ht="15.75" customHeight="1" thickBot="1" x14ac:dyDescent="0.3">
      <c r="A59" s="180"/>
      <c r="B59" s="215">
        <v>0</v>
      </c>
      <c r="C59" s="215">
        <v>0</v>
      </c>
      <c r="D59" s="314">
        <f>'Data Ocupacion'!R38</f>
        <v>0</v>
      </c>
      <c r="E59" s="138">
        <f>'Data Ocupacion'!S38</f>
        <v>0</v>
      </c>
      <c r="F59" s="215" t="s">
        <v>35</v>
      </c>
      <c r="G59" s="215">
        <f t="shared" si="42"/>
        <v>0</v>
      </c>
      <c r="H59" s="215">
        <f t="shared" si="46"/>
        <v>0</v>
      </c>
      <c r="I59" s="215">
        <f t="shared" si="43"/>
        <v>0</v>
      </c>
      <c r="J59" s="215">
        <f>G59*K$1</f>
        <v>0</v>
      </c>
      <c r="K59" s="153">
        <f>I59*K$1</f>
        <v>0</v>
      </c>
      <c r="L59" s="215">
        <f t="shared" si="44"/>
        <v>0</v>
      </c>
      <c r="M59" s="215">
        <f t="shared" si="45"/>
        <v>0</v>
      </c>
      <c r="N59" s="19"/>
      <c r="O59" s="19"/>
      <c r="P59" s="146"/>
      <c r="Q59" s="189"/>
      <c r="R59" s="189"/>
      <c r="S59" s="189"/>
      <c r="T59" s="189"/>
      <c r="U59" s="189"/>
      <c r="V59" s="189"/>
      <c r="W59" s="183">
        <f>J59</f>
        <v>0</v>
      </c>
      <c r="X59" s="183">
        <f>H59*$K$1</f>
        <v>0</v>
      </c>
    </row>
    <row r="60" spans="1:65" ht="15.75" thickBot="1" x14ac:dyDescent="0.3">
      <c r="A60" s="20"/>
      <c r="B60" s="119">
        <f>SUM(B54:B59)</f>
        <v>108</v>
      </c>
      <c r="C60" s="119">
        <f>SUM(C54:C59)</f>
        <v>3</v>
      </c>
      <c r="D60" s="152">
        <f>SUM(D54:D59)</f>
        <v>108</v>
      </c>
      <c r="E60" s="152">
        <f>SUM(E54:E59)</f>
        <v>3</v>
      </c>
      <c r="F60" s="119"/>
      <c r="G60" s="119">
        <f t="shared" ref="G60:M60" si="47">SUM(G54:G59)</f>
        <v>114</v>
      </c>
      <c r="H60" s="119">
        <f t="shared" si="47"/>
        <v>114</v>
      </c>
      <c r="I60" s="119">
        <f t="shared" si="47"/>
        <v>111</v>
      </c>
      <c r="J60" s="120">
        <f t="shared" si="47"/>
        <v>4916.8200000000006</v>
      </c>
      <c r="K60" s="119">
        <f t="shared" si="47"/>
        <v>4787.43</v>
      </c>
      <c r="L60" s="118">
        <f t="shared" si="47"/>
        <v>511349.28000000009</v>
      </c>
      <c r="M60" s="151">
        <f t="shared" si="47"/>
        <v>11544</v>
      </c>
      <c r="N60" s="123">
        <f>'Odometro-Kilometraje'!I81</f>
        <v>4940</v>
      </c>
      <c r="O60" s="21">
        <f>(W60/N60)*100</f>
        <v>99.530769230769238</v>
      </c>
      <c r="P60" s="192"/>
      <c r="Q60" s="182"/>
      <c r="R60" s="182"/>
      <c r="S60" s="182"/>
      <c r="T60" s="182"/>
      <c r="U60" s="182"/>
      <c r="V60" s="182"/>
      <c r="W60" s="193">
        <f>SUM(W54:W59)</f>
        <v>4916.8200000000006</v>
      </c>
      <c r="X60" s="193">
        <f>SUM(X54:X59)</f>
        <v>4916.8200000000006</v>
      </c>
      <c r="Z60" s="172">
        <f>J60-W60</f>
        <v>0</v>
      </c>
    </row>
    <row r="61" spans="1:65" x14ac:dyDescent="0.25">
      <c r="A61" s="60">
        <f>A54+1</f>
        <v>46062</v>
      </c>
      <c r="B61" s="288">
        <v>78</v>
      </c>
      <c r="C61" s="288">
        <v>1</v>
      </c>
      <c r="D61" s="126">
        <f>'Data Ocupacion'!T33</f>
        <v>78</v>
      </c>
      <c r="E61" s="126">
        <f>'Data Ocupacion'!U33</f>
        <v>1</v>
      </c>
      <c r="F61" s="125" t="s">
        <v>38</v>
      </c>
      <c r="G61" s="125">
        <f t="shared" ref="G61:G66" si="48">D61+E61*2</f>
        <v>80</v>
      </c>
      <c r="H61" s="125">
        <f>B61+C61*2</f>
        <v>80</v>
      </c>
      <c r="I61" s="125">
        <f t="shared" ref="I61:I66" si="49">D61+E61</f>
        <v>79</v>
      </c>
      <c r="J61" s="125">
        <f>G61*M$2</f>
        <v>3450.4</v>
      </c>
      <c r="K61" s="153">
        <f>I61*M$2</f>
        <v>3407.27</v>
      </c>
      <c r="L61" s="125">
        <f t="shared" ref="L61:L66" si="50">J61*104</f>
        <v>358841.60000000003</v>
      </c>
      <c r="M61" s="125">
        <f t="shared" ref="M61:M66" si="51">I61*104</f>
        <v>8216</v>
      </c>
      <c r="N61" s="19"/>
      <c r="O61" s="19"/>
      <c r="P61" s="146"/>
      <c r="Q61" s="144"/>
      <c r="R61" s="144"/>
      <c r="S61" s="144"/>
      <c r="T61" s="376"/>
      <c r="U61" s="377"/>
      <c r="V61" s="377"/>
      <c r="W61" s="378">
        <f>J61-(Q61*($M$2-$K$1))-(R61*($M$2-$M$1))- (S61*($M$2-$I$2))+ (T61*($G$2))</f>
        <v>3450.4</v>
      </c>
      <c r="X61" s="378">
        <f>H61*$M$2</f>
        <v>3450.4</v>
      </c>
    </row>
    <row r="62" spans="1:65" ht="15" customHeight="1" x14ac:dyDescent="0.25">
      <c r="A62" s="270"/>
      <c r="B62" s="288">
        <v>76</v>
      </c>
      <c r="C62" s="288">
        <v>2</v>
      </c>
      <c r="D62" s="126">
        <f>'Data Ocupacion'!T34</f>
        <v>76</v>
      </c>
      <c r="E62" s="126">
        <f>'Data Ocupacion'!U34</f>
        <v>2</v>
      </c>
      <c r="F62" s="125" t="s">
        <v>52</v>
      </c>
      <c r="G62" s="125">
        <f t="shared" si="48"/>
        <v>80</v>
      </c>
      <c r="H62" s="125">
        <f t="shared" ref="H62:H66" si="52">B62+C62*2</f>
        <v>80</v>
      </c>
      <c r="I62" s="125">
        <f t="shared" si="49"/>
        <v>78</v>
      </c>
      <c r="J62" s="125">
        <f>G62*M$2</f>
        <v>3450.4</v>
      </c>
      <c r="K62" s="153">
        <f>I62*M$2</f>
        <v>3364.1400000000003</v>
      </c>
      <c r="L62" s="125">
        <f t="shared" si="50"/>
        <v>358841.60000000003</v>
      </c>
      <c r="M62" s="125">
        <f t="shared" si="51"/>
        <v>8112</v>
      </c>
      <c r="N62" s="19"/>
      <c r="O62" s="19"/>
      <c r="P62" s="146"/>
      <c r="Q62" s="377"/>
      <c r="R62" s="377"/>
      <c r="S62" s="379"/>
      <c r="T62" s="144"/>
      <c r="U62" s="379"/>
      <c r="V62" s="30"/>
      <c r="W62" s="378">
        <f>J62-(T62*($M$2-$K$1)+(U62*($M$2-$M$1)))</f>
        <v>3450.4</v>
      </c>
      <c r="X62" s="378">
        <f>H62*$M$2</f>
        <v>3450.4</v>
      </c>
      <c r="Y62" s="232"/>
      <c r="AA62" s="124"/>
      <c r="AB62" s="124"/>
    </row>
    <row r="63" spans="1:65" x14ac:dyDescent="0.25">
      <c r="A63" s="247"/>
      <c r="B63" s="288">
        <v>33</v>
      </c>
      <c r="C63" s="288">
        <v>0</v>
      </c>
      <c r="D63" s="126">
        <f>'Data Ocupacion'!T35</f>
        <v>33</v>
      </c>
      <c r="E63" s="126">
        <f>'Data Ocupacion'!U35</f>
        <v>0</v>
      </c>
      <c r="F63" s="125" t="s">
        <v>36</v>
      </c>
      <c r="G63" s="125">
        <f t="shared" si="48"/>
        <v>33</v>
      </c>
      <c r="H63" s="125">
        <f t="shared" si="52"/>
        <v>33</v>
      </c>
      <c r="I63" s="125">
        <f t="shared" si="49"/>
        <v>33</v>
      </c>
      <c r="J63" s="125">
        <f>G63*M$1</f>
        <v>960.63</v>
      </c>
      <c r="K63" s="153">
        <f>I63*M$1</f>
        <v>960.63</v>
      </c>
      <c r="L63" s="125">
        <f t="shared" si="50"/>
        <v>99905.52</v>
      </c>
      <c r="M63" s="125">
        <f t="shared" si="51"/>
        <v>3432</v>
      </c>
      <c r="N63" s="19"/>
      <c r="O63" s="19"/>
      <c r="P63" s="146"/>
      <c r="Q63" s="238"/>
      <c r="R63" s="187"/>
      <c r="S63" s="204"/>
      <c r="T63" s="188"/>
      <c r="U63" s="189"/>
      <c r="V63" s="189"/>
      <c r="W63" s="183">
        <f>J63-(Q63*($M$1-$K$1))</f>
        <v>960.63</v>
      </c>
      <c r="X63" s="183">
        <f>H63*$M$1</f>
        <v>960.63</v>
      </c>
      <c r="Y63" s="232"/>
    </row>
    <row r="64" spans="1:65" x14ac:dyDescent="0.25">
      <c r="A64" s="247"/>
      <c r="B64" s="288">
        <v>32</v>
      </c>
      <c r="C64" s="288">
        <v>0</v>
      </c>
      <c r="D64" s="126">
        <f>'Data Ocupacion'!T36</f>
        <v>32</v>
      </c>
      <c r="E64" s="126">
        <f>'Data Ocupacion'!U36</f>
        <v>0</v>
      </c>
      <c r="F64" s="125" t="s">
        <v>53</v>
      </c>
      <c r="G64" s="125">
        <f t="shared" si="48"/>
        <v>32</v>
      </c>
      <c r="H64" s="125">
        <f t="shared" si="52"/>
        <v>32</v>
      </c>
      <c r="I64" s="125">
        <f t="shared" si="49"/>
        <v>32</v>
      </c>
      <c r="J64" s="125">
        <f>G64*M$1</f>
        <v>931.52</v>
      </c>
      <c r="K64" s="153">
        <f>I64*M$1</f>
        <v>931.52</v>
      </c>
      <c r="L64" s="125">
        <f t="shared" si="50"/>
        <v>96878.080000000002</v>
      </c>
      <c r="M64" s="125">
        <f t="shared" si="51"/>
        <v>3328</v>
      </c>
      <c r="N64" s="19"/>
      <c r="O64" s="19"/>
      <c r="P64" s="146"/>
      <c r="Q64" s="189"/>
      <c r="R64" s="189"/>
      <c r="S64" s="189"/>
      <c r="T64" s="189"/>
      <c r="U64" s="189"/>
      <c r="V64" s="189"/>
      <c r="W64" s="183">
        <f>J64</f>
        <v>931.52</v>
      </c>
      <c r="X64" s="183">
        <f>H64*$M$1</f>
        <v>931.52</v>
      </c>
    </row>
    <row r="65" spans="1:27" s="124" customFormat="1" x14ac:dyDescent="0.25">
      <c r="A65" s="247"/>
      <c r="B65" s="288">
        <v>0</v>
      </c>
      <c r="C65" s="288">
        <v>0</v>
      </c>
      <c r="D65" s="126">
        <f>'Data Ocupacion'!T37</f>
        <v>0</v>
      </c>
      <c r="E65" s="126">
        <f>'Data Ocupacion'!U37</f>
        <v>0</v>
      </c>
      <c r="F65" s="125" t="s">
        <v>122</v>
      </c>
      <c r="G65" s="125">
        <f t="shared" si="48"/>
        <v>0</v>
      </c>
      <c r="H65" s="125">
        <f t="shared" si="52"/>
        <v>0</v>
      </c>
      <c r="I65" s="125">
        <f t="shared" si="49"/>
        <v>0</v>
      </c>
      <c r="J65" s="125">
        <f>G65*K$1</f>
        <v>0</v>
      </c>
      <c r="K65" s="153">
        <f>I65*K$1</f>
        <v>0</v>
      </c>
      <c r="L65" s="125">
        <f t="shared" si="50"/>
        <v>0</v>
      </c>
      <c r="M65" s="125">
        <f t="shared" si="51"/>
        <v>0</v>
      </c>
      <c r="N65" s="19"/>
      <c r="O65" s="19"/>
      <c r="P65" s="146"/>
      <c r="Q65" s="189"/>
      <c r="R65" s="189"/>
      <c r="S65" s="189"/>
      <c r="T65" s="189"/>
      <c r="U65" s="189"/>
      <c r="V65" s="189"/>
      <c r="W65" s="183">
        <f>J65</f>
        <v>0</v>
      </c>
      <c r="X65" s="183">
        <f>H65*$K$1</f>
        <v>0</v>
      </c>
    </row>
    <row r="66" spans="1:27" ht="15.75" thickBot="1" x14ac:dyDescent="0.3">
      <c r="A66" s="247"/>
      <c r="B66" s="288">
        <v>1</v>
      </c>
      <c r="C66" s="288">
        <v>0</v>
      </c>
      <c r="D66" s="248">
        <f>'Data Ocupacion'!T38</f>
        <v>1</v>
      </c>
      <c r="E66" s="126">
        <f>'Data Ocupacion'!U38</f>
        <v>0</v>
      </c>
      <c r="F66" s="125" t="s">
        <v>35</v>
      </c>
      <c r="G66" s="125">
        <f t="shared" si="48"/>
        <v>1</v>
      </c>
      <c r="H66" s="125">
        <f t="shared" si="52"/>
        <v>1</v>
      </c>
      <c r="I66" s="125">
        <f t="shared" si="49"/>
        <v>1</v>
      </c>
      <c r="J66" s="125">
        <f>G66*K$1</f>
        <v>25.4</v>
      </c>
      <c r="K66" s="153">
        <f>I66*K$1</f>
        <v>25.4</v>
      </c>
      <c r="L66" s="125">
        <f t="shared" si="50"/>
        <v>2641.6</v>
      </c>
      <c r="M66" s="125">
        <f t="shared" si="51"/>
        <v>104</v>
      </c>
      <c r="N66" s="19"/>
      <c r="O66" s="19"/>
      <c r="P66" s="146"/>
      <c r="Q66" s="189"/>
      <c r="R66" s="189"/>
      <c r="S66" s="189"/>
      <c r="T66" s="189"/>
      <c r="U66" s="189"/>
      <c r="V66" s="189"/>
      <c r="W66" s="183">
        <f>J66</f>
        <v>25.4</v>
      </c>
      <c r="X66" s="183">
        <f>H66*$K$1</f>
        <v>25.4</v>
      </c>
    </row>
    <row r="67" spans="1:27" s="124" customFormat="1" ht="18.75" customHeight="1" thickBot="1" x14ac:dyDescent="0.3">
      <c r="A67" s="20"/>
      <c r="B67" s="119">
        <f>SUM(B61:B66)</f>
        <v>220</v>
      </c>
      <c r="C67" s="119">
        <f>SUM(C61:C66)</f>
        <v>3</v>
      </c>
      <c r="D67" s="152">
        <f>SUM(D61:D66)</f>
        <v>220</v>
      </c>
      <c r="E67" s="152">
        <f>SUM(E61:E66)</f>
        <v>3</v>
      </c>
      <c r="F67" s="119"/>
      <c r="G67" s="119">
        <f t="shared" ref="G67:M67" si="53">SUM(G61:G66)</f>
        <v>226</v>
      </c>
      <c r="H67" s="119">
        <f t="shared" si="53"/>
        <v>226</v>
      </c>
      <c r="I67" s="119">
        <f t="shared" si="53"/>
        <v>223</v>
      </c>
      <c r="J67" s="120">
        <f t="shared" si="53"/>
        <v>8818.35</v>
      </c>
      <c r="K67" s="119">
        <f t="shared" si="53"/>
        <v>8688.9599999999991</v>
      </c>
      <c r="L67" s="118">
        <f t="shared" si="53"/>
        <v>917108.4</v>
      </c>
      <c r="M67" s="151">
        <f t="shared" si="53"/>
        <v>23192</v>
      </c>
      <c r="N67" s="123">
        <f>'Odometro-Kilometraje'!J81</f>
        <v>9299</v>
      </c>
      <c r="O67" s="21">
        <f>(W67/N67)*100</f>
        <v>94.831164641359294</v>
      </c>
      <c r="P67" s="192"/>
      <c r="Q67" s="182"/>
      <c r="R67" s="182"/>
      <c r="S67" s="182"/>
      <c r="T67" s="182"/>
      <c r="U67" s="182"/>
      <c r="V67" s="182"/>
      <c r="W67" s="193">
        <f>SUM(W61:W66)</f>
        <v>8818.35</v>
      </c>
      <c r="X67" s="193">
        <f>SUM(X61:X66)</f>
        <v>8818.35</v>
      </c>
      <c r="Y67" s="233"/>
      <c r="Z67" s="172">
        <f>J67-W67</f>
        <v>0</v>
      </c>
    </row>
    <row r="68" spans="1:27" s="124" customFormat="1" x14ac:dyDescent="0.25">
      <c r="A68" s="60">
        <f>A61+1</f>
        <v>46063</v>
      </c>
      <c r="B68" s="288">
        <v>78</v>
      </c>
      <c r="C68" s="288">
        <v>1</v>
      </c>
      <c r="D68" s="126">
        <f>'Data Ocupacion'!V33</f>
        <v>78</v>
      </c>
      <c r="E68" s="126">
        <f>'Data Ocupacion'!W33</f>
        <v>1</v>
      </c>
      <c r="F68" s="125" t="s">
        <v>38</v>
      </c>
      <c r="G68" s="125">
        <f t="shared" ref="G68:G75" si="54">D68+E68*2</f>
        <v>80</v>
      </c>
      <c r="H68" s="125">
        <f>B68+C68*2</f>
        <v>80</v>
      </c>
      <c r="I68" s="125">
        <f t="shared" ref="I68:I73" si="55">D68+E68</f>
        <v>79</v>
      </c>
      <c r="J68" s="125">
        <f>G68*M$2</f>
        <v>3450.4</v>
      </c>
      <c r="K68" s="153">
        <f>I68*M$2</f>
        <v>3407.27</v>
      </c>
      <c r="L68" s="125">
        <f t="shared" ref="L68:L73" si="56">J68*104</f>
        <v>358841.60000000003</v>
      </c>
      <c r="M68" s="125">
        <f t="shared" ref="M68:M73" si="57">I68*104</f>
        <v>8216</v>
      </c>
      <c r="N68" s="19"/>
      <c r="O68" s="19"/>
      <c r="P68" s="146"/>
      <c r="Q68" s="144"/>
      <c r="R68" s="144"/>
      <c r="S68" s="144"/>
      <c r="T68" s="376"/>
      <c r="U68" s="377"/>
      <c r="V68" s="377"/>
      <c r="W68" s="378">
        <f>J68-(Q68*($M$2-$K$1))-(R68*($M$2-$M$1))- (S68*($M$2-$I$2))+ (T68*($G$2))</f>
        <v>3450.4</v>
      </c>
      <c r="X68" s="378">
        <f>H68*$M$2</f>
        <v>3450.4</v>
      </c>
    </row>
    <row r="69" spans="1:27" ht="14.45" customHeight="1" x14ac:dyDescent="0.25">
      <c r="A69" s="270"/>
      <c r="B69" s="288">
        <v>76</v>
      </c>
      <c r="C69" s="288">
        <v>2</v>
      </c>
      <c r="D69" s="126">
        <f>'Data Ocupacion'!V34</f>
        <v>76</v>
      </c>
      <c r="E69" s="126">
        <f>'Data Ocupacion'!W34</f>
        <v>2</v>
      </c>
      <c r="F69" s="125" t="s">
        <v>52</v>
      </c>
      <c r="G69" s="125">
        <f t="shared" si="54"/>
        <v>80</v>
      </c>
      <c r="H69" s="125">
        <f t="shared" ref="H69:H73" si="58">B69+C69*2</f>
        <v>80</v>
      </c>
      <c r="I69" s="125">
        <f t="shared" si="55"/>
        <v>78</v>
      </c>
      <c r="J69" s="125">
        <f>G69*M$2</f>
        <v>3450.4</v>
      </c>
      <c r="K69" s="153">
        <f>I69*M$2</f>
        <v>3364.1400000000003</v>
      </c>
      <c r="L69" s="125">
        <f t="shared" si="56"/>
        <v>358841.60000000003</v>
      </c>
      <c r="M69" s="125">
        <f t="shared" si="57"/>
        <v>8112</v>
      </c>
      <c r="N69" s="19"/>
      <c r="O69" s="19"/>
      <c r="P69" s="146"/>
      <c r="Q69" s="377"/>
      <c r="R69" s="377"/>
      <c r="S69" s="379"/>
      <c r="T69" s="144"/>
      <c r="U69" s="379"/>
      <c r="V69" s="30"/>
      <c r="W69" s="378">
        <f>J69-(T69*($M$2-$K$1)+(U69*($M$2-$M$1))+(V69*($U$2)))</f>
        <v>3450.4</v>
      </c>
      <c r="X69" s="378">
        <f>H69*$M$2</f>
        <v>3450.4</v>
      </c>
    </row>
    <row r="70" spans="1:27" ht="15" customHeight="1" x14ac:dyDescent="0.25">
      <c r="A70" s="247"/>
      <c r="B70" s="288">
        <v>33</v>
      </c>
      <c r="C70" s="288">
        <v>0</v>
      </c>
      <c r="D70" s="126">
        <f>'Data Ocupacion'!V35</f>
        <v>33</v>
      </c>
      <c r="E70" s="126">
        <f>'Data Ocupacion'!W35</f>
        <v>0</v>
      </c>
      <c r="F70" s="125" t="s">
        <v>36</v>
      </c>
      <c r="G70" s="125">
        <f t="shared" si="54"/>
        <v>33</v>
      </c>
      <c r="H70" s="125">
        <f t="shared" si="58"/>
        <v>33</v>
      </c>
      <c r="I70" s="125">
        <f t="shared" si="55"/>
        <v>33</v>
      </c>
      <c r="J70" s="125">
        <f>G70*M$1</f>
        <v>960.63</v>
      </c>
      <c r="K70" s="153">
        <f>I70*M$1</f>
        <v>960.63</v>
      </c>
      <c r="L70" s="125">
        <f t="shared" si="56"/>
        <v>99905.52</v>
      </c>
      <c r="M70" s="125">
        <f t="shared" si="57"/>
        <v>3432</v>
      </c>
      <c r="N70" s="19"/>
      <c r="O70" s="19"/>
      <c r="P70" s="146"/>
      <c r="Q70" s="238"/>
      <c r="R70" s="190"/>
      <c r="S70" s="225"/>
      <c r="T70" s="186"/>
      <c r="U70" s="189"/>
      <c r="V70" s="189"/>
      <c r="W70" s="183">
        <f>J70-(Q70*($M$1-$K$1))</f>
        <v>960.63</v>
      </c>
      <c r="X70" s="183">
        <f>H70*$M$1</f>
        <v>960.63</v>
      </c>
    </row>
    <row r="71" spans="1:27" ht="15" customHeight="1" x14ac:dyDescent="0.25">
      <c r="A71" s="247"/>
      <c r="B71" s="288">
        <v>32</v>
      </c>
      <c r="C71" s="288">
        <v>0</v>
      </c>
      <c r="D71" s="126">
        <f>'Data Ocupacion'!V36</f>
        <v>32</v>
      </c>
      <c r="E71" s="126">
        <f>'Data Ocupacion'!W36</f>
        <v>0</v>
      </c>
      <c r="F71" s="125" t="s">
        <v>53</v>
      </c>
      <c r="G71" s="125">
        <f t="shared" si="54"/>
        <v>32</v>
      </c>
      <c r="H71" s="125">
        <f t="shared" si="58"/>
        <v>32</v>
      </c>
      <c r="I71" s="125">
        <f t="shared" si="55"/>
        <v>32</v>
      </c>
      <c r="J71" s="125">
        <f>G71*M$1</f>
        <v>931.52</v>
      </c>
      <c r="K71" s="153">
        <f>I71*M$1</f>
        <v>931.52</v>
      </c>
      <c r="L71" s="125">
        <f t="shared" si="56"/>
        <v>96878.080000000002</v>
      </c>
      <c r="M71" s="125">
        <f t="shared" si="57"/>
        <v>3328</v>
      </c>
      <c r="N71" s="19"/>
      <c r="O71" s="19"/>
      <c r="P71" s="146"/>
      <c r="Q71" s="189"/>
      <c r="R71" s="189"/>
      <c r="S71" s="189"/>
      <c r="T71" s="189"/>
      <c r="U71" s="189"/>
      <c r="V71" s="189"/>
      <c r="W71" s="183">
        <f>J71</f>
        <v>931.52</v>
      </c>
      <c r="X71" s="183">
        <f>H71*$M$1</f>
        <v>931.52</v>
      </c>
    </row>
    <row r="72" spans="1:27" ht="15" customHeight="1" x14ac:dyDescent="0.25">
      <c r="A72" s="247"/>
      <c r="B72" s="288">
        <v>0</v>
      </c>
      <c r="C72" s="288">
        <v>0</v>
      </c>
      <c r="D72" s="126">
        <f>'Data Ocupacion'!V37</f>
        <v>0</v>
      </c>
      <c r="E72" s="126">
        <f>'Data Ocupacion'!W37</f>
        <v>0</v>
      </c>
      <c r="F72" s="125" t="s">
        <v>122</v>
      </c>
      <c r="G72" s="125">
        <f t="shared" si="54"/>
        <v>0</v>
      </c>
      <c r="H72" s="125">
        <f t="shared" si="58"/>
        <v>0</v>
      </c>
      <c r="I72" s="125">
        <f t="shared" si="55"/>
        <v>0</v>
      </c>
      <c r="J72" s="125">
        <f>G72*K$1</f>
        <v>0</v>
      </c>
      <c r="K72" s="153">
        <f>I72*K$1</f>
        <v>0</v>
      </c>
      <c r="L72" s="125">
        <f t="shared" si="56"/>
        <v>0</v>
      </c>
      <c r="M72" s="125">
        <f t="shared" si="57"/>
        <v>0</v>
      </c>
      <c r="N72" s="19"/>
      <c r="O72" s="19"/>
      <c r="P72" s="146"/>
      <c r="Q72" s="189"/>
      <c r="R72" s="189"/>
      <c r="S72" s="189"/>
      <c r="T72" s="189"/>
      <c r="U72" s="189"/>
      <c r="V72" s="189"/>
      <c r="W72" s="183">
        <f>J72</f>
        <v>0</v>
      </c>
      <c r="X72" s="183">
        <f>H72*$K$1</f>
        <v>0</v>
      </c>
    </row>
    <row r="73" spans="1:27" ht="14.25" customHeight="1" thickBot="1" x14ac:dyDescent="0.3">
      <c r="A73" s="247"/>
      <c r="B73" s="288">
        <v>1</v>
      </c>
      <c r="C73" s="288">
        <v>0</v>
      </c>
      <c r="D73" s="248">
        <f>'Data Ocupacion'!V38</f>
        <v>1</v>
      </c>
      <c r="E73" s="126">
        <f>'Data Ocupacion'!W38</f>
        <v>0</v>
      </c>
      <c r="F73" s="125" t="s">
        <v>35</v>
      </c>
      <c r="G73" s="125">
        <f t="shared" si="54"/>
        <v>1</v>
      </c>
      <c r="H73" s="125">
        <f t="shared" si="58"/>
        <v>1</v>
      </c>
      <c r="I73" s="125">
        <f t="shared" si="55"/>
        <v>1</v>
      </c>
      <c r="J73" s="125">
        <f>G73*K$1</f>
        <v>25.4</v>
      </c>
      <c r="K73" s="153">
        <f>I73*K$1</f>
        <v>25.4</v>
      </c>
      <c r="L73" s="125">
        <f t="shared" si="56"/>
        <v>2641.6</v>
      </c>
      <c r="M73" s="125">
        <f t="shared" si="57"/>
        <v>104</v>
      </c>
      <c r="N73" s="19"/>
      <c r="O73" s="19"/>
      <c r="P73" s="146"/>
      <c r="Q73" s="189"/>
      <c r="R73" s="189"/>
      <c r="S73" s="189"/>
      <c r="T73" s="189"/>
      <c r="U73" s="189"/>
      <c r="V73" s="189"/>
      <c r="W73" s="183">
        <f>J73</f>
        <v>25.4</v>
      </c>
      <c r="X73" s="183">
        <f>H73*$K$1</f>
        <v>25.4</v>
      </c>
      <c r="Y73" s="249"/>
      <c r="Z73" s="249"/>
      <c r="AA73" s="249"/>
    </row>
    <row r="74" spans="1:27" s="124" customFormat="1" ht="15.75" thickBot="1" x14ac:dyDescent="0.3">
      <c r="A74" s="20"/>
      <c r="B74" s="119">
        <f>SUM(B68:B73)</f>
        <v>220</v>
      </c>
      <c r="C74" s="119">
        <f>SUM(C68:C73)</f>
        <v>3</v>
      </c>
      <c r="D74" s="152">
        <f>SUM(D68:D73)</f>
        <v>220</v>
      </c>
      <c r="E74" s="152">
        <f>SUM(E68:E73)</f>
        <v>3</v>
      </c>
      <c r="F74" s="119"/>
      <c r="G74" s="119">
        <f t="shared" ref="G74:M74" si="59">SUM(G68:G73)</f>
        <v>226</v>
      </c>
      <c r="H74" s="119">
        <f t="shared" si="59"/>
        <v>226</v>
      </c>
      <c r="I74" s="119">
        <f t="shared" si="59"/>
        <v>223</v>
      </c>
      <c r="J74" s="120">
        <f t="shared" si="59"/>
        <v>8818.35</v>
      </c>
      <c r="K74" s="119">
        <f t="shared" si="59"/>
        <v>8688.9599999999991</v>
      </c>
      <c r="L74" s="118">
        <f t="shared" si="59"/>
        <v>917108.4</v>
      </c>
      <c r="M74" s="151">
        <f t="shared" si="59"/>
        <v>23192</v>
      </c>
      <c r="N74" s="123">
        <f>'Odometro-Kilometraje'!K81</f>
        <v>9334</v>
      </c>
      <c r="O74" s="21">
        <f>(W74/N74)*100</f>
        <v>94.475573173344756</v>
      </c>
      <c r="P74" s="192"/>
      <c r="Q74" s="182"/>
      <c r="R74" s="182"/>
      <c r="S74" s="182"/>
      <c r="T74" s="182"/>
      <c r="U74" s="182"/>
      <c r="V74" s="182"/>
      <c r="W74" s="193">
        <f>SUM(W68:W73)</f>
        <v>8818.35</v>
      </c>
      <c r="X74" s="193">
        <f>SUM(X68:X73)</f>
        <v>8818.35</v>
      </c>
      <c r="Y74" s="249"/>
      <c r="Z74" s="172">
        <f>J74-W74</f>
        <v>0</v>
      </c>
      <c r="AA74" s="249"/>
    </row>
    <row r="75" spans="1:27" x14ac:dyDescent="0.25">
      <c r="A75" s="60">
        <f>A68+1</f>
        <v>46064</v>
      </c>
      <c r="B75" s="288">
        <v>78</v>
      </c>
      <c r="C75" s="288">
        <v>1</v>
      </c>
      <c r="D75" s="126">
        <f>'Data Ocupacion'!X33</f>
        <v>78</v>
      </c>
      <c r="E75" s="126">
        <f>'Data Ocupacion'!Y33</f>
        <v>1</v>
      </c>
      <c r="F75" s="125" t="s">
        <v>38</v>
      </c>
      <c r="G75" s="218">
        <f t="shared" si="54"/>
        <v>80</v>
      </c>
      <c r="H75" s="125">
        <f>B75+C75*2</f>
        <v>80</v>
      </c>
      <c r="I75" s="125">
        <f t="shared" ref="I75:I80" si="60">D75+E75</f>
        <v>79</v>
      </c>
      <c r="J75" s="125">
        <f>G75*M$2</f>
        <v>3450.4</v>
      </c>
      <c r="K75" s="153">
        <f>I75*M$2</f>
        <v>3407.27</v>
      </c>
      <c r="L75" s="125">
        <f t="shared" ref="L75:L80" si="61">J75*104</f>
        <v>358841.60000000003</v>
      </c>
      <c r="M75" s="125">
        <f t="shared" ref="M75:M80" si="62">I75*104</f>
        <v>8216</v>
      </c>
      <c r="N75" s="19"/>
      <c r="O75" s="19"/>
      <c r="P75" s="146"/>
      <c r="Q75" s="144"/>
      <c r="R75" s="144"/>
      <c r="S75" s="144"/>
      <c r="T75" s="376"/>
      <c r="U75" s="377"/>
      <c r="V75" s="377"/>
      <c r="W75" s="378">
        <f>J75-(Q75*($M$2-$K$1))-(R75*($M$2-$M$1))- (S75*($M$2-$I$2))+ (T75*($G$2))</f>
        <v>3450.4</v>
      </c>
      <c r="X75" s="378">
        <f>H75*$M$2</f>
        <v>3450.4</v>
      </c>
      <c r="Y75" s="249"/>
      <c r="Z75" s="249"/>
      <c r="AA75" s="249"/>
    </row>
    <row r="76" spans="1:27" ht="15" customHeight="1" x14ac:dyDescent="0.25">
      <c r="A76" s="270"/>
      <c r="B76" s="288">
        <v>76</v>
      </c>
      <c r="C76" s="288">
        <v>2</v>
      </c>
      <c r="D76" s="126">
        <f>'Data Ocupacion'!X34</f>
        <v>76</v>
      </c>
      <c r="E76" s="126">
        <f>'Data Ocupacion'!Y34</f>
        <v>2</v>
      </c>
      <c r="F76" s="125" t="s">
        <v>52</v>
      </c>
      <c r="G76" s="125">
        <f t="shared" ref="G76:G80" si="63">D76+E76*2</f>
        <v>80</v>
      </c>
      <c r="H76" s="125">
        <f t="shared" ref="H76:H80" si="64">B76+C76*2</f>
        <v>80</v>
      </c>
      <c r="I76" s="125">
        <f t="shared" si="60"/>
        <v>78</v>
      </c>
      <c r="J76" s="125">
        <f>G76*M$2</f>
        <v>3450.4</v>
      </c>
      <c r="K76" s="153">
        <f>I76*M$2</f>
        <v>3364.1400000000003</v>
      </c>
      <c r="L76" s="125">
        <f t="shared" si="61"/>
        <v>358841.60000000003</v>
      </c>
      <c r="M76" s="125">
        <f t="shared" si="62"/>
        <v>8112</v>
      </c>
      <c r="N76" s="19"/>
      <c r="O76" s="19"/>
      <c r="P76" s="146"/>
      <c r="Q76" s="377"/>
      <c r="R76" s="377"/>
      <c r="S76" s="379"/>
      <c r="T76" s="144"/>
      <c r="U76" s="379"/>
      <c r="V76" s="30"/>
      <c r="W76" s="378">
        <f>J76-(T76*($M$2-$K$1)+(U76*($M$2-$M$1)))</f>
        <v>3450.4</v>
      </c>
      <c r="X76" s="378">
        <f>H76*$M$2</f>
        <v>3450.4</v>
      </c>
      <c r="Y76" s="249"/>
      <c r="Z76" s="249"/>
      <c r="AA76" s="249"/>
    </row>
    <row r="77" spans="1:27" ht="15" customHeight="1" x14ac:dyDescent="0.25">
      <c r="A77" s="247"/>
      <c r="B77" s="288">
        <v>33</v>
      </c>
      <c r="C77" s="288">
        <v>0</v>
      </c>
      <c r="D77" s="126">
        <f>'Data Ocupacion'!X35</f>
        <v>33</v>
      </c>
      <c r="E77" s="126">
        <f>'Data Ocupacion'!Y35</f>
        <v>0</v>
      </c>
      <c r="F77" s="125" t="s">
        <v>36</v>
      </c>
      <c r="G77" s="125">
        <f t="shared" si="63"/>
        <v>33</v>
      </c>
      <c r="H77" s="125">
        <f t="shared" si="64"/>
        <v>33</v>
      </c>
      <c r="I77" s="125">
        <f t="shared" si="60"/>
        <v>33</v>
      </c>
      <c r="J77" s="125">
        <f>G77*M$1</f>
        <v>960.63</v>
      </c>
      <c r="K77" s="153">
        <f>I77*M$1</f>
        <v>960.63</v>
      </c>
      <c r="L77" s="125">
        <f t="shared" si="61"/>
        <v>99905.52</v>
      </c>
      <c r="M77" s="125">
        <f t="shared" si="62"/>
        <v>3432</v>
      </c>
      <c r="N77" s="19"/>
      <c r="O77" s="19" t="s">
        <v>144</v>
      </c>
      <c r="P77" s="146"/>
      <c r="Q77" s="184"/>
      <c r="R77" s="190"/>
      <c r="S77" s="225"/>
      <c r="T77" s="186"/>
      <c r="U77" s="189"/>
      <c r="V77" s="189"/>
      <c r="W77" s="183">
        <f>J77-(Q77*($M$1-$K$1))</f>
        <v>960.63</v>
      </c>
      <c r="X77" s="183">
        <f>H77*$M$1</f>
        <v>960.63</v>
      </c>
      <c r="Y77" s="249"/>
      <c r="Z77" s="249"/>
      <c r="AA77" s="249"/>
    </row>
    <row r="78" spans="1:27" ht="13.5" customHeight="1" x14ac:dyDescent="0.25">
      <c r="A78" s="247"/>
      <c r="B78" s="288">
        <v>32</v>
      </c>
      <c r="C78" s="288">
        <v>0</v>
      </c>
      <c r="D78" s="126">
        <f>'Data Ocupacion'!X36</f>
        <v>32</v>
      </c>
      <c r="E78" s="126">
        <f>'Data Ocupacion'!Y36</f>
        <v>0</v>
      </c>
      <c r="F78" s="125" t="s">
        <v>53</v>
      </c>
      <c r="G78" s="125">
        <f t="shared" si="63"/>
        <v>32</v>
      </c>
      <c r="H78" s="125">
        <f t="shared" si="64"/>
        <v>32</v>
      </c>
      <c r="I78" s="125">
        <f t="shared" si="60"/>
        <v>32</v>
      </c>
      <c r="J78" s="125">
        <f>G78*M$1</f>
        <v>931.52</v>
      </c>
      <c r="K78" s="153">
        <f>I78*M$1</f>
        <v>931.52</v>
      </c>
      <c r="L78" s="125">
        <f t="shared" si="61"/>
        <v>96878.080000000002</v>
      </c>
      <c r="M78" s="125">
        <f t="shared" si="62"/>
        <v>3328</v>
      </c>
      <c r="N78" s="19"/>
      <c r="O78" s="19" t="s">
        <v>144</v>
      </c>
      <c r="P78" s="146"/>
      <c r="Q78" s="189"/>
      <c r="R78" s="189"/>
      <c r="S78" s="189"/>
      <c r="T78" s="189"/>
      <c r="U78" s="189"/>
      <c r="V78" s="189"/>
      <c r="W78" s="183">
        <f>J78</f>
        <v>931.52</v>
      </c>
      <c r="X78" s="183">
        <f>H78*$M$1</f>
        <v>931.52</v>
      </c>
      <c r="Y78" s="249"/>
      <c r="Z78" s="249"/>
      <c r="AA78" s="249"/>
    </row>
    <row r="79" spans="1:27" s="124" customFormat="1" ht="13.5" customHeight="1" x14ac:dyDescent="0.25">
      <c r="A79" s="247"/>
      <c r="B79" s="288">
        <v>0</v>
      </c>
      <c r="C79" s="288">
        <v>0</v>
      </c>
      <c r="D79" s="126">
        <f>'Data Ocupacion'!X37</f>
        <v>0</v>
      </c>
      <c r="E79" s="126">
        <f>'Data Ocupacion'!Y37</f>
        <v>0</v>
      </c>
      <c r="F79" s="125" t="s">
        <v>122</v>
      </c>
      <c r="G79" s="125">
        <f t="shared" si="63"/>
        <v>0</v>
      </c>
      <c r="H79" s="125">
        <f t="shared" si="64"/>
        <v>0</v>
      </c>
      <c r="I79" s="125">
        <f t="shared" si="60"/>
        <v>0</v>
      </c>
      <c r="J79" s="125">
        <f>G79*K$1</f>
        <v>0</v>
      </c>
      <c r="K79" s="153">
        <f>I79*K$1</f>
        <v>0</v>
      </c>
      <c r="L79" s="125">
        <f t="shared" si="61"/>
        <v>0</v>
      </c>
      <c r="M79" s="125">
        <f t="shared" si="62"/>
        <v>0</v>
      </c>
      <c r="N79" s="19"/>
      <c r="O79" s="19"/>
      <c r="P79" s="146"/>
      <c r="Q79" s="189"/>
      <c r="R79" s="189"/>
      <c r="S79" s="189"/>
      <c r="T79" s="189"/>
      <c r="U79" s="189"/>
      <c r="V79" s="189"/>
      <c r="W79" s="183">
        <f>J79</f>
        <v>0</v>
      </c>
      <c r="X79" s="183">
        <f>H79*$K$1</f>
        <v>0</v>
      </c>
      <c r="Y79" s="249"/>
      <c r="Z79" s="249"/>
      <c r="AA79" s="249"/>
    </row>
    <row r="80" spans="1:27" s="124" customFormat="1" ht="15" customHeight="1" thickBot="1" x14ac:dyDescent="0.3">
      <c r="A80" s="247"/>
      <c r="B80" s="288">
        <v>1</v>
      </c>
      <c r="C80" s="288">
        <v>0</v>
      </c>
      <c r="D80" s="126">
        <f>'Data Ocupacion'!X38</f>
        <v>1</v>
      </c>
      <c r="E80" s="126">
        <f>'Data Ocupacion'!Y38</f>
        <v>0</v>
      </c>
      <c r="F80" s="125" t="s">
        <v>35</v>
      </c>
      <c r="G80" s="125">
        <f t="shared" si="63"/>
        <v>1</v>
      </c>
      <c r="H80" s="125">
        <f t="shared" si="64"/>
        <v>1</v>
      </c>
      <c r="I80" s="125">
        <f t="shared" si="60"/>
        <v>1</v>
      </c>
      <c r="J80" s="125">
        <f>G80*K$1</f>
        <v>25.4</v>
      </c>
      <c r="K80" s="153">
        <f>I80*K$1</f>
        <v>25.4</v>
      </c>
      <c r="L80" s="125">
        <f t="shared" si="61"/>
        <v>2641.6</v>
      </c>
      <c r="M80" s="125">
        <f t="shared" si="62"/>
        <v>104</v>
      </c>
      <c r="N80" s="19"/>
      <c r="O80" s="19"/>
      <c r="P80" s="146"/>
      <c r="Q80" s="189"/>
      <c r="R80" s="189"/>
      <c r="S80" s="189"/>
      <c r="T80" s="189"/>
      <c r="U80" s="189"/>
      <c r="V80" s="189"/>
      <c r="W80" s="183">
        <f>J80</f>
        <v>25.4</v>
      </c>
      <c r="X80" s="183">
        <f>H80*$K$1</f>
        <v>25.4</v>
      </c>
      <c r="Y80" s="249"/>
      <c r="Z80" s="249"/>
      <c r="AA80" s="249"/>
    </row>
    <row r="81" spans="1:30" ht="15" customHeight="1" thickBot="1" x14ac:dyDescent="0.3">
      <c r="A81" s="20"/>
      <c r="B81" s="119">
        <f>SUM(B75:B80)</f>
        <v>220</v>
      </c>
      <c r="C81" s="119">
        <f>SUM(C75:C80)</f>
        <v>3</v>
      </c>
      <c r="D81" s="148">
        <f>SUM(D75:D80)</f>
        <v>220</v>
      </c>
      <c r="E81" s="148">
        <f>SUM(E75:E80)</f>
        <v>3</v>
      </c>
      <c r="F81" s="119"/>
      <c r="G81" s="119">
        <f t="shared" ref="G81:M81" si="65">SUM(G75:G80)</f>
        <v>226</v>
      </c>
      <c r="H81" s="119">
        <f t="shared" si="65"/>
        <v>226</v>
      </c>
      <c r="I81" s="119">
        <f t="shared" si="65"/>
        <v>223</v>
      </c>
      <c r="J81" s="119">
        <f t="shared" si="65"/>
        <v>8818.35</v>
      </c>
      <c r="K81" s="119">
        <f t="shared" si="65"/>
        <v>8688.9599999999991</v>
      </c>
      <c r="L81" s="119">
        <f t="shared" si="65"/>
        <v>917108.4</v>
      </c>
      <c r="M81" s="119">
        <f t="shared" si="65"/>
        <v>23192</v>
      </c>
      <c r="N81" s="123">
        <f>'Odometro-Kilometraje'!L81</f>
        <v>9333</v>
      </c>
      <c r="O81" s="21">
        <f>(W81/N81)*100</f>
        <v>94.485695917711354</v>
      </c>
      <c r="P81" s="192"/>
      <c r="Q81" s="182"/>
      <c r="R81" s="182"/>
      <c r="S81" s="182"/>
      <c r="T81" s="182"/>
      <c r="U81" s="182"/>
      <c r="V81" s="182"/>
      <c r="W81" s="193">
        <f>SUM(W75:W80)</f>
        <v>8818.35</v>
      </c>
      <c r="X81" s="193">
        <f>SUM(X75:X80)</f>
        <v>8818.35</v>
      </c>
      <c r="Y81" s="249"/>
      <c r="Z81" s="172">
        <f>J81-W81</f>
        <v>0</v>
      </c>
      <c r="AA81" s="249"/>
      <c r="AD81" s="172"/>
    </row>
    <row r="82" spans="1:30" ht="15.95" customHeight="1" x14ac:dyDescent="0.25">
      <c r="A82" s="60">
        <f>A75+1</f>
        <v>46065</v>
      </c>
      <c r="B82" s="288">
        <v>78</v>
      </c>
      <c r="C82" s="288">
        <v>1</v>
      </c>
      <c r="D82" s="126">
        <f>'Data Ocupacion'!Z33</f>
        <v>79</v>
      </c>
      <c r="E82" s="126">
        <f>'Data Ocupacion'!AA33</f>
        <v>1</v>
      </c>
      <c r="F82" s="125" t="s">
        <v>38</v>
      </c>
      <c r="G82" s="125">
        <f t="shared" ref="G82:G87" si="66">D82+E82*2</f>
        <v>81</v>
      </c>
      <c r="H82" s="125">
        <f>B82+C82*2</f>
        <v>80</v>
      </c>
      <c r="I82" s="125">
        <f t="shared" ref="I82:I87" si="67">D82+E82</f>
        <v>80</v>
      </c>
      <c r="J82" s="125">
        <f>G82*M$2</f>
        <v>3493.53</v>
      </c>
      <c r="K82" s="153">
        <f>I82*M$2</f>
        <v>3450.4</v>
      </c>
      <c r="L82" s="125">
        <f t="shared" ref="L82:L87" si="68">J82*104</f>
        <v>363327.12</v>
      </c>
      <c r="M82" s="125">
        <f t="shared" ref="M82:M87" si="69">I82*104</f>
        <v>8320</v>
      </c>
      <c r="N82" s="19"/>
      <c r="O82" s="19"/>
      <c r="P82" s="146"/>
      <c r="Q82" s="144"/>
      <c r="R82" s="144"/>
      <c r="S82" s="144"/>
      <c r="T82" s="376"/>
      <c r="U82" s="377"/>
      <c r="V82" s="377"/>
      <c r="W82" s="378">
        <f>J82-(Q82*($M$2-$K$1))-(R82*($M$2-$M$1))- (S82*($M$2-$I$2))+ (T82*($G$2))</f>
        <v>3493.53</v>
      </c>
      <c r="X82" s="378">
        <f>H82*$M$2</f>
        <v>3450.4</v>
      </c>
      <c r="Y82" s="249"/>
      <c r="Z82" s="249"/>
      <c r="AA82" s="249"/>
    </row>
    <row r="83" spans="1:30" ht="15" customHeight="1" x14ac:dyDescent="0.25">
      <c r="A83" s="201"/>
      <c r="B83" s="288">
        <v>76</v>
      </c>
      <c r="C83" s="288">
        <v>2</v>
      </c>
      <c r="D83" s="126">
        <f>'Data Ocupacion'!Z34</f>
        <v>76</v>
      </c>
      <c r="E83" s="126">
        <f>'Data Ocupacion'!AA34</f>
        <v>2</v>
      </c>
      <c r="F83" s="125" t="s">
        <v>52</v>
      </c>
      <c r="G83" s="125">
        <f t="shared" si="66"/>
        <v>80</v>
      </c>
      <c r="H83" s="125">
        <f t="shared" ref="H83:H87" si="70">B83+C83*2</f>
        <v>80</v>
      </c>
      <c r="I83" s="125">
        <f t="shared" si="67"/>
        <v>78</v>
      </c>
      <c r="J83" s="125">
        <f>G83*M$2</f>
        <v>3450.4</v>
      </c>
      <c r="K83" s="153">
        <f>I83*M$2</f>
        <v>3364.1400000000003</v>
      </c>
      <c r="L83" s="125">
        <f t="shared" si="68"/>
        <v>358841.60000000003</v>
      </c>
      <c r="M83" s="125">
        <f t="shared" si="69"/>
        <v>8112</v>
      </c>
      <c r="N83" s="19"/>
      <c r="O83" s="19"/>
      <c r="P83" s="146"/>
      <c r="Q83" s="377"/>
      <c r="R83" s="377"/>
      <c r="S83" s="379"/>
      <c r="T83" s="144"/>
      <c r="U83" s="379"/>
      <c r="V83" s="30"/>
      <c r="W83" s="378">
        <f>J83-(T83*($M$2-$K$1)+(U83*($M$2-$M$1)))</f>
        <v>3450.4</v>
      </c>
      <c r="X83" s="378">
        <f>H83*$M$2</f>
        <v>3450.4</v>
      </c>
      <c r="Y83" s="249"/>
      <c r="Z83" s="249"/>
      <c r="AA83" s="249"/>
    </row>
    <row r="84" spans="1:30" ht="15" customHeight="1" x14ac:dyDescent="0.25">
      <c r="A84" s="201"/>
      <c r="B84" s="288">
        <v>33</v>
      </c>
      <c r="C84" s="288">
        <v>0</v>
      </c>
      <c r="D84" s="126">
        <f>'Data Ocupacion'!Z35</f>
        <v>32</v>
      </c>
      <c r="E84" s="126">
        <f>'Data Ocupacion'!AA35</f>
        <v>0</v>
      </c>
      <c r="F84" s="125" t="s">
        <v>36</v>
      </c>
      <c r="G84" s="125">
        <f t="shared" si="66"/>
        <v>32</v>
      </c>
      <c r="H84" s="125">
        <f t="shared" si="70"/>
        <v>33</v>
      </c>
      <c r="I84" s="125">
        <f t="shared" si="67"/>
        <v>32</v>
      </c>
      <c r="J84" s="125">
        <f>G84*M$1</f>
        <v>931.52</v>
      </c>
      <c r="K84" s="153">
        <f>I84*M$1</f>
        <v>931.52</v>
      </c>
      <c r="L84" s="125">
        <f t="shared" si="68"/>
        <v>96878.080000000002</v>
      </c>
      <c r="M84" s="125">
        <f t="shared" si="69"/>
        <v>3328</v>
      </c>
      <c r="N84" s="19"/>
      <c r="O84" s="19"/>
      <c r="P84" s="146"/>
      <c r="Q84" s="238"/>
      <c r="R84" s="190"/>
      <c r="S84" s="225"/>
      <c r="T84" s="186"/>
      <c r="U84" s="189"/>
      <c r="V84" s="189"/>
      <c r="W84" s="183">
        <f>J84-(Q84*($M$1-$K$1))</f>
        <v>931.52</v>
      </c>
      <c r="X84" s="183">
        <f>H84*$M$1</f>
        <v>960.63</v>
      </c>
      <c r="Y84" s="249"/>
      <c r="Z84" s="249"/>
      <c r="AA84" s="249"/>
    </row>
    <row r="85" spans="1:30" ht="15" customHeight="1" x14ac:dyDescent="0.25">
      <c r="A85" s="201"/>
      <c r="B85" s="288">
        <v>32</v>
      </c>
      <c r="C85" s="288">
        <v>0</v>
      </c>
      <c r="D85" s="126">
        <f>'Data Ocupacion'!Z36</f>
        <v>31</v>
      </c>
      <c r="E85" s="126">
        <f>'Data Ocupacion'!AA36</f>
        <v>0</v>
      </c>
      <c r="F85" s="125" t="s">
        <v>53</v>
      </c>
      <c r="G85" s="125">
        <f t="shared" si="66"/>
        <v>31</v>
      </c>
      <c r="H85" s="125">
        <f t="shared" si="70"/>
        <v>32</v>
      </c>
      <c r="I85" s="125">
        <f t="shared" si="67"/>
        <v>31</v>
      </c>
      <c r="J85" s="125">
        <f>G85*M$1</f>
        <v>902.41</v>
      </c>
      <c r="K85" s="153">
        <f>I85*M$1</f>
        <v>902.41</v>
      </c>
      <c r="L85" s="125">
        <f t="shared" si="68"/>
        <v>93850.64</v>
      </c>
      <c r="M85" s="125">
        <f t="shared" si="69"/>
        <v>3224</v>
      </c>
      <c r="N85" s="19"/>
      <c r="O85" s="19"/>
      <c r="P85" s="146"/>
      <c r="Q85" s="189"/>
      <c r="R85" s="189"/>
      <c r="S85" s="189"/>
      <c r="T85" s="189"/>
      <c r="U85" s="189"/>
      <c r="V85" s="189"/>
      <c r="W85" s="183">
        <f>J85</f>
        <v>902.41</v>
      </c>
      <c r="X85" s="183">
        <f>H85*$M$1</f>
        <v>931.52</v>
      </c>
      <c r="Y85" s="249"/>
      <c r="Z85" s="249"/>
      <c r="AA85" s="249"/>
    </row>
    <row r="86" spans="1:30" ht="15" customHeight="1" x14ac:dyDescent="0.25">
      <c r="A86" s="201"/>
      <c r="B86" s="288">
        <v>0</v>
      </c>
      <c r="C86" s="288">
        <v>0</v>
      </c>
      <c r="D86" s="126">
        <f>'Data Ocupacion'!Z37</f>
        <v>0</v>
      </c>
      <c r="E86" s="126">
        <f>'Data Ocupacion'!AA37</f>
        <v>0</v>
      </c>
      <c r="F86" s="125" t="s">
        <v>122</v>
      </c>
      <c r="G86" s="125">
        <f t="shared" si="66"/>
        <v>0</v>
      </c>
      <c r="H86" s="125">
        <f t="shared" si="70"/>
        <v>0</v>
      </c>
      <c r="I86" s="125">
        <f t="shared" si="67"/>
        <v>0</v>
      </c>
      <c r="J86" s="125">
        <f>G86*K$1</f>
        <v>0</v>
      </c>
      <c r="K86" s="153">
        <f>I86*K$1</f>
        <v>0</v>
      </c>
      <c r="L86" s="125">
        <f t="shared" si="68"/>
        <v>0</v>
      </c>
      <c r="M86" s="125">
        <f t="shared" si="69"/>
        <v>0</v>
      </c>
      <c r="N86" s="19"/>
      <c r="O86" s="19"/>
      <c r="P86" s="146"/>
      <c r="Q86" s="189"/>
      <c r="R86" s="189"/>
      <c r="S86" s="189"/>
      <c r="T86" s="189"/>
      <c r="U86" s="189"/>
      <c r="V86" s="189"/>
      <c r="W86" s="183">
        <f>J86</f>
        <v>0</v>
      </c>
      <c r="X86" s="183">
        <f>H86*$K$1</f>
        <v>0</v>
      </c>
      <c r="Y86" s="249"/>
      <c r="Z86" s="249"/>
      <c r="AA86" s="249"/>
    </row>
    <row r="87" spans="1:30" ht="15.75" thickBot="1" x14ac:dyDescent="0.3">
      <c r="A87" s="201"/>
      <c r="B87" s="288">
        <v>1</v>
      </c>
      <c r="C87" s="288">
        <v>0</v>
      </c>
      <c r="D87" s="126">
        <f>'Data Ocupacion'!Z38</f>
        <v>2</v>
      </c>
      <c r="E87" s="126">
        <f>'Data Ocupacion'!AA38</f>
        <v>0</v>
      </c>
      <c r="F87" s="125" t="s">
        <v>35</v>
      </c>
      <c r="G87" s="125">
        <f t="shared" si="66"/>
        <v>2</v>
      </c>
      <c r="H87" s="125">
        <f t="shared" si="70"/>
        <v>1</v>
      </c>
      <c r="I87" s="125">
        <f t="shared" si="67"/>
        <v>2</v>
      </c>
      <c r="J87" s="125">
        <f>G87*K$1</f>
        <v>50.8</v>
      </c>
      <c r="K87" s="153">
        <f>I87*K$1</f>
        <v>50.8</v>
      </c>
      <c r="L87" s="125">
        <f t="shared" si="68"/>
        <v>5283.2</v>
      </c>
      <c r="M87" s="125">
        <f t="shared" si="69"/>
        <v>208</v>
      </c>
      <c r="N87" s="19"/>
      <c r="O87" s="19"/>
      <c r="P87" s="146"/>
      <c r="Q87" s="189"/>
      <c r="R87" s="189"/>
      <c r="S87" s="189"/>
      <c r="T87" s="189"/>
      <c r="U87" s="189"/>
      <c r="V87" s="189"/>
      <c r="W87" s="183">
        <f>J87</f>
        <v>50.8</v>
      </c>
      <c r="X87" s="183">
        <f>H87*$K$1</f>
        <v>25.4</v>
      </c>
    </row>
    <row r="88" spans="1:30" s="124" customFormat="1" ht="15.75" thickBot="1" x14ac:dyDescent="0.3">
      <c r="A88" s="122"/>
      <c r="B88" s="119">
        <f>SUM(B82:B87)</f>
        <v>220</v>
      </c>
      <c r="C88" s="119">
        <f>SUM(C82:C87)</f>
        <v>3</v>
      </c>
      <c r="D88" s="152">
        <f>SUM(D82:D87)</f>
        <v>220</v>
      </c>
      <c r="E88" s="152">
        <f>SUM(E82:E87)</f>
        <v>3</v>
      </c>
      <c r="F88" s="119"/>
      <c r="G88" s="119">
        <f t="shared" ref="G88:M88" si="71">SUM(G82:G87)</f>
        <v>226</v>
      </c>
      <c r="H88" s="119">
        <f t="shared" si="71"/>
        <v>226</v>
      </c>
      <c r="I88" s="119">
        <f t="shared" si="71"/>
        <v>223</v>
      </c>
      <c r="J88" s="120">
        <f t="shared" si="71"/>
        <v>8828.66</v>
      </c>
      <c r="K88" s="119">
        <f t="shared" si="71"/>
        <v>8699.27</v>
      </c>
      <c r="L88" s="118">
        <f t="shared" si="71"/>
        <v>918180.6399999999</v>
      </c>
      <c r="M88" s="151">
        <f t="shared" si="71"/>
        <v>23192</v>
      </c>
      <c r="N88" s="123">
        <f>'Odometro-Kilometraje'!M81</f>
        <v>9295</v>
      </c>
      <c r="O88" s="21">
        <f>(W88/N88)*100</f>
        <v>94.98289402904787</v>
      </c>
      <c r="P88" s="192"/>
      <c r="Q88" s="182"/>
      <c r="R88" s="182"/>
      <c r="S88" s="182"/>
      <c r="T88" s="182"/>
      <c r="U88" s="182"/>
      <c r="V88" s="182"/>
      <c r="W88" s="193">
        <f>SUM(W82:W87)</f>
        <v>8828.66</v>
      </c>
      <c r="X88" s="193">
        <f>SUM(X82:X87)</f>
        <v>8818.35</v>
      </c>
      <c r="Z88" s="172">
        <f>J88-W88</f>
        <v>0</v>
      </c>
      <c r="AA88" s="172">
        <f>N88-Z88</f>
        <v>9295</v>
      </c>
    </row>
    <row r="89" spans="1:30" x14ac:dyDescent="0.25">
      <c r="A89" s="121">
        <f>A82+1</f>
        <v>46066</v>
      </c>
      <c r="B89" s="288">
        <v>78</v>
      </c>
      <c r="C89" s="288">
        <v>1</v>
      </c>
      <c r="D89" s="147">
        <f>'Data Ocupacion'!AB33</f>
        <v>77</v>
      </c>
      <c r="E89" s="147">
        <f>'Data Ocupacion'!AC33</f>
        <v>2</v>
      </c>
      <c r="F89" s="125" t="s">
        <v>38</v>
      </c>
      <c r="G89" s="125">
        <f t="shared" ref="G89:G94" si="72">D89+E89*2</f>
        <v>81</v>
      </c>
      <c r="H89" s="125">
        <f>B89+C89*2</f>
        <v>80</v>
      </c>
      <c r="I89" s="125">
        <f t="shared" ref="I89:I94" si="73">D89+E89</f>
        <v>79</v>
      </c>
      <c r="J89" s="125">
        <f>G89*M$2</f>
        <v>3493.53</v>
      </c>
      <c r="K89" s="153">
        <f>I89*M$2</f>
        <v>3407.27</v>
      </c>
      <c r="L89" s="125">
        <f t="shared" ref="L89:L94" si="74">J89*104</f>
        <v>363327.12</v>
      </c>
      <c r="M89" s="125">
        <f t="shared" ref="M89:M94" si="75">I89*104</f>
        <v>8216</v>
      </c>
      <c r="N89" s="19"/>
      <c r="O89" s="19"/>
      <c r="P89" s="146"/>
      <c r="Q89" s="144"/>
      <c r="R89" s="144"/>
      <c r="S89" s="144"/>
      <c r="T89" s="376"/>
      <c r="U89" s="377"/>
      <c r="V89" s="377"/>
      <c r="W89" s="378">
        <f>J89-(Q89*($M$2-$K$1))-(R89*($M$2-$M$1))- (S89*($M$2-$I$2))+ (T89*($G$2))</f>
        <v>3493.53</v>
      </c>
      <c r="X89" s="378">
        <f>H89*$M$2</f>
        <v>3450.4</v>
      </c>
    </row>
    <row r="90" spans="1:30" ht="17.25" customHeight="1" x14ac:dyDescent="0.25">
      <c r="A90" s="201"/>
      <c r="B90" s="288">
        <v>76</v>
      </c>
      <c r="C90" s="288">
        <v>2</v>
      </c>
      <c r="D90" s="147">
        <f>'Data Ocupacion'!AB34</f>
        <v>75</v>
      </c>
      <c r="E90" s="147">
        <f>'Data Ocupacion'!AC34</f>
        <v>3</v>
      </c>
      <c r="F90" s="125" t="s">
        <v>52</v>
      </c>
      <c r="G90" s="125">
        <f t="shared" si="72"/>
        <v>81</v>
      </c>
      <c r="H90" s="125">
        <f t="shared" ref="H90:H94" si="76">B90+C90*2</f>
        <v>80</v>
      </c>
      <c r="I90" s="125">
        <f t="shared" si="73"/>
        <v>78</v>
      </c>
      <c r="J90" s="125">
        <f>G90*M$2</f>
        <v>3493.53</v>
      </c>
      <c r="K90" s="153">
        <f>I90*M$2</f>
        <v>3364.1400000000003</v>
      </c>
      <c r="L90" s="125">
        <f t="shared" si="74"/>
        <v>363327.12</v>
      </c>
      <c r="M90" s="125">
        <f t="shared" si="75"/>
        <v>8112</v>
      </c>
      <c r="N90" s="19"/>
      <c r="O90" s="19"/>
      <c r="P90" s="146"/>
      <c r="Q90" s="377"/>
      <c r="R90" s="377"/>
      <c r="S90" s="379"/>
      <c r="T90" s="144">
        <v>1</v>
      </c>
      <c r="U90" s="379"/>
      <c r="V90" s="30"/>
      <c r="W90" s="378">
        <f>J90-(T90*($M$2-$K$1)+(U90*($M$2-$M$1)))</f>
        <v>3475.8</v>
      </c>
      <c r="X90" s="378">
        <f>H90*$M$2</f>
        <v>3450.4</v>
      </c>
    </row>
    <row r="91" spans="1:30" ht="14.45" customHeight="1" x14ac:dyDescent="0.25">
      <c r="A91" s="201"/>
      <c r="B91" s="288">
        <v>33</v>
      </c>
      <c r="C91" s="288">
        <v>0</v>
      </c>
      <c r="D91" s="126">
        <f>'Data Ocupacion'!AB35</f>
        <v>33</v>
      </c>
      <c r="E91" s="126">
        <f>'Data Ocupacion'!AC35</f>
        <v>0</v>
      </c>
      <c r="F91" s="125" t="s">
        <v>36</v>
      </c>
      <c r="G91" s="125">
        <f t="shared" si="72"/>
        <v>33</v>
      </c>
      <c r="H91" s="125">
        <f t="shared" si="76"/>
        <v>33</v>
      </c>
      <c r="I91" s="125">
        <f t="shared" si="73"/>
        <v>33</v>
      </c>
      <c r="J91" s="125">
        <f>G91*M$1</f>
        <v>960.63</v>
      </c>
      <c r="K91" s="153">
        <f>I91*M$1</f>
        <v>960.63</v>
      </c>
      <c r="L91" s="125">
        <f t="shared" si="74"/>
        <v>99905.52</v>
      </c>
      <c r="M91" s="125">
        <f t="shared" si="75"/>
        <v>3432</v>
      </c>
      <c r="N91" s="19"/>
      <c r="O91" s="19"/>
      <c r="P91" s="146"/>
      <c r="Q91" s="238"/>
      <c r="R91" s="190"/>
      <c r="S91" s="225"/>
      <c r="T91" s="186"/>
      <c r="U91" s="189"/>
      <c r="V91" s="189"/>
      <c r="W91" s="183">
        <f>J91-(Q91*($M$1-$K$1))</f>
        <v>960.63</v>
      </c>
      <c r="X91" s="183">
        <f>H91*$M$1</f>
        <v>960.63</v>
      </c>
    </row>
    <row r="92" spans="1:30" ht="15" customHeight="1" x14ac:dyDescent="0.25">
      <c r="A92" s="201"/>
      <c r="B92" s="288">
        <v>32</v>
      </c>
      <c r="C92" s="288">
        <v>0</v>
      </c>
      <c r="D92" s="126">
        <f>'Data Ocupacion'!AB36</f>
        <v>32</v>
      </c>
      <c r="E92" s="126">
        <f>'Data Ocupacion'!AC36</f>
        <v>0</v>
      </c>
      <c r="F92" s="125" t="s">
        <v>53</v>
      </c>
      <c r="G92" s="125">
        <f t="shared" si="72"/>
        <v>32</v>
      </c>
      <c r="H92" s="125">
        <f t="shared" si="76"/>
        <v>32</v>
      </c>
      <c r="I92" s="125">
        <f t="shared" si="73"/>
        <v>32</v>
      </c>
      <c r="J92" s="125">
        <f>G92*M$1</f>
        <v>931.52</v>
      </c>
      <c r="K92" s="153">
        <f>I92*M$1</f>
        <v>931.52</v>
      </c>
      <c r="L92" s="125">
        <f t="shared" si="74"/>
        <v>96878.080000000002</v>
      </c>
      <c r="M92" s="125">
        <f t="shared" si="75"/>
        <v>3328</v>
      </c>
      <c r="N92" s="19"/>
      <c r="O92" s="19"/>
      <c r="P92" s="146"/>
      <c r="Q92" s="189"/>
      <c r="R92" s="189"/>
      <c r="S92" s="189"/>
      <c r="T92" s="189"/>
      <c r="U92" s="189"/>
      <c r="V92" s="189"/>
      <c r="W92" s="183">
        <f>J92</f>
        <v>931.52</v>
      </c>
      <c r="X92" s="183">
        <f>H92*$M$1</f>
        <v>931.52</v>
      </c>
    </row>
    <row r="93" spans="1:30" ht="15" customHeight="1" x14ac:dyDescent="0.25">
      <c r="A93" s="201"/>
      <c r="B93" s="288">
        <v>0</v>
      </c>
      <c r="C93" s="288">
        <v>0</v>
      </c>
      <c r="D93" s="126">
        <f>'Data Ocupacion'!AB37</f>
        <v>0</v>
      </c>
      <c r="E93" s="126">
        <f>'Data Ocupacion'!AC37</f>
        <v>0</v>
      </c>
      <c r="F93" s="125" t="s">
        <v>122</v>
      </c>
      <c r="G93" s="125">
        <f t="shared" si="72"/>
        <v>0</v>
      </c>
      <c r="H93" s="125">
        <f t="shared" si="76"/>
        <v>0</v>
      </c>
      <c r="I93" s="125">
        <f t="shared" si="73"/>
        <v>0</v>
      </c>
      <c r="J93" s="125">
        <f>G93*K$1</f>
        <v>0</v>
      </c>
      <c r="K93" s="153">
        <f>I93*K$1</f>
        <v>0</v>
      </c>
      <c r="L93" s="125">
        <f t="shared" si="74"/>
        <v>0</v>
      </c>
      <c r="M93" s="125">
        <f t="shared" si="75"/>
        <v>0</v>
      </c>
      <c r="N93" s="19"/>
      <c r="O93" s="19"/>
      <c r="P93" s="146"/>
      <c r="Q93" s="189"/>
      <c r="R93" s="189"/>
      <c r="S93" s="189"/>
      <c r="T93" s="189"/>
      <c r="U93" s="189"/>
      <c r="V93" s="189"/>
      <c r="W93" s="183">
        <f>J93</f>
        <v>0</v>
      </c>
      <c r="X93" s="183">
        <f>H93*$K$1</f>
        <v>0</v>
      </c>
    </row>
    <row r="94" spans="1:30" ht="15.75" thickBot="1" x14ac:dyDescent="0.3">
      <c r="A94" s="201"/>
      <c r="B94" s="288">
        <v>1</v>
      </c>
      <c r="C94" s="288">
        <v>0</v>
      </c>
      <c r="D94" s="126">
        <f>'Data Ocupacion'!AB38</f>
        <v>1</v>
      </c>
      <c r="E94" s="126">
        <f>'Data Ocupacion'!AC38</f>
        <v>0</v>
      </c>
      <c r="F94" s="125" t="s">
        <v>35</v>
      </c>
      <c r="G94" s="125">
        <f t="shared" si="72"/>
        <v>1</v>
      </c>
      <c r="H94" s="125">
        <f t="shared" si="76"/>
        <v>1</v>
      </c>
      <c r="I94" s="125">
        <f t="shared" si="73"/>
        <v>1</v>
      </c>
      <c r="J94" s="125">
        <f>G94*K$1</f>
        <v>25.4</v>
      </c>
      <c r="K94" s="153">
        <f>I94*K$1</f>
        <v>25.4</v>
      </c>
      <c r="L94" s="125">
        <f t="shared" si="74"/>
        <v>2641.6</v>
      </c>
      <c r="M94" s="125">
        <f t="shared" si="75"/>
        <v>104</v>
      </c>
      <c r="N94" s="19"/>
      <c r="O94" s="19"/>
      <c r="P94" s="146"/>
      <c r="Q94" s="189"/>
      <c r="R94" s="189"/>
      <c r="S94" s="189"/>
      <c r="T94" s="189"/>
      <c r="U94" s="189"/>
      <c r="V94" s="189"/>
      <c r="W94" s="183">
        <f>J94</f>
        <v>25.4</v>
      </c>
      <c r="X94" s="183">
        <f>H94*$K$1</f>
        <v>25.4</v>
      </c>
    </row>
    <row r="95" spans="1:30" s="124" customFormat="1" ht="15.75" thickBot="1" x14ac:dyDescent="0.3">
      <c r="A95" s="20"/>
      <c r="B95" s="119">
        <f>SUM(B89:B94)</f>
        <v>220</v>
      </c>
      <c r="C95" s="119">
        <f>SUM(C89:C94)</f>
        <v>3</v>
      </c>
      <c r="D95" s="152">
        <f>SUM(D89:D94)</f>
        <v>218</v>
      </c>
      <c r="E95" s="152">
        <f>SUM(E89:E94)</f>
        <v>5</v>
      </c>
      <c r="F95" s="119"/>
      <c r="G95" s="119">
        <f t="shared" ref="G95:M95" si="77">SUM(G89:G94)</f>
        <v>228</v>
      </c>
      <c r="H95" s="119">
        <f t="shared" si="77"/>
        <v>226</v>
      </c>
      <c r="I95" s="119">
        <f t="shared" si="77"/>
        <v>223</v>
      </c>
      <c r="J95" s="120">
        <f t="shared" si="77"/>
        <v>8904.61</v>
      </c>
      <c r="K95" s="119">
        <f t="shared" si="77"/>
        <v>8688.9599999999991</v>
      </c>
      <c r="L95" s="118">
        <f t="shared" si="77"/>
        <v>926079.44</v>
      </c>
      <c r="M95" s="151">
        <f t="shared" si="77"/>
        <v>23192</v>
      </c>
      <c r="N95" s="123">
        <f>'Odometro-Kilometraje'!N81</f>
        <v>9325</v>
      </c>
      <c r="O95" s="21">
        <f>(W95/N95)*100</f>
        <v>95.301662198391412</v>
      </c>
      <c r="P95" s="192"/>
      <c r="Q95" s="243"/>
      <c r="R95" s="243"/>
      <c r="S95" s="243"/>
      <c r="T95" s="243"/>
      <c r="U95" s="182"/>
      <c r="V95" s="182"/>
      <c r="W95" s="193">
        <f>SUM(W89:W94)</f>
        <v>8886.8799999999992</v>
      </c>
      <c r="X95" s="193">
        <f>SUM(X89:X94)</f>
        <v>8818.35</v>
      </c>
      <c r="Z95" s="172">
        <f>J95-W95</f>
        <v>17.730000000001382</v>
      </c>
    </row>
    <row r="96" spans="1:30" ht="17.25" customHeight="1" x14ac:dyDescent="0.25">
      <c r="A96" s="60">
        <f>A89+1</f>
        <v>46067</v>
      </c>
      <c r="B96" s="116">
        <v>69</v>
      </c>
      <c r="C96" s="116">
        <v>3</v>
      </c>
      <c r="D96" s="147">
        <f>'Data Ocupacion'!AD33</f>
        <v>69</v>
      </c>
      <c r="E96" s="147">
        <f>'Data Ocupacion'!AE33</f>
        <v>3</v>
      </c>
      <c r="F96" s="116" t="s">
        <v>38</v>
      </c>
      <c r="G96" s="116">
        <f t="shared" ref="G96:G101" si="78">D96+E96*2</f>
        <v>75</v>
      </c>
      <c r="H96" s="116">
        <f>B96+C96*2</f>
        <v>75</v>
      </c>
      <c r="I96" s="116">
        <f>D96+E96</f>
        <v>72</v>
      </c>
      <c r="J96" s="116">
        <f>G96*M$2</f>
        <v>3234.75</v>
      </c>
      <c r="K96" s="153">
        <f>I96*M$2</f>
        <v>3105.36</v>
      </c>
      <c r="L96" s="116">
        <f t="shared" ref="L96:L101" si="79">J96*104</f>
        <v>336414</v>
      </c>
      <c r="M96" s="116">
        <f t="shared" ref="M96:M101" si="80">I96*104</f>
        <v>7488</v>
      </c>
      <c r="N96" s="19"/>
      <c r="O96" s="19"/>
      <c r="P96" s="146"/>
      <c r="Q96" s="144"/>
      <c r="R96" s="144"/>
      <c r="S96" s="144"/>
      <c r="T96" s="376"/>
      <c r="U96" s="377"/>
      <c r="V96" s="377"/>
      <c r="W96" s="378">
        <f>J96-(Q96*($M$2-$K$1))-(R96*($M$2-$M$1))- (S96*($M$2-$I$2))+ (T96*($G$2))</f>
        <v>3234.75</v>
      </c>
      <c r="X96" s="378">
        <f>H96*$M$2</f>
        <v>3234.75</v>
      </c>
    </row>
    <row r="97" spans="1:30" ht="15" customHeight="1" x14ac:dyDescent="0.25">
      <c r="A97" s="270"/>
      <c r="B97" s="116">
        <v>75</v>
      </c>
      <c r="C97" s="116">
        <v>0</v>
      </c>
      <c r="D97" s="147">
        <f>'Data Ocupacion'!AD34</f>
        <v>75</v>
      </c>
      <c r="E97" s="147">
        <f>'Data Ocupacion'!AE34</f>
        <v>0</v>
      </c>
      <c r="F97" s="116" t="s">
        <v>52</v>
      </c>
      <c r="G97" s="116">
        <f t="shared" si="78"/>
        <v>75</v>
      </c>
      <c r="H97" s="116">
        <f t="shared" ref="H97:H101" si="81">B97+C97*2</f>
        <v>75</v>
      </c>
      <c r="I97" s="116">
        <f t="shared" ref="I97:I101" si="82">D97+E97</f>
        <v>75</v>
      </c>
      <c r="J97" s="116">
        <f>G97*M$2</f>
        <v>3234.75</v>
      </c>
      <c r="K97" s="153">
        <f>I97*M$2</f>
        <v>3234.75</v>
      </c>
      <c r="L97" s="116">
        <f t="shared" si="79"/>
        <v>336414</v>
      </c>
      <c r="M97" s="116">
        <f t="shared" si="80"/>
        <v>7800</v>
      </c>
      <c r="N97" s="19"/>
      <c r="O97" s="19"/>
      <c r="P97" s="146"/>
      <c r="Q97" s="377"/>
      <c r="R97" s="377"/>
      <c r="S97" s="379"/>
      <c r="T97" s="144"/>
      <c r="U97" s="379"/>
      <c r="V97" s="30"/>
      <c r="W97" s="378">
        <f>J97-(T97*($M$2-$K$1)+(U97*($M$2-$M$1)))</f>
        <v>3234.75</v>
      </c>
      <c r="X97" s="378">
        <f>H97*$M$2</f>
        <v>3234.75</v>
      </c>
    </row>
    <row r="98" spans="1:30" ht="15" customHeight="1" x14ac:dyDescent="0.25">
      <c r="A98" s="247"/>
      <c r="B98" s="116">
        <v>0</v>
      </c>
      <c r="C98" s="116">
        <v>0</v>
      </c>
      <c r="D98" s="147">
        <f>'Data Ocupacion'!AD35</f>
        <v>0</v>
      </c>
      <c r="E98" s="147">
        <f>'Data Ocupacion'!AE35</f>
        <v>0</v>
      </c>
      <c r="F98" s="116" t="s">
        <v>36</v>
      </c>
      <c r="G98" s="116">
        <f t="shared" si="78"/>
        <v>0</v>
      </c>
      <c r="H98" s="116">
        <f t="shared" si="81"/>
        <v>0</v>
      </c>
      <c r="I98" s="116">
        <f t="shared" si="82"/>
        <v>0</v>
      </c>
      <c r="J98" s="116">
        <f>G98*M$1</f>
        <v>0</v>
      </c>
      <c r="K98" s="153">
        <f>I98*M$1</f>
        <v>0</v>
      </c>
      <c r="L98" s="116">
        <f t="shared" si="79"/>
        <v>0</v>
      </c>
      <c r="M98" s="116">
        <f t="shared" si="80"/>
        <v>0</v>
      </c>
      <c r="N98" s="19"/>
      <c r="O98" s="19"/>
      <c r="P98" s="146"/>
      <c r="Q98" s="238"/>
      <c r="R98" s="190"/>
      <c r="S98" s="225"/>
      <c r="T98" s="186"/>
      <c r="U98" s="189"/>
      <c r="V98" s="189"/>
      <c r="W98" s="183">
        <f>J98-(Q98*($M$1-$K$1))</f>
        <v>0</v>
      </c>
      <c r="X98" s="183">
        <f>H98*$M$1</f>
        <v>0</v>
      </c>
    </row>
    <row r="99" spans="1:30" ht="15" customHeight="1" x14ac:dyDescent="0.25">
      <c r="A99" s="247"/>
      <c r="B99" s="116">
        <v>0</v>
      </c>
      <c r="C99" s="116">
        <v>0</v>
      </c>
      <c r="D99" s="147">
        <f>'Data Ocupacion'!AD36</f>
        <v>0</v>
      </c>
      <c r="E99" s="147">
        <f>'Data Ocupacion'!AE36</f>
        <v>0</v>
      </c>
      <c r="F99" s="116" t="s">
        <v>53</v>
      </c>
      <c r="G99" s="116">
        <f t="shared" si="78"/>
        <v>0</v>
      </c>
      <c r="H99" s="116">
        <f t="shared" si="81"/>
        <v>0</v>
      </c>
      <c r="I99" s="116">
        <f t="shared" si="82"/>
        <v>0</v>
      </c>
      <c r="J99" s="116">
        <f>G99*M$1</f>
        <v>0</v>
      </c>
      <c r="K99" s="153">
        <f>I99*M$1</f>
        <v>0</v>
      </c>
      <c r="L99" s="116">
        <f t="shared" si="79"/>
        <v>0</v>
      </c>
      <c r="M99" s="116">
        <f t="shared" si="80"/>
        <v>0</v>
      </c>
      <c r="N99" s="19"/>
      <c r="O99" s="19"/>
      <c r="P99" s="146"/>
      <c r="Q99" s="189"/>
      <c r="R99" s="189"/>
      <c r="S99" s="189"/>
      <c r="T99" s="189"/>
      <c r="U99" s="189"/>
      <c r="V99" s="189"/>
      <c r="W99" s="183">
        <f>J99</f>
        <v>0</v>
      </c>
      <c r="X99" s="183">
        <f>H99*$M$1</f>
        <v>0</v>
      </c>
    </row>
    <row r="100" spans="1:30" ht="15" customHeight="1" x14ac:dyDescent="0.25">
      <c r="A100" s="247"/>
      <c r="B100" s="116">
        <v>0</v>
      </c>
      <c r="C100" s="116">
        <v>0</v>
      </c>
      <c r="D100" s="147">
        <f>'Data Ocupacion'!AD37</f>
        <v>0</v>
      </c>
      <c r="E100" s="147">
        <f>'Data Ocupacion'!AE37</f>
        <v>0</v>
      </c>
      <c r="F100" s="116" t="s">
        <v>122</v>
      </c>
      <c r="G100" s="116">
        <f t="shared" si="78"/>
        <v>0</v>
      </c>
      <c r="H100" s="116">
        <f t="shared" si="81"/>
        <v>0</v>
      </c>
      <c r="I100" s="116">
        <f t="shared" si="82"/>
        <v>0</v>
      </c>
      <c r="J100" s="116">
        <f>G100*K$1</f>
        <v>0</v>
      </c>
      <c r="K100" s="153">
        <f>I100*K$1</f>
        <v>0</v>
      </c>
      <c r="L100" s="116">
        <f t="shared" si="79"/>
        <v>0</v>
      </c>
      <c r="M100" s="116">
        <f t="shared" si="80"/>
        <v>0</v>
      </c>
      <c r="N100" s="19"/>
      <c r="O100" s="19"/>
      <c r="P100" s="146"/>
      <c r="Q100" s="189"/>
      <c r="R100" s="189"/>
      <c r="S100" s="189"/>
      <c r="T100" s="189"/>
      <c r="U100" s="189"/>
      <c r="V100" s="189"/>
      <c r="W100" s="183">
        <f>J100</f>
        <v>0</v>
      </c>
      <c r="X100" s="183">
        <f>H100*$K$1</f>
        <v>0</v>
      </c>
    </row>
    <row r="101" spans="1:30" ht="15" customHeight="1" thickBot="1" x14ac:dyDescent="0.3">
      <c r="A101" s="247"/>
      <c r="B101" s="116">
        <v>0</v>
      </c>
      <c r="C101" s="116">
        <v>0</v>
      </c>
      <c r="D101" s="147">
        <f>'Data Ocupacion'!AD38</f>
        <v>0</v>
      </c>
      <c r="E101" s="147">
        <f>'Data Ocupacion'!AE38</f>
        <v>0</v>
      </c>
      <c r="F101" s="116" t="s">
        <v>35</v>
      </c>
      <c r="G101" s="116">
        <f t="shared" si="78"/>
        <v>0</v>
      </c>
      <c r="H101" s="116">
        <f t="shared" si="81"/>
        <v>0</v>
      </c>
      <c r="I101" s="116">
        <f t="shared" si="82"/>
        <v>0</v>
      </c>
      <c r="J101" s="116">
        <f>G101*K$1</f>
        <v>0</v>
      </c>
      <c r="K101" s="153">
        <f>I101*K$1</f>
        <v>0</v>
      </c>
      <c r="L101" s="116">
        <f t="shared" si="79"/>
        <v>0</v>
      </c>
      <c r="M101" s="116">
        <f t="shared" si="80"/>
        <v>0</v>
      </c>
      <c r="N101" s="19"/>
      <c r="O101" s="19"/>
      <c r="P101" s="146"/>
      <c r="Q101" s="189"/>
      <c r="R101" s="189"/>
      <c r="S101" s="189"/>
      <c r="T101" s="189"/>
      <c r="U101" s="189"/>
      <c r="V101" s="189"/>
      <c r="W101" s="183">
        <f>J101</f>
        <v>0</v>
      </c>
      <c r="X101" s="183">
        <f>H101*$K$1</f>
        <v>0</v>
      </c>
    </row>
    <row r="102" spans="1:30" s="124" customFormat="1" ht="15" customHeight="1" thickBot="1" x14ac:dyDescent="0.3">
      <c r="A102" s="20"/>
      <c r="B102" s="119">
        <f>SUM(B96:B101)</f>
        <v>144</v>
      </c>
      <c r="C102" s="119">
        <f>SUM(C96:C101)</f>
        <v>3</v>
      </c>
      <c r="D102" s="152">
        <f>SUM(D96:D101)</f>
        <v>144</v>
      </c>
      <c r="E102" s="152">
        <f>SUM(E96:E101)</f>
        <v>3</v>
      </c>
      <c r="F102" s="119"/>
      <c r="G102" s="119">
        <f t="shared" ref="G102:M102" si="83">SUM(G96:G101)</f>
        <v>150</v>
      </c>
      <c r="H102" s="119">
        <f t="shared" si="83"/>
        <v>150</v>
      </c>
      <c r="I102" s="119">
        <f t="shared" si="83"/>
        <v>147</v>
      </c>
      <c r="J102" s="120">
        <f t="shared" si="83"/>
        <v>6469.5</v>
      </c>
      <c r="K102" s="119">
        <f t="shared" si="83"/>
        <v>6340.1100000000006</v>
      </c>
      <c r="L102" s="118">
        <f t="shared" si="83"/>
        <v>672828</v>
      </c>
      <c r="M102" s="151">
        <f t="shared" si="83"/>
        <v>15288</v>
      </c>
      <c r="N102" s="123">
        <f>'Odometro-Kilometraje'!O81</f>
        <v>6486</v>
      </c>
      <c r="O102" s="21">
        <f>(W102/N102)*100</f>
        <v>99.745605920444035</v>
      </c>
      <c r="P102" s="192"/>
      <c r="Q102" s="182"/>
      <c r="R102" s="182"/>
      <c r="S102" s="182"/>
      <c r="T102" s="182"/>
      <c r="U102" s="182"/>
      <c r="V102" s="182"/>
      <c r="W102" s="193">
        <f>SUM(W96:W101)</f>
        <v>6469.5</v>
      </c>
      <c r="X102" s="193">
        <f>SUM(X96:X101)</f>
        <v>6469.5</v>
      </c>
      <c r="Z102" s="172">
        <f>J102-W102</f>
        <v>0</v>
      </c>
      <c r="AA102" s="172">
        <f>N102-Z102</f>
        <v>6486</v>
      </c>
      <c r="AD102"/>
    </row>
    <row r="103" spans="1:30" ht="15.95" customHeight="1" x14ac:dyDescent="0.25">
      <c r="A103" s="60">
        <f>A96+1</f>
        <v>46068</v>
      </c>
      <c r="B103" s="215">
        <v>46</v>
      </c>
      <c r="C103" s="215">
        <v>8</v>
      </c>
      <c r="D103" s="138">
        <f>'Data Ocupacion'!AF33</f>
        <v>46</v>
      </c>
      <c r="E103" s="138">
        <f>'Data Ocupacion'!AG33</f>
        <v>8</v>
      </c>
      <c r="F103" s="215" t="s">
        <v>38</v>
      </c>
      <c r="G103" s="215">
        <f t="shared" ref="G103:G108" si="84">D103+E103*2</f>
        <v>62</v>
      </c>
      <c r="H103" s="215">
        <f>B103+C103*2</f>
        <v>62</v>
      </c>
      <c r="I103" s="215">
        <f t="shared" ref="I103:I108" si="85">D103+E103</f>
        <v>54</v>
      </c>
      <c r="J103" s="215">
        <f>G103*M$2</f>
        <v>2674.06</v>
      </c>
      <c r="K103" s="153">
        <f>I103*M$2</f>
        <v>2329.02</v>
      </c>
      <c r="L103" s="215">
        <f t="shared" ref="L103:L108" si="86">J103*104</f>
        <v>278102.24</v>
      </c>
      <c r="M103" s="215">
        <f t="shared" ref="M103:M108" si="87">I103*104</f>
        <v>5616</v>
      </c>
      <c r="N103" s="19"/>
      <c r="O103" s="19"/>
      <c r="P103" s="146"/>
      <c r="Q103" s="144"/>
      <c r="R103" s="144"/>
      <c r="S103" s="144"/>
      <c r="T103" s="376"/>
      <c r="U103" s="377"/>
      <c r="V103" s="377"/>
      <c r="W103" s="378">
        <f>J103-(Q103*($M$2-$K$1))-(R103*($M$2-$M$1))- (S103*($M$2-$I$2))+ (T103*($G$2))</f>
        <v>2674.06</v>
      </c>
      <c r="X103" s="378">
        <f>H103*$M$2</f>
        <v>2674.06</v>
      </c>
    </row>
    <row r="104" spans="1:30" ht="15" customHeight="1" x14ac:dyDescent="0.25">
      <c r="A104" s="352" t="s">
        <v>181</v>
      </c>
      <c r="B104" s="215">
        <v>52</v>
      </c>
      <c r="C104" s="215">
        <v>5</v>
      </c>
      <c r="D104" s="138">
        <f>'Data Ocupacion'!AF34</f>
        <v>52</v>
      </c>
      <c r="E104" s="138">
        <f>'Data Ocupacion'!AG34</f>
        <v>5</v>
      </c>
      <c r="F104" s="215" t="s">
        <v>52</v>
      </c>
      <c r="G104" s="215">
        <f t="shared" si="84"/>
        <v>62</v>
      </c>
      <c r="H104" s="215">
        <f t="shared" ref="H104:H108" si="88">B104+C104*2</f>
        <v>62</v>
      </c>
      <c r="I104" s="215">
        <f t="shared" si="85"/>
        <v>57</v>
      </c>
      <c r="J104" s="215">
        <f>G104*M$2</f>
        <v>2674.06</v>
      </c>
      <c r="K104" s="153">
        <f>I104*M$2</f>
        <v>2458.4100000000003</v>
      </c>
      <c r="L104" s="215">
        <f t="shared" si="86"/>
        <v>278102.24</v>
      </c>
      <c r="M104" s="215">
        <f t="shared" si="87"/>
        <v>5928</v>
      </c>
      <c r="N104" s="19"/>
      <c r="O104" s="19"/>
      <c r="P104" s="146"/>
      <c r="Q104" s="377"/>
      <c r="R104" s="377"/>
      <c r="S104" s="379"/>
      <c r="T104" s="144">
        <v>1</v>
      </c>
      <c r="U104" s="379"/>
      <c r="V104" s="30"/>
      <c r="W104" s="378">
        <f>J104-(T104*($M$2-$K$1)+(U104*($M$2-$M$1)))</f>
        <v>2656.33</v>
      </c>
      <c r="X104" s="378">
        <f>H104*$M$2</f>
        <v>2674.06</v>
      </c>
    </row>
    <row r="105" spans="1:30" ht="14.25" customHeight="1" x14ac:dyDescent="0.25">
      <c r="A105" s="352"/>
      <c r="B105" s="215">
        <v>0</v>
      </c>
      <c r="C105" s="215">
        <v>0</v>
      </c>
      <c r="D105" s="138">
        <f>'Data Ocupacion'!AF35</f>
        <v>0</v>
      </c>
      <c r="E105" s="138">
        <f>'Data Ocupacion'!AG35</f>
        <v>0</v>
      </c>
      <c r="F105" s="215" t="s">
        <v>36</v>
      </c>
      <c r="G105" s="215">
        <f t="shared" si="84"/>
        <v>0</v>
      </c>
      <c r="H105" s="215">
        <f t="shared" si="88"/>
        <v>0</v>
      </c>
      <c r="I105" s="215">
        <f t="shared" si="85"/>
        <v>0</v>
      </c>
      <c r="J105" s="215">
        <f>G105*M$1</f>
        <v>0</v>
      </c>
      <c r="K105" s="153">
        <f>I105*M$1</f>
        <v>0</v>
      </c>
      <c r="L105" s="215">
        <f t="shared" si="86"/>
        <v>0</v>
      </c>
      <c r="M105" s="215">
        <f t="shared" si="87"/>
        <v>0</v>
      </c>
      <c r="N105" s="19"/>
      <c r="O105" s="19"/>
      <c r="P105" s="146"/>
      <c r="Q105" s="238"/>
      <c r="R105" s="187"/>
      <c r="S105" s="204"/>
      <c r="T105" s="188"/>
      <c r="U105" s="189"/>
      <c r="V105" s="189"/>
      <c r="W105" s="183">
        <f>J105-(Q105*($M$1-$K$1))</f>
        <v>0</v>
      </c>
      <c r="X105" s="183">
        <f>H105*$M$1</f>
        <v>0</v>
      </c>
    </row>
    <row r="106" spans="1:30" ht="15" customHeight="1" x14ac:dyDescent="0.25">
      <c r="A106" s="352"/>
      <c r="B106" s="215">
        <v>0</v>
      </c>
      <c r="C106" s="215">
        <v>0</v>
      </c>
      <c r="D106" s="138">
        <f>'Data Ocupacion'!AF36</f>
        <v>0</v>
      </c>
      <c r="E106" s="138">
        <f>'Data Ocupacion'!AG36</f>
        <v>0</v>
      </c>
      <c r="F106" s="215" t="s">
        <v>53</v>
      </c>
      <c r="G106" s="215">
        <f t="shared" si="84"/>
        <v>0</v>
      </c>
      <c r="H106" s="215">
        <f t="shared" si="88"/>
        <v>0</v>
      </c>
      <c r="I106" s="215">
        <f t="shared" si="85"/>
        <v>0</v>
      </c>
      <c r="J106" s="215">
        <f>G106*M$1</f>
        <v>0</v>
      </c>
      <c r="K106" s="153">
        <f>I106*M$1</f>
        <v>0</v>
      </c>
      <c r="L106" s="215">
        <f t="shared" si="86"/>
        <v>0</v>
      </c>
      <c r="M106" s="215">
        <f t="shared" si="87"/>
        <v>0</v>
      </c>
      <c r="N106" s="19"/>
      <c r="O106" s="19"/>
      <c r="P106" s="146"/>
      <c r="Q106" s="189"/>
      <c r="R106" s="189"/>
      <c r="S106" s="189"/>
      <c r="T106" s="189"/>
      <c r="U106" s="189"/>
      <c r="V106" s="189"/>
      <c r="W106" s="183">
        <f>J106</f>
        <v>0</v>
      </c>
      <c r="X106" s="183">
        <f>H106*$M$1</f>
        <v>0</v>
      </c>
    </row>
    <row r="107" spans="1:30" ht="15" customHeight="1" x14ac:dyDescent="0.25">
      <c r="A107" s="352"/>
      <c r="B107" s="215">
        <v>0</v>
      </c>
      <c r="C107" s="215">
        <v>0</v>
      </c>
      <c r="D107" s="138">
        <f>'Data Ocupacion'!AF37</f>
        <v>0</v>
      </c>
      <c r="E107" s="138">
        <f>'Data Ocupacion'!AG37</f>
        <v>0</v>
      </c>
      <c r="F107" s="215" t="s">
        <v>122</v>
      </c>
      <c r="G107" s="215">
        <f t="shared" si="84"/>
        <v>0</v>
      </c>
      <c r="H107" s="215">
        <f t="shared" si="88"/>
        <v>0</v>
      </c>
      <c r="I107" s="215">
        <f t="shared" si="85"/>
        <v>0</v>
      </c>
      <c r="J107" s="215">
        <f>G107*K$1</f>
        <v>0</v>
      </c>
      <c r="K107" s="153">
        <f>I107*K$1</f>
        <v>0</v>
      </c>
      <c r="L107" s="215">
        <f t="shared" si="86"/>
        <v>0</v>
      </c>
      <c r="M107" s="215">
        <f t="shared" si="87"/>
        <v>0</v>
      </c>
      <c r="N107" s="19"/>
      <c r="O107" s="19"/>
      <c r="P107" s="146"/>
      <c r="Q107" s="189"/>
      <c r="R107" s="189"/>
      <c r="S107" s="189"/>
      <c r="T107" s="189"/>
      <c r="U107" s="189"/>
      <c r="V107" s="189"/>
      <c r="W107" s="183">
        <f>J107</f>
        <v>0</v>
      </c>
      <c r="X107" s="183">
        <f>H107*$K$1</f>
        <v>0</v>
      </c>
    </row>
    <row r="108" spans="1:30" ht="15" customHeight="1" thickBot="1" x14ac:dyDescent="0.3">
      <c r="A108" s="352"/>
      <c r="B108" s="215">
        <v>0</v>
      </c>
      <c r="C108" s="215">
        <v>0</v>
      </c>
      <c r="D108" s="138">
        <f>'Data Ocupacion'!AF38</f>
        <v>0</v>
      </c>
      <c r="E108" s="138">
        <f>'Data Ocupacion'!AG38</f>
        <v>0</v>
      </c>
      <c r="F108" s="215" t="s">
        <v>35</v>
      </c>
      <c r="G108" s="215">
        <f t="shared" si="84"/>
        <v>0</v>
      </c>
      <c r="H108" s="215">
        <f t="shared" si="88"/>
        <v>0</v>
      </c>
      <c r="I108" s="215">
        <f t="shared" si="85"/>
        <v>0</v>
      </c>
      <c r="J108" s="215">
        <f>G108*K$1</f>
        <v>0</v>
      </c>
      <c r="K108" s="153">
        <f>I108*K$1</f>
        <v>0</v>
      </c>
      <c r="L108" s="215">
        <f t="shared" si="86"/>
        <v>0</v>
      </c>
      <c r="M108" s="215">
        <f t="shared" si="87"/>
        <v>0</v>
      </c>
      <c r="N108" s="19"/>
      <c r="O108" s="19"/>
      <c r="P108" s="146"/>
      <c r="Q108" s="189"/>
      <c r="R108" s="189"/>
      <c r="S108" s="189"/>
      <c r="T108" s="189"/>
      <c r="U108" s="189"/>
      <c r="V108" s="189"/>
      <c r="W108" s="183">
        <f>J108</f>
        <v>0</v>
      </c>
      <c r="X108" s="183">
        <f>H108*$K$1</f>
        <v>0</v>
      </c>
    </row>
    <row r="109" spans="1:30" s="124" customFormat="1" ht="15" customHeight="1" thickBot="1" x14ac:dyDescent="0.3">
      <c r="A109" s="20"/>
      <c r="B109" s="119">
        <f>SUM(B103:B108)</f>
        <v>98</v>
      </c>
      <c r="C109" s="119">
        <f>SUM(C103:C108)</f>
        <v>13</v>
      </c>
      <c r="D109" s="152">
        <f>SUM(D103:D108)</f>
        <v>98</v>
      </c>
      <c r="E109" s="152">
        <f>SUM(E103:E108)</f>
        <v>13</v>
      </c>
      <c r="F109" s="119"/>
      <c r="G109" s="119">
        <f t="shared" ref="G109:M109" si="89">SUM(G103:G108)</f>
        <v>124</v>
      </c>
      <c r="H109" s="119">
        <f t="shared" si="89"/>
        <v>124</v>
      </c>
      <c r="I109" s="119">
        <f t="shared" si="89"/>
        <v>111</v>
      </c>
      <c r="J109" s="120">
        <f t="shared" si="89"/>
        <v>5348.12</v>
      </c>
      <c r="K109" s="119">
        <f t="shared" si="89"/>
        <v>4787.43</v>
      </c>
      <c r="L109" s="118">
        <f t="shared" si="89"/>
        <v>556204.48</v>
      </c>
      <c r="M109" s="151">
        <f t="shared" si="89"/>
        <v>11544</v>
      </c>
      <c r="N109" s="123">
        <f>'Odometro-Kilometraje'!P81</f>
        <v>5392</v>
      </c>
      <c r="O109" s="21">
        <f>(W109/N109)*100</f>
        <v>98.857381305637972</v>
      </c>
      <c r="P109" s="192"/>
      <c r="Q109" s="182"/>
      <c r="R109" s="182"/>
      <c r="S109" s="182"/>
      <c r="T109" s="182"/>
      <c r="U109" s="182"/>
      <c r="V109" s="182"/>
      <c r="W109" s="193">
        <f>SUM(W103:W108)</f>
        <v>5330.3899999999994</v>
      </c>
      <c r="X109" s="193">
        <f>SUM(X103:X108)</f>
        <v>5348.12</v>
      </c>
      <c r="Z109" s="172">
        <f>J109-W109</f>
        <v>17.730000000000473</v>
      </c>
    </row>
    <row r="110" spans="1:30" ht="15.95" customHeight="1" x14ac:dyDescent="0.25">
      <c r="A110" s="60">
        <f>A103+1</f>
        <v>46069</v>
      </c>
      <c r="B110" s="288">
        <v>78</v>
      </c>
      <c r="C110" s="288">
        <v>1</v>
      </c>
      <c r="D110" s="126">
        <f>'Data Ocupacion'!AH33</f>
        <v>78</v>
      </c>
      <c r="E110" s="126">
        <f>'Data Ocupacion'!AI33</f>
        <v>1</v>
      </c>
      <c r="F110" s="217" t="s">
        <v>38</v>
      </c>
      <c r="G110" s="218">
        <f t="shared" ref="G110:G115" si="90">D110+E110*2</f>
        <v>80</v>
      </c>
      <c r="H110" s="125">
        <f>B110+C110*2</f>
        <v>80</v>
      </c>
      <c r="I110" s="219">
        <f t="shared" ref="I110:I115" si="91">D110+E110</f>
        <v>79</v>
      </c>
      <c r="J110" s="219">
        <f>G110*M$2</f>
        <v>3450.4</v>
      </c>
      <c r="K110" s="153">
        <f>I110*M$2</f>
        <v>3407.27</v>
      </c>
      <c r="L110" s="125">
        <f t="shared" ref="L110:L115" si="92">J110*104</f>
        <v>358841.60000000003</v>
      </c>
      <c r="M110" s="125">
        <f t="shared" ref="M110:M115" si="93">I110*104</f>
        <v>8216</v>
      </c>
      <c r="N110" s="19"/>
      <c r="O110" s="19"/>
      <c r="P110" s="146"/>
      <c r="Q110" s="144"/>
      <c r="R110" s="144"/>
      <c r="S110" s="144"/>
      <c r="T110" s="376"/>
      <c r="U110" s="377"/>
      <c r="V110" s="377"/>
      <c r="W110" s="378">
        <f>J110-(Q110*($M$2-$K$1))-(R110*($M$2-$M$1))- (S110*($M$2-$I$2))+ (T110*($G$2))</f>
        <v>3450.4</v>
      </c>
      <c r="X110" s="378">
        <f>H110*$M$2</f>
        <v>3450.4</v>
      </c>
    </row>
    <row r="111" spans="1:30" ht="15" customHeight="1" x14ac:dyDescent="0.25">
      <c r="A111" s="201"/>
      <c r="B111" s="288">
        <v>76</v>
      </c>
      <c r="C111" s="288">
        <v>2</v>
      </c>
      <c r="D111" s="126">
        <f>'Data Ocupacion'!AH34</f>
        <v>76</v>
      </c>
      <c r="E111" s="126">
        <f>'Data Ocupacion'!AI34</f>
        <v>2</v>
      </c>
      <c r="F111" s="217" t="s">
        <v>52</v>
      </c>
      <c r="G111" s="218">
        <f t="shared" si="90"/>
        <v>80</v>
      </c>
      <c r="H111" s="125">
        <f t="shared" ref="H111:H115" si="94">B111+C111*2</f>
        <v>80</v>
      </c>
      <c r="I111" s="125">
        <f t="shared" si="91"/>
        <v>78</v>
      </c>
      <c r="J111" s="125">
        <f>G111*M$2</f>
        <v>3450.4</v>
      </c>
      <c r="K111" s="153">
        <f>I111*M$2</f>
        <v>3364.1400000000003</v>
      </c>
      <c r="L111" s="125">
        <f t="shared" si="92"/>
        <v>358841.60000000003</v>
      </c>
      <c r="M111" s="125">
        <f t="shared" si="93"/>
        <v>8112</v>
      </c>
      <c r="N111" s="19"/>
      <c r="O111" s="19"/>
      <c r="P111" s="146"/>
      <c r="Q111" s="377"/>
      <c r="R111" s="377"/>
      <c r="S111" s="379"/>
      <c r="T111" s="144"/>
      <c r="U111" s="379"/>
      <c r="V111" s="30"/>
      <c r="W111" s="378">
        <f>J111-(T111*($M$2-$K$1)+(U111*($M$2-$M$1)))</f>
        <v>3450.4</v>
      </c>
      <c r="X111" s="378">
        <f>H111*$M$2</f>
        <v>3450.4</v>
      </c>
      <c r="Y111" s="172"/>
    </row>
    <row r="112" spans="1:30" ht="18" customHeight="1" x14ac:dyDescent="0.25">
      <c r="A112" s="201"/>
      <c r="B112" s="288">
        <v>33</v>
      </c>
      <c r="C112" s="288">
        <v>0</v>
      </c>
      <c r="D112" s="126">
        <f>'Data Ocupacion'!AH35</f>
        <v>33</v>
      </c>
      <c r="E112" s="126">
        <f>'Data Ocupacion'!AI35</f>
        <v>0</v>
      </c>
      <c r="F112" s="217" t="s">
        <v>36</v>
      </c>
      <c r="G112" s="218">
        <f t="shared" si="90"/>
        <v>33</v>
      </c>
      <c r="H112" s="125">
        <f t="shared" si="94"/>
        <v>33</v>
      </c>
      <c r="I112" s="125">
        <f t="shared" si="91"/>
        <v>33</v>
      </c>
      <c r="J112" s="125">
        <f>G112*M$1</f>
        <v>960.63</v>
      </c>
      <c r="K112" s="153">
        <f>I112*M$1</f>
        <v>960.63</v>
      </c>
      <c r="L112" s="125">
        <f t="shared" si="92"/>
        <v>99905.52</v>
      </c>
      <c r="M112" s="125">
        <f t="shared" si="93"/>
        <v>3432</v>
      </c>
      <c r="N112" s="19"/>
      <c r="O112" s="19"/>
      <c r="P112" s="146"/>
      <c r="Q112" s="238"/>
      <c r="R112" s="187"/>
      <c r="S112" s="204"/>
      <c r="T112" s="188"/>
      <c r="U112" s="189"/>
      <c r="V112" s="189"/>
      <c r="W112" s="183">
        <f>J112-(Q112*($M$1-$K$1))</f>
        <v>960.63</v>
      </c>
      <c r="X112" s="183">
        <f>H112*$M$1</f>
        <v>960.63</v>
      </c>
    </row>
    <row r="113" spans="1:26" ht="15.95" customHeight="1" x14ac:dyDescent="0.25">
      <c r="A113" s="201"/>
      <c r="B113" s="288">
        <v>32</v>
      </c>
      <c r="C113" s="288">
        <v>0</v>
      </c>
      <c r="D113" s="126">
        <f>'Data Ocupacion'!AH36</f>
        <v>32</v>
      </c>
      <c r="E113" s="126">
        <f>'Data Ocupacion'!AI36</f>
        <v>0</v>
      </c>
      <c r="F113" s="217" t="s">
        <v>53</v>
      </c>
      <c r="G113" s="218">
        <f t="shared" si="90"/>
        <v>32</v>
      </c>
      <c r="H113" s="125">
        <f t="shared" si="94"/>
        <v>32</v>
      </c>
      <c r="I113" s="125">
        <f t="shared" si="91"/>
        <v>32</v>
      </c>
      <c r="J113" s="125">
        <f>G113*M$1</f>
        <v>931.52</v>
      </c>
      <c r="K113" s="153">
        <f>I113*M$1</f>
        <v>931.52</v>
      </c>
      <c r="L113" s="125">
        <f t="shared" si="92"/>
        <v>96878.080000000002</v>
      </c>
      <c r="M113" s="125">
        <f t="shared" si="93"/>
        <v>3328</v>
      </c>
      <c r="N113" s="19"/>
      <c r="O113" s="19"/>
      <c r="P113" s="146"/>
      <c r="Q113" s="189"/>
      <c r="R113" s="189"/>
      <c r="S113" s="189"/>
      <c r="T113" s="189"/>
      <c r="U113" s="189"/>
      <c r="V113" s="189"/>
      <c r="W113" s="183">
        <f>J113</f>
        <v>931.52</v>
      </c>
      <c r="X113" s="183">
        <f>H113*$M$1</f>
        <v>931.52</v>
      </c>
    </row>
    <row r="114" spans="1:26" ht="15" customHeight="1" x14ac:dyDescent="0.25">
      <c r="A114" s="201"/>
      <c r="B114" s="288">
        <v>0</v>
      </c>
      <c r="C114" s="288">
        <v>0</v>
      </c>
      <c r="D114" s="126">
        <f>'Data Ocupacion'!AH37</f>
        <v>0</v>
      </c>
      <c r="E114" s="126">
        <f>'Data Ocupacion'!AI37</f>
        <v>0</v>
      </c>
      <c r="F114" s="217" t="s">
        <v>122</v>
      </c>
      <c r="G114" s="218">
        <f t="shared" si="90"/>
        <v>0</v>
      </c>
      <c r="H114" s="125">
        <f t="shared" si="94"/>
        <v>0</v>
      </c>
      <c r="I114" s="125">
        <f t="shared" si="91"/>
        <v>0</v>
      </c>
      <c r="J114" s="220">
        <f>G114*K$1</f>
        <v>0</v>
      </c>
      <c r="K114" s="153">
        <f>I114*K$1</f>
        <v>0</v>
      </c>
      <c r="L114" s="125">
        <f t="shared" si="92"/>
        <v>0</v>
      </c>
      <c r="M114" s="125">
        <f t="shared" si="93"/>
        <v>0</v>
      </c>
      <c r="N114" s="19"/>
      <c r="O114" s="19"/>
      <c r="P114" s="146"/>
      <c r="Q114" s="189"/>
      <c r="R114" s="189"/>
      <c r="S114" s="189"/>
      <c r="T114" s="189"/>
      <c r="U114" s="189"/>
      <c r="V114" s="189"/>
      <c r="W114" s="183">
        <f>J114</f>
        <v>0</v>
      </c>
      <c r="X114" s="183">
        <f>H114*$K$1</f>
        <v>0</v>
      </c>
    </row>
    <row r="115" spans="1:26" ht="15" customHeight="1" thickBot="1" x14ac:dyDescent="0.3">
      <c r="A115" s="201"/>
      <c r="B115" s="288">
        <v>1</v>
      </c>
      <c r="C115" s="288">
        <v>0</v>
      </c>
      <c r="D115" s="126">
        <f>'Data Ocupacion'!AH38</f>
        <v>1</v>
      </c>
      <c r="E115" s="126">
        <f>'Data Ocupacion'!AI38</f>
        <v>0</v>
      </c>
      <c r="F115" s="217" t="s">
        <v>35</v>
      </c>
      <c r="G115" s="218">
        <f t="shared" si="90"/>
        <v>1</v>
      </c>
      <c r="H115" s="125">
        <f t="shared" si="94"/>
        <v>1</v>
      </c>
      <c r="I115" s="221">
        <f t="shared" si="91"/>
        <v>1</v>
      </c>
      <c r="J115" s="221">
        <f>G115*K$1</f>
        <v>25.4</v>
      </c>
      <c r="K115" s="153">
        <f>I115*K$1</f>
        <v>25.4</v>
      </c>
      <c r="L115" s="125">
        <f t="shared" si="92"/>
        <v>2641.6</v>
      </c>
      <c r="M115" s="125">
        <f t="shared" si="93"/>
        <v>104</v>
      </c>
      <c r="N115" s="19"/>
      <c r="O115" s="19"/>
      <c r="P115" s="146"/>
      <c r="Q115" s="189"/>
      <c r="R115" s="189"/>
      <c r="S115" s="189"/>
      <c r="T115" s="189"/>
      <c r="U115" s="189"/>
      <c r="V115" s="189"/>
      <c r="W115" s="183">
        <f>J115</f>
        <v>25.4</v>
      </c>
      <c r="X115" s="183">
        <f>H115*$K$1</f>
        <v>25.4</v>
      </c>
    </row>
    <row r="116" spans="1:26" s="124" customFormat="1" ht="15" customHeight="1" thickBot="1" x14ac:dyDescent="0.3">
      <c r="A116" s="20"/>
      <c r="B116" s="119">
        <f>SUM(B110:B115)</f>
        <v>220</v>
      </c>
      <c r="C116" s="119">
        <f>SUM(C110:C115)</f>
        <v>3</v>
      </c>
      <c r="D116" s="148">
        <f>SUM(D110:D115)</f>
        <v>220</v>
      </c>
      <c r="E116" s="148">
        <f>SUM(E110:E115)</f>
        <v>3</v>
      </c>
      <c r="F116" s="119"/>
      <c r="G116" s="119">
        <f t="shared" ref="G116:M116" si="95">SUM(G110:G115)</f>
        <v>226</v>
      </c>
      <c r="H116" s="119">
        <f t="shared" si="95"/>
        <v>226</v>
      </c>
      <c r="I116" s="119">
        <f t="shared" si="95"/>
        <v>223</v>
      </c>
      <c r="J116" s="120">
        <f t="shared" si="95"/>
        <v>8818.35</v>
      </c>
      <c r="K116" s="119">
        <f t="shared" si="95"/>
        <v>8688.9599999999991</v>
      </c>
      <c r="L116" s="119">
        <f t="shared" si="95"/>
        <v>917108.4</v>
      </c>
      <c r="M116" s="119">
        <f t="shared" si="95"/>
        <v>23192</v>
      </c>
      <c r="N116" s="123">
        <f>'Odometro-Kilometraje'!Q81</f>
        <v>9182</v>
      </c>
      <c r="O116" s="21">
        <f>(W116/N116)*100</f>
        <v>96.039533870616424</v>
      </c>
      <c r="P116" s="192"/>
      <c r="Q116" s="182"/>
      <c r="R116" s="182"/>
      <c r="S116" s="182"/>
      <c r="T116" s="182"/>
      <c r="U116" s="182"/>
      <c r="V116" s="182"/>
      <c r="W116" s="193">
        <f>SUM(W110:W115)</f>
        <v>8818.35</v>
      </c>
      <c r="X116" s="193">
        <f>SUM(X110:X115)</f>
        <v>8818.35</v>
      </c>
      <c r="Z116" s="172">
        <f>J116-W116</f>
        <v>0</v>
      </c>
    </row>
    <row r="117" spans="1:26" ht="15.95" customHeight="1" x14ac:dyDescent="0.25">
      <c r="A117" s="60">
        <f>A110+1</f>
        <v>46070</v>
      </c>
      <c r="B117" s="288">
        <v>78</v>
      </c>
      <c r="C117" s="288">
        <v>1</v>
      </c>
      <c r="D117" s="147">
        <f>'Data Ocupacion'!AJ33</f>
        <v>79</v>
      </c>
      <c r="E117" s="147">
        <f>'Data Ocupacion'!AK33</f>
        <v>1</v>
      </c>
      <c r="F117" s="125" t="s">
        <v>38</v>
      </c>
      <c r="G117" s="125">
        <f t="shared" ref="G117:G122" si="96">D117+E117*2</f>
        <v>81</v>
      </c>
      <c r="H117" s="125">
        <f>B117+C117*2</f>
        <v>80</v>
      </c>
      <c r="I117" s="125">
        <f t="shared" ref="I117:I122" si="97">D117+E117</f>
        <v>80</v>
      </c>
      <c r="J117" s="125">
        <f>G117*M$2</f>
        <v>3493.53</v>
      </c>
      <c r="K117" s="153">
        <f>I117*M$2</f>
        <v>3450.4</v>
      </c>
      <c r="L117" s="125">
        <f t="shared" ref="L117:L122" si="98">J117*104</f>
        <v>363327.12</v>
      </c>
      <c r="M117" s="125">
        <f t="shared" ref="M117:M122" si="99">I117*104</f>
        <v>8320</v>
      </c>
      <c r="N117" s="19"/>
      <c r="O117" s="19"/>
      <c r="P117" s="146"/>
      <c r="Q117" s="144"/>
      <c r="R117" s="144"/>
      <c r="S117" s="144"/>
      <c r="T117" s="376"/>
      <c r="U117" s="377"/>
      <c r="V117" s="377"/>
      <c r="W117" s="378">
        <f>J117-(Q117*($M$2-$K$1))-(R117*($M$2-$M$1))- (S117*($M$2-$I$2))+ (T117*($G$2))</f>
        <v>3493.53</v>
      </c>
      <c r="X117" s="378">
        <f>H117*$M$2</f>
        <v>3450.4</v>
      </c>
    </row>
    <row r="118" spans="1:26" ht="15" customHeight="1" x14ac:dyDescent="0.25">
      <c r="A118" s="201"/>
      <c r="B118" s="288">
        <v>76</v>
      </c>
      <c r="C118" s="288">
        <v>2</v>
      </c>
      <c r="D118" s="126">
        <f>'Data Ocupacion'!AJ34</f>
        <v>76</v>
      </c>
      <c r="E118" s="126">
        <f>'Data Ocupacion'!AK34</f>
        <v>2</v>
      </c>
      <c r="F118" s="125" t="s">
        <v>52</v>
      </c>
      <c r="G118" s="125">
        <f t="shared" si="96"/>
        <v>80</v>
      </c>
      <c r="H118" s="125">
        <f t="shared" ref="H118:H122" si="100">B118+C118*2</f>
        <v>80</v>
      </c>
      <c r="I118" s="125">
        <f t="shared" si="97"/>
        <v>78</v>
      </c>
      <c r="J118" s="125">
        <f>G118*M$2</f>
        <v>3450.4</v>
      </c>
      <c r="K118" s="153">
        <f>I118*M$2</f>
        <v>3364.1400000000003</v>
      </c>
      <c r="L118" s="125">
        <f t="shared" si="98"/>
        <v>358841.60000000003</v>
      </c>
      <c r="M118" s="125">
        <f t="shared" si="99"/>
        <v>8112</v>
      </c>
      <c r="N118" s="19"/>
      <c r="O118" s="19"/>
      <c r="P118" s="146"/>
      <c r="Q118" s="377"/>
      <c r="R118" s="377"/>
      <c r="S118" s="379"/>
      <c r="T118" s="144"/>
      <c r="U118" s="379"/>
      <c r="V118" s="30"/>
      <c r="W118" s="378">
        <f>J118-(T118*($M$2-$K$1)+(U118*($M$2-$M$1)))</f>
        <v>3450.4</v>
      </c>
      <c r="X118" s="378">
        <f>H118*$M$2</f>
        <v>3450.4</v>
      </c>
      <c r="Y118" s="172"/>
    </row>
    <row r="119" spans="1:26" ht="15" customHeight="1" x14ac:dyDescent="0.25">
      <c r="A119" s="201"/>
      <c r="B119" s="288">
        <v>33</v>
      </c>
      <c r="C119" s="288">
        <v>0</v>
      </c>
      <c r="D119" s="147">
        <f>'Data Ocupacion'!AJ35</f>
        <v>32</v>
      </c>
      <c r="E119" s="147">
        <f>'Data Ocupacion'!AK35</f>
        <v>0</v>
      </c>
      <c r="F119" s="125" t="s">
        <v>36</v>
      </c>
      <c r="G119" s="125">
        <f t="shared" si="96"/>
        <v>32</v>
      </c>
      <c r="H119" s="125">
        <f t="shared" si="100"/>
        <v>33</v>
      </c>
      <c r="I119" s="125">
        <f t="shared" si="97"/>
        <v>32</v>
      </c>
      <c r="J119" s="125">
        <f>G119*M$1</f>
        <v>931.52</v>
      </c>
      <c r="K119" s="153">
        <f>I119*M$1</f>
        <v>931.52</v>
      </c>
      <c r="L119" s="125">
        <f t="shared" si="98"/>
        <v>96878.080000000002</v>
      </c>
      <c r="M119" s="125">
        <f t="shared" si="99"/>
        <v>3328</v>
      </c>
      <c r="N119" s="19"/>
      <c r="O119" s="19"/>
      <c r="P119" s="146"/>
      <c r="Q119" s="238"/>
      <c r="R119" s="190"/>
      <c r="S119" s="225"/>
      <c r="T119" s="186"/>
      <c r="U119" s="189"/>
      <c r="V119" s="189"/>
      <c r="W119" s="183">
        <f>J119-(Q119*($M$1-$K$1))</f>
        <v>931.52</v>
      </c>
      <c r="X119" s="183">
        <f>H119*$M$1</f>
        <v>960.63</v>
      </c>
    </row>
    <row r="120" spans="1:26" ht="15" customHeight="1" x14ac:dyDescent="0.25">
      <c r="A120" s="201"/>
      <c r="B120" s="288">
        <v>32</v>
      </c>
      <c r="C120" s="288">
        <v>0</v>
      </c>
      <c r="D120" s="126">
        <f>'Data Ocupacion'!AJ36</f>
        <v>32</v>
      </c>
      <c r="E120" s="126">
        <f>'Data Ocupacion'!AK36</f>
        <v>0</v>
      </c>
      <c r="F120" s="125" t="s">
        <v>53</v>
      </c>
      <c r="G120" s="125">
        <f t="shared" si="96"/>
        <v>32</v>
      </c>
      <c r="H120" s="125">
        <f t="shared" si="100"/>
        <v>32</v>
      </c>
      <c r="I120" s="125">
        <f t="shared" si="97"/>
        <v>32</v>
      </c>
      <c r="J120" s="125">
        <f>G120*M$1</f>
        <v>931.52</v>
      </c>
      <c r="K120" s="153">
        <f>I120*M$1</f>
        <v>931.52</v>
      </c>
      <c r="L120" s="125">
        <f t="shared" si="98"/>
        <v>96878.080000000002</v>
      </c>
      <c r="M120" s="125">
        <f t="shared" si="99"/>
        <v>3328</v>
      </c>
      <c r="N120" s="19"/>
      <c r="O120" s="19"/>
      <c r="P120" s="146"/>
      <c r="Q120" s="189"/>
      <c r="R120" s="189"/>
      <c r="S120" s="189"/>
      <c r="T120" s="189"/>
      <c r="U120" s="189"/>
      <c r="V120" s="189"/>
      <c r="W120" s="183">
        <f>J120</f>
        <v>931.52</v>
      </c>
      <c r="X120" s="183">
        <f>H120*$M$1</f>
        <v>931.52</v>
      </c>
      <c r="Z120" s="197"/>
    </row>
    <row r="121" spans="1:26" ht="15" customHeight="1" x14ac:dyDescent="0.25">
      <c r="A121" s="201"/>
      <c r="B121" s="288">
        <v>0</v>
      </c>
      <c r="C121" s="288">
        <v>0</v>
      </c>
      <c r="D121" s="126">
        <f>'Data Ocupacion'!AJ37</f>
        <v>0</v>
      </c>
      <c r="E121" s="126">
        <f>'Data Ocupacion'!AK37</f>
        <v>0</v>
      </c>
      <c r="F121" s="125" t="s">
        <v>122</v>
      </c>
      <c r="G121" s="125">
        <f t="shared" si="96"/>
        <v>0</v>
      </c>
      <c r="H121" s="125">
        <f t="shared" si="100"/>
        <v>0</v>
      </c>
      <c r="I121" s="125">
        <f t="shared" si="97"/>
        <v>0</v>
      </c>
      <c r="J121" s="125">
        <f>G121*K$1</f>
        <v>0</v>
      </c>
      <c r="K121" s="153">
        <f>I121*K$1</f>
        <v>0</v>
      </c>
      <c r="L121" s="125">
        <f t="shared" si="98"/>
        <v>0</v>
      </c>
      <c r="M121" s="125">
        <f t="shared" si="99"/>
        <v>0</v>
      </c>
      <c r="N121" s="19"/>
      <c r="O121" s="19"/>
      <c r="P121" s="146"/>
      <c r="Q121" s="189"/>
      <c r="R121" s="189"/>
      <c r="S121" s="189"/>
      <c r="T121" s="189"/>
      <c r="U121" s="189"/>
      <c r="V121" s="189"/>
      <c r="W121" s="183">
        <f>J121</f>
        <v>0</v>
      </c>
      <c r="X121" s="183">
        <f>H121*$K$1</f>
        <v>0</v>
      </c>
    </row>
    <row r="122" spans="1:26" ht="14.25" customHeight="1" thickBot="1" x14ac:dyDescent="0.3">
      <c r="A122" s="201"/>
      <c r="B122" s="288">
        <v>1</v>
      </c>
      <c r="C122" s="288">
        <v>0</v>
      </c>
      <c r="D122" s="126">
        <f>'Data Ocupacion'!AJ38</f>
        <v>1</v>
      </c>
      <c r="E122" s="126">
        <f>'Data Ocupacion'!AK38</f>
        <v>0</v>
      </c>
      <c r="F122" s="125" t="s">
        <v>35</v>
      </c>
      <c r="G122" s="125">
        <f t="shared" si="96"/>
        <v>1</v>
      </c>
      <c r="H122" s="125">
        <f t="shared" si="100"/>
        <v>1</v>
      </c>
      <c r="I122" s="125">
        <f t="shared" si="97"/>
        <v>1</v>
      </c>
      <c r="J122" s="125">
        <f>G122*K$1</f>
        <v>25.4</v>
      </c>
      <c r="K122" s="153">
        <f>I122*K$1</f>
        <v>25.4</v>
      </c>
      <c r="L122" s="125">
        <f t="shared" si="98"/>
        <v>2641.6</v>
      </c>
      <c r="M122" s="125">
        <f t="shared" si="99"/>
        <v>104</v>
      </c>
      <c r="N122" s="19"/>
      <c r="O122" s="19"/>
      <c r="P122" s="146"/>
      <c r="Q122" s="189"/>
      <c r="R122" s="189"/>
      <c r="S122" s="189"/>
      <c r="T122" s="189"/>
      <c r="U122" s="189"/>
      <c r="V122" s="189"/>
      <c r="W122" s="183">
        <f>J122</f>
        <v>25.4</v>
      </c>
      <c r="X122" s="183">
        <f>H122*$K$1</f>
        <v>25.4</v>
      </c>
    </row>
    <row r="123" spans="1:26" s="124" customFormat="1" ht="15" customHeight="1" thickBot="1" x14ac:dyDescent="0.3">
      <c r="A123" s="20"/>
      <c r="B123" s="119">
        <f>SUM(B117:B122)</f>
        <v>220</v>
      </c>
      <c r="C123" s="119">
        <f>SUM(C117:C122)</f>
        <v>3</v>
      </c>
      <c r="D123" s="152">
        <f>SUM(D117:D122)</f>
        <v>220</v>
      </c>
      <c r="E123" s="152">
        <f>SUM(E117:E122)</f>
        <v>3</v>
      </c>
      <c r="F123" s="119"/>
      <c r="G123" s="119">
        <f t="shared" ref="G123:M123" si="101">SUM(G117:G122)</f>
        <v>226</v>
      </c>
      <c r="H123" s="119">
        <f t="shared" si="101"/>
        <v>226</v>
      </c>
      <c r="I123" s="119">
        <f t="shared" si="101"/>
        <v>223</v>
      </c>
      <c r="J123" s="120">
        <f>SUM(J117:J122)</f>
        <v>8832.3700000000008</v>
      </c>
      <c r="K123" s="119">
        <f t="shared" si="101"/>
        <v>8702.9800000000014</v>
      </c>
      <c r="L123" s="118">
        <f t="shared" si="101"/>
        <v>918566.47999999986</v>
      </c>
      <c r="M123" s="151">
        <f t="shared" si="101"/>
        <v>23192</v>
      </c>
      <c r="N123" s="123">
        <f>'Odometro-Kilometraje'!R81</f>
        <v>9286</v>
      </c>
      <c r="O123" s="21">
        <f>(W123/N123)*100</f>
        <v>95.114904156795191</v>
      </c>
      <c r="P123" s="192"/>
      <c r="Q123" s="182"/>
      <c r="R123" s="182"/>
      <c r="S123" s="182"/>
      <c r="T123" s="182"/>
      <c r="U123" s="182"/>
      <c r="V123" s="182"/>
      <c r="W123" s="193">
        <f>SUM(W117:W122)</f>
        <v>8832.3700000000008</v>
      </c>
      <c r="X123" s="193">
        <f>SUM(X117:X122)</f>
        <v>8818.35</v>
      </c>
      <c r="Z123" s="172">
        <f>J123-W123</f>
        <v>0</v>
      </c>
    </row>
    <row r="124" spans="1:26" ht="15.95" customHeight="1" x14ac:dyDescent="0.25">
      <c r="A124" s="60">
        <f>A117+1</f>
        <v>46071</v>
      </c>
      <c r="B124" s="288">
        <v>50</v>
      </c>
      <c r="C124" s="288">
        <v>29</v>
      </c>
      <c r="D124" s="126">
        <f>'Data Ocupacion'!AL33</f>
        <v>50</v>
      </c>
      <c r="E124" s="126">
        <f>'Data Ocupacion'!AM33</f>
        <v>29</v>
      </c>
      <c r="F124" s="217" t="s">
        <v>38</v>
      </c>
      <c r="G124" s="218">
        <f t="shared" ref="G124:G129" si="102">D124+E124*2</f>
        <v>108</v>
      </c>
      <c r="H124" s="125">
        <f>B124+C124*2</f>
        <v>108</v>
      </c>
      <c r="I124" s="219">
        <f t="shared" ref="I124:I129" si="103">D124+E124</f>
        <v>79</v>
      </c>
      <c r="J124" s="219">
        <f>G124*M$2</f>
        <v>4658.04</v>
      </c>
      <c r="K124" s="153">
        <f>I124*M$2</f>
        <v>3407.27</v>
      </c>
      <c r="L124" s="125">
        <f t="shared" ref="L124:L129" si="104">J124*104</f>
        <v>484436.16</v>
      </c>
      <c r="M124" s="125">
        <f t="shared" ref="M124:M129" si="105">I124*104</f>
        <v>8216</v>
      </c>
      <c r="N124" s="19"/>
      <c r="O124" s="19"/>
      <c r="P124" s="146"/>
      <c r="Q124" s="144">
        <v>1</v>
      </c>
      <c r="R124" s="144"/>
      <c r="S124" s="144"/>
      <c r="T124" s="376"/>
      <c r="U124" s="377"/>
      <c r="V124" s="377"/>
      <c r="W124" s="378">
        <f>J124-(Q124*($M$2-$K$1))-(R124*($M$2-$M$1))- (S124*($M$2-$I$2))+ (T124*($G$2))</f>
        <v>4640.3100000000004</v>
      </c>
      <c r="X124" s="378">
        <f>H124*$M$2</f>
        <v>4658.04</v>
      </c>
    </row>
    <row r="125" spans="1:26" ht="15" customHeight="1" x14ac:dyDescent="0.25">
      <c r="A125" s="356" t="s">
        <v>183</v>
      </c>
      <c r="B125" s="288">
        <v>49</v>
      </c>
      <c r="C125" s="288">
        <v>29</v>
      </c>
      <c r="D125" s="126">
        <f>'Data Ocupacion'!AL34</f>
        <v>49</v>
      </c>
      <c r="E125" s="126">
        <f>'Data Ocupacion'!AM34</f>
        <v>29</v>
      </c>
      <c r="F125" s="217" t="s">
        <v>52</v>
      </c>
      <c r="G125" s="218">
        <f t="shared" si="102"/>
        <v>107</v>
      </c>
      <c r="H125" s="125">
        <f t="shared" ref="H125:H129" si="106">B125+C125*2</f>
        <v>107</v>
      </c>
      <c r="I125" s="125">
        <f t="shared" si="103"/>
        <v>78</v>
      </c>
      <c r="J125" s="125">
        <f>G125*M$2</f>
        <v>4614.91</v>
      </c>
      <c r="K125" s="153">
        <f>I125*M$2</f>
        <v>3364.1400000000003</v>
      </c>
      <c r="L125" s="125">
        <f t="shared" si="104"/>
        <v>479950.64</v>
      </c>
      <c r="M125" s="125">
        <f t="shared" si="105"/>
        <v>8112</v>
      </c>
      <c r="N125" s="19"/>
      <c r="O125" s="19"/>
      <c r="P125" s="146"/>
      <c r="Q125" s="377"/>
      <c r="R125" s="377"/>
      <c r="S125" s="379"/>
      <c r="T125" s="144">
        <v>2</v>
      </c>
      <c r="U125" s="379"/>
      <c r="V125" s="30"/>
      <c r="W125" s="378">
        <f>J125-(Q125*($K$1)+(T125*($M$2-$K$1))+(U125*($M$2-$M$1)))</f>
        <v>4579.45</v>
      </c>
      <c r="X125" s="378">
        <f>H125*$M$2</f>
        <v>4614.91</v>
      </c>
    </row>
    <row r="126" spans="1:26" ht="15" customHeight="1" x14ac:dyDescent="0.25">
      <c r="A126" s="356"/>
      <c r="B126" s="288">
        <v>33</v>
      </c>
      <c r="C126" s="288">
        <v>0</v>
      </c>
      <c r="D126" s="138">
        <f>'Data Ocupacion'!AL35</f>
        <v>32</v>
      </c>
      <c r="E126" s="138">
        <f>'Data Ocupacion'!AM35</f>
        <v>0</v>
      </c>
      <c r="F126" s="217" t="s">
        <v>36</v>
      </c>
      <c r="G126" s="218">
        <f t="shared" si="102"/>
        <v>32</v>
      </c>
      <c r="H126" s="125">
        <f t="shared" si="106"/>
        <v>33</v>
      </c>
      <c r="I126" s="125">
        <f t="shared" si="103"/>
        <v>32</v>
      </c>
      <c r="J126" s="125">
        <f>G126*M$1</f>
        <v>931.52</v>
      </c>
      <c r="K126" s="153">
        <f>I126*M$1</f>
        <v>931.52</v>
      </c>
      <c r="L126" s="125">
        <f t="shared" si="104"/>
        <v>96878.080000000002</v>
      </c>
      <c r="M126" s="125">
        <f t="shared" si="105"/>
        <v>3328</v>
      </c>
      <c r="N126" s="19"/>
      <c r="O126" s="19"/>
      <c r="P126" s="146"/>
      <c r="Q126" s="238"/>
      <c r="R126" s="190"/>
      <c r="S126" s="225"/>
      <c r="T126" s="186"/>
      <c r="U126" s="189"/>
      <c r="V126" s="189"/>
      <c r="W126" s="183">
        <f>J126-(Q126*($M$1-$K$1))</f>
        <v>931.52</v>
      </c>
      <c r="X126" s="183">
        <f>H126*$M$1</f>
        <v>960.63</v>
      </c>
    </row>
    <row r="127" spans="1:26" ht="15" customHeight="1" x14ac:dyDescent="0.25">
      <c r="A127" s="356"/>
      <c r="B127" s="288">
        <v>32</v>
      </c>
      <c r="C127" s="288">
        <v>0</v>
      </c>
      <c r="D127" s="126">
        <f>'Data Ocupacion'!AL36</f>
        <v>32</v>
      </c>
      <c r="E127" s="126">
        <f>'Data Ocupacion'!AM36</f>
        <v>0</v>
      </c>
      <c r="F127" s="217" t="s">
        <v>53</v>
      </c>
      <c r="G127" s="218">
        <f t="shared" si="102"/>
        <v>32</v>
      </c>
      <c r="H127" s="125">
        <f t="shared" si="106"/>
        <v>32</v>
      </c>
      <c r="I127" s="125">
        <f t="shared" si="103"/>
        <v>32</v>
      </c>
      <c r="J127" s="125">
        <f>G127*M$1</f>
        <v>931.52</v>
      </c>
      <c r="K127" s="153">
        <f>I127*M$1</f>
        <v>931.52</v>
      </c>
      <c r="L127" s="125">
        <f t="shared" si="104"/>
        <v>96878.080000000002</v>
      </c>
      <c r="M127" s="125">
        <f t="shared" si="105"/>
        <v>3328</v>
      </c>
      <c r="N127" s="19"/>
      <c r="O127" s="19"/>
      <c r="P127" s="146"/>
      <c r="Q127" s="189"/>
      <c r="R127" s="189"/>
      <c r="S127" s="189"/>
      <c r="T127" s="189"/>
      <c r="U127" s="189"/>
      <c r="V127" s="189"/>
      <c r="W127" s="183">
        <f>J127</f>
        <v>931.52</v>
      </c>
      <c r="X127" s="183">
        <f>H127*$M$1</f>
        <v>931.52</v>
      </c>
    </row>
    <row r="128" spans="1:26" s="124" customFormat="1" ht="15" customHeight="1" x14ac:dyDescent="0.25">
      <c r="A128" s="356"/>
      <c r="B128" s="288">
        <v>0</v>
      </c>
      <c r="C128" s="288">
        <v>0</v>
      </c>
      <c r="D128" s="126">
        <f>'Data Ocupacion'!AL37</f>
        <v>0</v>
      </c>
      <c r="E128" s="126">
        <f>'Data Ocupacion'!AM37</f>
        <v>0</v>
      </c>
      <c r="F128" s="217" t="s">
        <v>122</v>
      </c>
      <c r="G128" s="218">
        <f t="shared" si="102"/>
        <v>0</v>
      </c>
      <c r="H128" s="125">
        <f t="shared" si="106"/>
        <v>0</v>
      </c>
      <c r="I128" s="125">
        <f t="shared" si="103"/>
        <v>0</v>
      </c>
      <c r="J128" s="220">
        <f>G128*K$1</f>
        <v>0</v>
      </c>
      <c r="K128" s="153">
        <f>I128*K$1</f>
        <v>0</v>
      </c>
      <c r="L128" s="125">
        <f t="shared" si="104"/>
        <v>0</v>
      </c>
      <c r="M128" s="125">
        <f t="shared" si="105"/>
        <v>0</v>
      </c>
      <c r="N128" s="19"/>
      <c r="O128" s="19"/>
      <c r="P128" s="146"/>
      <c r="Q128" s="189"/>
      <c r="R128" s="189"/>
      <c r="S128" s="189"/>
      <c r="T128" s="189"/>
      <c r="U128" s="189"/>
      <c r="V128" s="189"/>
      <c r="W128" s="183">
        <f>J128</f>
        <v>0</v>
      </c>
      <c r="X128" s="183">
        <f>H128*$K$1</f>
        <v>0</v>
      </c>
    </row>
    <row r="129" spans="1:26" s="124" customFormat="1" ht="15" customHeight="1" thickBot="1" x14ac:dyDescent="0.3">
      <c r="A129" s="356"/>
      <c r="B129" s="288">
        <v>1</v>
      </c>
      <c r="C129" s="288">
        <v>0</v>
      </c>
      <c r="D129" s="126">
        <f>'Data Ocupacion'!AL38</f>
        <v>1</v>
      </c>
      <c r="E129" s="126">
        <f>'Data Ocupacion'!AM38</f>
        <v>0</v>
      </c>
      <c r="F129" s="217" t="s">
        <v>35</v>
      </c>
      <c r="G129" s="218">
        <f t="shared" si="102"/>
        <v>1</v>
      </c>
      <c r="H129" s="125">
        <f t="shared" si="106"/>
        <v>1</v>
      </c>
      <c r="I129" s="221">
        <f t="shared" si="103"/>
        <v>1</v>
      </c>
      <c r="J129" s="221">
        <f>G129*K$1</f>
        <v>25.4</v>
      </c>
      <c r="K129" s="153">
        <f>I129*K$1</f>
        <v>25.4</v>
      </c>
      <c r="L129" s="125">
        <f t="shared" si="104"/>
        <v>2641.6</v>
      </c>
      <c r="M129" s="125">
        <f t="shared" si="105"/>
        <v>104</v>
      </c>
      <c r="N129" s="19"/>
      <c r="O129" s="19"/>
      <c r="P129" s="146"/>
      <c r="Q129" s="189"/>
      <c r="R129" s="189"/>
      <c r="S129" s="189"/>
      <c r="T129" s="189"/>
      <c r="U129" s="189"/>
      <c r="V129" s="189"/>
      <c r="W129" s="183">
        <f>J129</f>
        <v>25.4</v>
      </c>
      <c r="X129" s="183">
        <f>H129*$K$1</f>
        <v>25.4</v>
      </c>
    </row>
    <row r="130" spans="1:26" s="124" customFormat="1" ht="15" customHeight="1" thickBot="1" x14ac:dyDescent="0.3">
      <c r="A130" s="20"/>
      <c r="B130" s="119">
        <f>SUM(B124:B129)</f>
        <v>165</v>
      </c>
      <c r="C130" s="119">
        <f>SUM(C124:C129)</f>
        <v>58</v>
      </c>
      <c r="D130" s="148">
        <f>SUM(D124:D129)</f>
        <v>164</v>
      </c>
      <c r="E130" s="148">
        <f>SUM(E124:E129)</f>
        <v>58</v>
      </c>
      <c r="F130" s="119"/>
      <c r="G130" s="119">
        <f t="shared" ref="G130:M130" si="107">SUM(G124:G129)</f>
        <v>280</v>
      </c>
      <c r="H130" s="119">
        <f t="shared" si="107"/>
        <v>281</v>
      </c>
      <c r="I130" s="119">
        <f t="shared" si="107"/>
        <v>222</v>
      </c>
      <c r="J130" s="120">
        <f t="shared" si="107"/>
        <v>11161.390000000001</v>
      </c>
      <c r="K130" s="119">
        <f t="shared" si="107"/>
        <v>8659.85</v>
      </c>
      <c r="L130" s="119">
        <f t="shared" si="107"/>
        <v>1160784.5600000003</v>
      </c>
      <c r="M130" s="119">
        <f t="shared" si="107"/>
        <v>23088</v>
      </c>
      <c r="N130" s="123">
        <f>'Odometro-Kilometraje'!S81</f>
        <v>11606</v>
      </c>
      <c r="O130" s="21">
        <f>(W130/N130)*100</f>
        <v>95.710839221092542</v>
      </c>
      <c r="P130" s="192"/>
      <c r="Q130" s="182"/>
      <c r="R130" s="182"/>
      <c r="S130" s="182"/>
      <c r="T130" s="182"/>
      <c r="U130" s="182"/>
      <c r="V130" s="182"/>
      <c r="W130" s="193">
        <f>SUM(W124:W129)</f>
        <v>11108.2</v>
      </c>
      <c r="X130" s="193">
        <f>SUM(X124:X129)</f>
        <v>11190.5</v>
      </c>
      <c r="Z130" s="172">
        <f>J130-W130</f>
        <v>53.190000000000509</v>
      </c>
    </row>
    <row r="131" spans="1:26" ht="15" customHeight="1" x14ac:dyDescent="0.25">
      <c r="A131" s="60">
        <f>A124+1</f>
        <v>46072</v>
      </c>
      <c r="B131" s="288">
        <v>66</v>
      </c>
      <c r="C131" s="288">
        <v>13</v>
      </c>
      <c r="D131" s="126">
        <f>'Data Ocupacion'!AN33</f>
        <v>66</v>
      </c>
      <c r="E131" s="126">
        <f>'Data Ocupacion'!AO33</f>
        <v>13</v>
      </c>
      <c r="F131" s="217" t="s">
        <v>38</v>
      </c>
      <c r="G131" s="218">
        <f t="shared" ref="G131:G136" si="108">D131+E131*2</f>
        <v>92</v>
      </c>
      <c r="H131" s="125">
        <f>B131+C131*2</f>
        <v>92</v>
      </c>
      <c r="I131" s="219">
        <f t="shared" ref="I131:I136" si="109">D131+E131</f>
        <v>79</v>
      </c>
      <c r="J131" s="219">
        <f>G131*M$2</f>
        <v>3967.96</v>
      </c>
      <c r="K131" s="153">
        <f>I131*M$2</f>
        <v>3407.27</v>
      </c>
      <c r="L131" s="125">
        <f t="shared" ref="L131:L136" si="110">J131*104</f>
        <v>412667.84</v>
      </c>
      <c r="M131" s="125">
        <f t="shared" ref="M131:M136" si="111">I131*104</f>
        <v>8216</v>
      </c>
      <c r="N131" s="19"/>
      <c r="O131" s="19"/>
      <c r="P131" s="146"/>
      <c r="Q131" s="144"/>
      <c r="R131" s="144"/>
      <c r="S131" s="144"/>
      <c r="T131" s="376"/>
      <c r="U131" s="377"/>
      <c r="V131" s="377"/>
      <c r="W131" s="378">
        <f>J131-(Q131*($M$2-$K$1))-(R131*($M$2-$M$1))- (S131*($M$2-$I$2))+ (T131*($G$2))</f>
        <v>3967.96</v>
      </c>
      <c r="X131" s="378">
        <f>H131*$M$2</f>
        <v>3967.96</v>
      </c>
    </row>
    <row r="132" spans="1:26" ht="15" customHeight="1" x14ac:dyDescent="0.25">
      <c r="A132" s="356" t="s">
        <v>182</v>
      </c>
      <c r="B132" s="288">
        <v>64</v>
      </c>
      <c r="C132" s="288">
        <v>14</v>
      </c>
      <c r="D132" s="126">
        <f>'Data Ocupacion'!AN34</f>
        <v>64</v>
      </c>
      <c r="E132" s="126">
        <f>'Data Ocupacion'!AO34</f>
        <v>14</v>
      </c>
      <c r="F132" s="217" t="s">
        <v>52</v>
      </c>
      <c r="G132" s="218">
        <f t="shared" si="108"/>
        <v>92</v>
      </c>
      <c r="H132" s="125">
        <f t="shared" ref="H132:H136" si="112">B132+C132*2</f>
        <v>92</v>
      </c>
      <c r="I132" s="125">
        <f t="shared" si="109"/>
        <v>78</v>
      </c>
      <c r="J132" s="125">
        <f>G132*M$2</f>
        <v>3967.96</v>
      </c>
      <c r="K132" s="153">
        <f>I132*M$2</f>
        <v>3364.1400000000003</v>
      </c>
      <c r="L132" s="125">
        <f t="shared" si="110"/>
        <v>412667.84</v>
      </c>
      <c r="M132" s="125">
        <f t="shared" si="111"/>
        <v>8112</v>
      </c>
      <c r="N132" s="19"/>
      <c r="O132" s="19"/>
      <c r="P132" s="146"/>
      <c r="Q132" s="377"/>
      <c r="R132" s="377"/>
      <c r="S132" s="379"/>
      <c r="T132" s="144">
        <v>4</v>
      </c>
      <c r="U132" s="379"/>
      <c r="V132" s="30"/>
      <c r="W132" s="378">
        <f>J132-(T132*($M$2-$K$1)+(U132*($M$2-$M$1)))</f>
        <v>3897.04</v>
      </c>
      <c r="X132" s="378">
        <f>H132*$M$2</f>
        <v>3967.96</v>
      </c>
    </row>
    <row r="133" spans="1:26" ht="15" customHeight="1" x14ac:dyDescent="0.25">
      <c r="A133" s="356"/>
      <c r="B133" s="288">
        <v>33</v>
      </c>
      <c r="C133" s="288">
        <v>0</v>
      </c>
      <c r="D133" s="126">
        <f>'Data Ocupacion'!AN35</f>
        <v>33</v>
      </c>
      <c r="E133" s="126">
        <f>'Data Ocupacion'!AO35</f>
        <v>0</v>
      </c>
      <c r="F133" s="217" t="s">
        <v>36</v>
      </c>
      <c r="G133" s="218">
        <f t="shared" si="108"/>
        <v>33</v>
      </c>
      <c r="H133" s="125">
        <f t="shared" si="112"/>
        <v>33</v>
      </c>
      <c r="I133" s="125">
        <f t="shared" si="109"/>
        <v>33</v>
      </c>
      <c r="J133" s="125">
        <f>G133*M$1</f>
        <v>960.63</v>
      </c>
      <c r="K133" s="153">
        <f>I133*M$1</f>
        <v>960.63</v>
      </c>
      <c r="L133" s="125">
        <f t="shared" si="110"/>
        <v>99905.52</v>
      </c>
      <c r="M133" s="125">
        <f t="shared" si="111"/>
        <v>3432</v>
      </c>
      <c r="N133" s="19"/>
      <c r="O133" s="19"/>
      <c r="P133" s="146"/>
      <c r="Q133" s="238"/>
      <c r="R133" s="190"/>
      <c r="S133" s="225"/>
      <c r="T133" s="186"/>
      <c r="U133" s="189"/>
      <c r="V133" s="189"/>
      <c r="W133" s="183">
        <f>J133-(Q133*($M$1-$K$1))</f>
        <v>960.63</v>
      </c>
      <c r="X133" s="183">
        <f>H133*$M$1</f>
        <v>960.63</v>
      </c>
    </row>
    <row r="134" spans="1:26" ht="15" customHeight="1" x14ac:dyDescent="0.25">
      <c r="A134" s="356"/>
      <c r="B134" s="288">
        <v>32</v>
      </c>
      <c r="C134" s="288">
        <v>0</v>
      </c>
      <c r="D134" s="126">
        <f>'Data Ocupacion'!AN36</f>
        <v>32</v>
      </c>
      <c r="E134" s="126">
        <f>'Data Ocupacion'!AO36</f>
        <v>0</v>
      </c>
      <c r="F134" s="217" t="s">
        <v>53</v>
      </c>
      <c r="G134" s="218">
        <f t="shared" si="108"/>
        <v>32</v>
      </c>
      <c r="H134" s="125">
        <f t="shared" si="112"/>
        <v>32</v>
      </c>
      <c r="I134" s="125">
        <f t="shared" si="109"/>
        <v>32</v>
      </c>
      <c r="J134" s="125">
        <f>G134*M$1</f>
        <v>931.52</v>
      </c>
      <c r="K134" s="153">
        <f>I134*M$1</f>
        <v>931.52</v>
      </c>
      <c r="L134" s="125">
        <f t="shared" si="110"/>
        <v>96878.080000000002</v>
      </c>
      <c r="M134" s="125">
        <f t="shared" si="111"/>
        <v>3328</v>
      </c>
      <c r="N134" s="19"/>
      <c r="O134" s="19"/>
      <c r="P134" s="146"/>
      <c r="Q134" s="189"/>
      <c r="R134" s="189"/>
      <c r="S134" s="189"/>
      <c r="T134" s="189"/>
      <c r="U134" s="189"/>
      <c r="V134" s="189"/>
      <c r="W134" s="183">
        <f>J134</f>
        <v>931.52</v>
      </c>
      <c r="X134" s="183">
        <f>H134*$M$1</f>
        <v>931.52</v>
      </c>
    </row>
    <row r="135" spans="1:26" ht="15" customHeight="1" x14ac:dyDescent="0.25">
      <c r="A135" s="356"/>
      <c r="B135" s="288">
        <v>0</v>
      </c>
      <c r="C135" s="288">
        <v>0</v>
      </c>
      <c r="D135" s="126">
        <f>'Data Ocupacion'!AN37</f>
        <v>0</v>
      </c>
      <c r="E135" s="126">
        <f>'Data Ocupacion'!AO37</f>
        <v>0</v>
      </c>
      <c r="F135" s="217" t="s">
        <v>122</v>
      </c>
      <c r="G135" s="218">
        <f t="shared" si="108"/>
        <v>0</v>
      </c>
      <c r="H135" s="125">
        <f t="shared" si="112"/>
        <v>0</v>
      </c>
      <c r="I135" s="125">
        <f t="shared" si="109"/>
        <v>0</v>
      </c>
      <c r="J135" s="220">
        <f>G135*K$1</f>
        <v>0</v>
      </c>
      <c r="K135" s="153">
        <f>I135*K$1</f>
        <v>0</v>
      </c>
      <c r="L135" s="125">
        <f t="shared" si="110"/>
        <v>0</v>
      </c>
      <c r="M135" s="125">
        <f t="shared" si="111"/>
        <v>0</v>
      </c>
      <c r="N135" s="19"/>
      <c r="O135" s="19"/>
      <c r="P135" s="146"/>
      <c r="Q135" s="189"/>
      <c r="R135" s="189"/>
      <c r="S135" s="189"/>
      <c r="T135" s="189"/>
      <c r="U135" s="189"/>
      <c r="V135" s="189"/>
      <c r="W135" s="183">
        <f>J135</f>
        <v>0</v>
      </c>
      <c r="X135" s="183">
        <f>H135*$K$1</f>
        <v>0</v>
      </c>
    </row>
    <row r="136" spans="1:26" ht="15" customHeight="1" thickBot="1" x14ac:dyDescent="0.3">
      <c r="A136" s="356"/>
      <c r="B136" s="288">
        <v>1</v>
      </c>
      <c r="C136" s="288">
        <v>0</v>
      </c>
      <c r="D136" s="126">
        <f>'Data Ocupacion'!AN38</f>
        <v>1</v>
      </c>
      <c r="E136" s="126">
        <f>'Data Ocupacion'!AO38</f>
        <v>0</v>
      </c>
      <c r="F136" s="217" t="s">
        <v>35</v>
      </c>
      <c r="G136" s="218">
        <f t="shared" si="108"/>
        <v>1</v>
      </c>
      <c r="H136" s="125">
        <f t="shared" si="112"/>
        <v>1</v>
      </c>
      <c r="I136" s="221">
        <f t="shared" si="109"/>
        <v>1</v>
      </c>
      <c r="J136" s="221">
        <f>G136*K$1</f>
        <v>25.4</v>
      </c>
      <c r="K136" s="153">
        <f>I136*K$1</f>
        <v>25.4</v>
      </c>
      <c r="L136" s="125">
        <f t="shared" si="110"/>
        <v>2641.6</v>
      </c>
      <c r="M136" s="125">
        <f t="shared" si="111"/>
        <v>104</v>
      </c>
      <c r="N136" s="19"/>
      <c r="O136" s="19"/>
      <c r="P136" s="146"/>
      <c r="Q136" s="189"/>
      <c r="R136" s="189"/>
      <c r="S136" s="189"/>
      <c r="T136" s="189"/>
      <c r="U136" s="189"/>
      <c r="V136" s="189"/>
      <c r="W136" s="183">
        <f>J136</f>
        <v>25.4</v>
      </c>
      <c r="X136" s="183">
        <f>H136*$K$1</f>
        <v>25.4</v>
      </c>
    </row>
    <row r="137" spans="1:26" s="124" customFormat="1" ht="15" customHeight="1" thickBot="1" x14ac:dyDescent="0.3">
      <c r="A137" s="20"/>
      <c r="B137" s="119">
        <f>SUM(B131:B136)</f>
        <v>196</v>
      </c>
      <c r="C137" s="119">
        <f>SUM(C131:C136)</f>
        <v>27</v>
      </c>
      <c r="D137" s="148">
        <f>SUM(D131:D136)</f>
        <v>196</v>
      </c>
      <c r="E137" s="148">
        <f>SUM(E131:E136)</f>
        <v>27</v>
      </c>
      <c r="F137" s="119"/>
      <c r="G137" s="119">
        <f t="shared" ref="G137:M137" si="113">SUM(G131:G136)</f>
        <v>250</v>
      </c>
      <c r="H137" s="119">
        <f t="shared" si="113"/>
        <v>250</v>
      </c>
      <c r="I137" s="119">
        <f t="shared" si="113"/>
        <v>223</v>
      </c>
      <c r="J137" s="120">
        <f t="shared" si="113"/>
        <v>9853.4699999999993</v>
      </c>
      <c r="K137" s="119">
        <f t="shared" si="113"/>
        <v>8688.9599999999991</v>
      </c>
      <c r="L137" s="119">
        <f t="shared" si="113"/>
        <v>1024760.88</v>
      </c>
      <c r="M137" s="119">
        <f t="shared" si="113"/>
        <v>23192</v>
      </c>
      <c r="N137" s="123">
        <f>'Odometro-Kilometraje'!T81</f>
        <v>10206</v>
      </c>
      <c r="O137" s="21">
        <f>(W137/N137)*100</f>
        <v>95.850970017636669</v>
      </c>
      <c r="P137" s="192"/>
      <c r="Q137" s="182"/>
      <c r="R137" s="182"/>
      <c r="S137" s="182"/>
      <c r="T137" s="182"/>
      <c r="U137" s="182"/>
      <c r="V137" s="182"/>
      <c r="W137" s="193">
        <f>SUM(W131:W136)</f>
        <v>9782.5499999999993</v>
      </c>
      <c r="X137" s="193">
        <f>SUM(X131:X136)</f>
        <v>9853.4699999999993</v>
      </c>
      <c r="Z137" s="172">
        <f>J137-W137</f>
        <v>70.920000000000073</v>
      </c>
    </row>
    <row r="138" spans="1:26" ht="15.95" customHeight="1" x14ac:dyDescent="0.25">
      <c r="A138" s="60">
        <f>A131+1</f>
        <v>46073</v>
      </c>
      <c r="B138" s="288">
        <v>78</v>
      </c>
      <c r="C138" s="288">
        <v>1</v>
      </c>
      <c r="D138" s="126">
        <f>'Data Ocupacion'!AP33</f>
        <v>78</v>
      </c>
      <c r="E138" s="126">
        <f>'Data Ocupacion'!AQ33</f>
        <v>1</v>
      </c>
      <c r="F138" s="217" t="s">
        <v>38</v>
      </c>
      <c r="G138" s="218">
        <f t="shared" ref="G138:G143" si="114">D138+E138*2</f>
        <v>80</v>
      </c>
      <c r="H138" s="125">
        <f>B138+C138*2</f>
        <v>80</v>
      </c>
      <c r="I138" s="219">
        <f t="shared" ref="I138:I143" si="115">D138+E138</f>
        <v>79</v>
      </c>
      <c r="J138" s="219">
        <f>G138*M$2</f>
        <v>3450.4</v>
      </c>
      <c r="K138" s="153">
        <f>I138*M$2</f>
        <v>3407.27</v>
      </c>
      <c r="L138" s="125">
        <f t="shared" ref="L138:L143" si="116">J138*104</f>
        <v>358841.60000000003</v>
      </c>
      <c r="M138" s="125">
        <f t="shared" ref="M138:M143" si="117">I138*104</f>
        <v>8216</v>
      </c>
      <c r="N138" s="19"/>
      <c r="O138" s="19"/>
      <c r="P138" s="146"/>
      <c r="Q138" s="144"/>
      <c r="R138" s="144"/>
      <c r="S138" s="144"/>
      <c r="T138" s="376"/>
      <c r="U138" s="377"/>
      <c r="V138" s="377"/>
      <c r="W138" s="378">
        <f>J138-(Q138*($M$2-$K$1))-(R138*($M$2-$M$1))- (S138*($M$2-$I$2))+ (T138*($G$2))</f>
        <v>3450.4</v>
      </c>
      <c r="X138" s="378">
        <f>H138*$M$2</f>
        <v>3450.4</v>
      </c>
    </row>
    <row r="139" spans="1:26" ht="15" customHeight="1" x14ac:dyDescent="0.25">
      <c r="A139" s="247"/>
      <c r="B139" s="288">
        <v>76</v>
      </c>
      <c r="C139" s="288">
        <v>2</v>
      </c>
      <c r="D139" s="126">
        <f>'Data Ocupacion'!AP34</f>
        <v>76</v>
      </c>
      <c r="E139" s="126">
        <f>'Data Ocupacion'!AQ34</f>
        <v>2</v>
      </c>
      <c r="F139" s="217" t="s">
        <v>52</v>
      </c>
      <c r="G139" s="218">
        <f t="shared" si="114"/>
        <v>80</v>
      </c>
      <c r="H139" s="125">
        <f t="shared" ref="H139:H143" si="118">B139+C139*2</f>
        <v>80</v>
      </c>
      <c r="I139" s="125">
        <f t="shared" si="115"/>
        <v>78</v>
      </c>
      <c r="J139" s="125">
        <f>G139*M$2</f>
        <v>3450.4</v>
      </c>
      <c r="K139" s="153">
        <f>I139*M$2</f>
        <v>3364.1400000000003</v>
      </c>
      <c r="L139" s="125">
        <f t="shared" si="116"/>
        <v>358841.60000000003</v>
      </c>
      <c r="M139" s="125">
        <f t="shared" si="117"/>
        <v>8112</v>
      </c>
      <c r="N139" s="19"/>
      <c r="O139" s="19"/>
      <c r="P139" s="146"/>
      <c r="Q139" s="377"/>
      <c r="R139" s="377"/>
      <c r="S139" s="379"/>
      <c r="T139" s="144"/>
      <c r="U139" s="379"/>
      <c r="V139" s="30"/>
      <c r="W139" s="378">
        <f>J139-(T139*($M$2-$K$1)+(U139*($M$2-$M$1)))</f>
        <v>3450.4</v>
      </c>
      <c r="X139" s="378">
        <f>H139*$M$2</f>
        <v>3450.4</v>
      </c>
    </row>
    <row r="140" spans="1:26" ht="15" customHeight="1" x14ac:dyDescent="0.25">
      <c r="A140" s="247"/>
      <c r="B140" s="288">
        <v>33</v>
      </c>
      <c r="C140" s="288">
        <v>0</v>
      </c>
      <c r="D140" s="126">
        <f>'Data Ocupacion'!AP35</f>
        <v>31</v>
      </c>
      <c r="E140" s="126">
        <f>'Data Ocupacion'!AQ35</f>
        <v>0</v>
      </c>
      <c r="F140" s="217" t="s">
        <v>36</v>
      </c>
      <c r="G140" s="218">
        <f t="shared" si="114"/>
        <v>31</v>
      </c>
      <c r="H140" s="125">
        <f t="shared" si="118"/>
        <v>33</v>
      </c>
      <c r="I140" s="125">
        <f t="shared" si="115"/>
        <v>31</v>
      </c>
      <c r="J140" s="125">
        <f>G140*M$1</f>
        <v>902.41</v>
      </c>
      <c r="K140" s="153">
        <f>I140*M$1</f>
        <v>902.41</v>
      </c>
      <c r="L140" s="125">
        <f t="shared" si="116"/>
        <v>93850.64</v>
      </c>
      <c r="M140" s="125">
        <f t="shared" si="117"/>
        <v>3224</v>
      </c>
      <c r="N140" s="19"/>
      <c r="O140" s="19"/>
      <c r="P140" s="146"/>
      <c r="Q140" s="238"/>
      <c r="R140" s="190"/>
      <c r="S140" s="225"/>
      <c r="T140" s="186"/>
      <c r="U140" s="189"/>
      <c r="V140" s="189"/>
      <c r="W140" s="183">
        <f>J140-(Q140*($M$1-$K$1))</f>
        <v>902.41</v>
      </c>
      <c r="X140" s="183">
        <f>H140*$M$1</f>
        <v>960.63</v>
      </c>
    </row>
    <row r="141" spans="1:26" ht="15" customHeight="1" x14ac:dyDescent="0.25">
      <c r="A141" s="247"/>
      <c r="B141" s="288">
        <v>32</v>
      </c>
      <c r="C141" s="288">
        <v>0</v>
      </c>
      <c r="D141" s="126">
        <f>'Data Ocupacion'!AP36</f>
        <v>31</v>
      </c>
      <c r="E141" s="126">
        <f>'Data Ocupacion'!AQ36</f>
        <v>0</v>
      </c>
      <c r="F141" s="217" t="s">
        <v>53</v>
      </c>
      <c r="G141" s="218">
        <f t="shared" si="114"/>
        <v>31</v>
      </c>
      <c r="H141" s="125">
        <f t="shared" si="118"/>
        <v>32</v>
      </c>
      <c r="I141" s="125">
        <f t="shared" si="115"/>
        <v>31</v>
      </c>
      <c r="J141" s="125">
        <f>G141*M$1</f>
        <v>902.41</v>
      </c>
      <c r="K141" s="153">
        <f>I141*M$1</f>
        <v>902.41</v>
      </c>
      <c r="L141" s="125">
        <f t="shared" si="116"/>
        <v>93850.64</v>
      </c>
      <c r="M141" s="125">
        <f t="shared" si="117"/>
        <v>3224</v>
      </c>
      <c r="N141" s="19"/>
      <c r="O141" s="19"/>
      <c r="P141" s="146"/>
      <c r="Q141" s="189"/>
      <c r="R141" s="189"/>
      <c r="S141" s="189"/>
      <c r="T141" s="189"/>
      <c r="U141" s="189"/>
      <c r="V141" s="189"/>
      <c r="W141" s="183">
        <f>J141</f>
        <v>902.41</v>
      </c>
      <c r="X141" s="183">
        <f>H141*$M$1</f>
        <v>931.52</v>
      </c>
    </row>
    <row r="142" spans="1:26" ht="15" customHeight="1" x14ac:dyDescent="0.25">
      <c r="A142" s="247"/>
      <c r="B142" s="288">
        <v>0</v>
      </c>
      <c r="C142" s="288">
        <v>0</v>
      </c>
      <c r="D142" s="126">
        <f>'Data Ocupacion'!AP37</f>
        <v>0</v>
      </c>
      <c r="E142" s="126">
        <f>'Data Ocupacion'!AQ37</f>
        <v>0</v>
      </c>
      <c r="F142" s="217" t="s">
        <v>122</v>
      </c>
      <c r="G142" s="218">
        <f t="shared" si="114"/>
        <v>0</v>
      </c>
      <c r="H142" s="125">
        <f t="shared" si="118"/>
        <v>0</v>
      </c>
      <c r="I142" s="125">
        <f t="shared" si="115"/>
        <v>0</v>
      </c>
      <c r="J142" s="220">
        <f>G142*K$1</f>
        <v>0</v>
      </c>
      <c r="K142" s="153">
        <f>I142*K$1</f>
        <v>0</v>
      </c>
      <c r="L142" s="125">
        <f t="shared" si="116"/>
        <v>0</v>
      </c>
      <c r="M142" s="125">
        <f t="shared" si="117"/>
        <v>0</v>
      </c>
      <c r="N142" s="19"/>
      <c r="O142" s="19"/>
      <c r="P142" s="146"/>
      <c r="Q142" s="189"/>
      <c r="R142" s="189"/>
      <c r="S142" s="189"/>
      <c r="T142" s="189"/>
      <c r="U142" s="189"/>
      <c r="V142" s="189"/>
      <c r="W142" s="183">
        <f>J142</f>
        <v>0</v>
      </c>
      <c r="X142" s="183">
        <f>H142*$K$1</f>
        <v>0</v>
      </c>
    </row>
    <row r="143" spans="1:26" ht="15" customHeight="1" thickBot="1" x14ac:dyDescent="0.3">
      <c r="A143" s="247"/>
      <c r="B143" s="288">
        <v>1</v>
      </c>
      <c r="C143" s="288">
        <v>0</v>
      </c>
      <c r="D143" s="126">
        <f>'Data Ocupacion'!AP38</f>
        <v>1</v>
      </c>
      <c r="E143" s="126">
        <f>'Data Ocupacion'!AQ38</f>
        <v>0</v>
      </c>
      <c r="F143" s="217" t="s">
        <v>35</v>
      </c>
      <c r="G143" s="218">
        <f t="shared" si="114"/>
        <v>1</v>
      </c>
      <c r="H143" s="125">
        <f t="shared" si="118"/>
        <v>1</v>
      </c>
      <c r="I143" s="221">
        <f t="shared" si="115"/>
        <v>1</v>
      </c>
      <c r="J143" s="221">
        <f>G143*K$1</f>
        <v>25.4</v>
      </c>
      <c r="K143" s="153">
        <f>I143*K$1</f>
        <v>25.4</v>
      </c>
      <c r="L143" s="125">
        <f t="shared" si="116"/>
        <v>2641.6</v>
      </c>
      <c r="M143" s="125">
        <f t="shared" si="117"/>
        <v>104</v>
      </c>
      <c r="N143" s="19"/>
      <c r="O143" s="19"/>
      <c r="P143" s="146"/>
      <c r="Q143" s="189"/>
      <c r="R143" s="189"/>
      <c r="S143" s="189"/>
      <c r="T143" s="189"/>
      <c r="U143" s="189"/>
      <c r="V143" s="189"/>
      <c r="W143" s="183">
        <f>J143</f>
        <v>25.4</v>
      </c>
      <c r="X143" s="183">
        <f>H143*$K$1</f>
        <v>25.4</v>
      </c>
    </row>
    <row r="144" spans="1:26" s="124" customFormat="1" ht="15" customHeight="1" thickBot="1" x14ac:dyDescent="0.3">
      <c r="A144" s="20"/>
      <c r="B144" s="119">
        <f>SUM(B138:B143)</f>
        <v>220</v>
      </c>
      <c r="C144" s="119">
        <f>SUM(C138:C143)</f>
        <v>3</v>
      </c>
      <c r="D144" s="148">
        <f>SUM(D138:D143)</f>
        <v>217</v>
      </c>
      <c r="E144" s="148">
        <f>SUM(E138:E143)</f>
        <v>3</v>
      </c>
      <c r="F144" s="119"/>
      <c r="G144" s="119">
        <f t="shared" ref="G144:M144" si="119">SUM(G138:G143)</f>
        <v>223</v>
      </c>
      <c r="H144" s="119">
        <f t="shared" si="119"/>
        <v>226</v>
      </c>
      <c r="I144" s="119">
        <f t="shared" si="119"/>
        <v>220</v>
      </c>
      <c r="J144" s="120">
        <f t="shared" si="119"/>
        <v>8731.02</v>
      </c>
      <c r="K144" s="119">
        <f t="shared" si="119"/>
        <v>8601.6299999999992</v>
      </c>
      <c r="L144" s="119">
        <f t="shared" si="119"/>
        <v>908026.08000000007</v>
      </c>
      <c r="M144" s="119">
        <f t="shared" si="119"/>
        <v>22880</v>
      </c>
      <c r="N144" s="123">
        <f>'Odometro-Kilometraje'!U81</f>
        <v>9129</v>
      </c>
      <c r="O144" s="21">
        <f>(W144/N144)*100</f>
        <v>95.640486362142624</v>
      </c>
      <c r="P144" s="192"/>
      <c r="Q144" s="182"/>
      <c r="R144" s="182"/>
      <c r="S144" s="182"/>
      <c r="T144" s="182"/>
      <c r="U144" s="182"/>
      <c r="V144" s="182"/>
      <c r="W144" s="193">
        <f>SUM(W138:W143)</f>
        <v>8731.02</v>
      </c>
      <c r="X144" s="193">
        <f>SUM(X138:X143)</f>
        <v>8818.35</v>
      </c>
      <c r="Z144" s="172">
        <f>J144-W144</f>
        <v>0</v>
      </c>
    </row>
    <row r="145" spans="1:26" x14ac:dyDescent="0.25">
      <c r="A145" s="60">
        <f>A138+1</f>
        <v>46074</v>
      </c>
      <c r="B145" s="116">
        <v>69</v>
      </c>
      <c r="C145" s="116">
        <v>3</v>
      </c>
      <c r="D145" s="147">
        <f>'Data Ocupacion'!AR33</f>
        <v>69</v>
      </c>
      <c r="E145" s="147">
        <f>'Data Ocupacion'!AS33</f>
        <v>3</v>
      </c>
      <c r="F145" s="116" t="s">
        <v>38</v>
      </c>
      <c r="G145" s="116">
        <f t="shared" ref="G145:G150" si="120">D145+E145*2</f>
        <v>75</v>
      </c>
      <c r="H145" s="116">
        <f>B145+C145*2</f>
        <v>75</v>
      </c>
      <c r="I145" s="116">
        <f t="shared" ref="I145:I150" si="121">D145+E145</f>
        <v>72</v>
      </c>
      <c r="J145" s="116">
        <f>G145*M$2</f>
        <v>3234.75</v>
      </c>
      <c r="K145" s="153">
        <f>I145*M$2</f>
        <v>3105.36</v>
      </c>
      <c r="L145" s="116">
        <f t="shared" ref="L145:L150" si="122">J145*104</f>
        <v>336414</v>
      </c>
      <c r="M145" s="116">
        <f t="shared" ref="M145:M150" si="123">I145*104</f>
        <v>7488</v>
      </c>
      <c r="N145" s="19"/>
      <c r="O145" s="19"/>
      <c r="P145" s="146"/>
      <c r="Q145" s="144"/>
      <c r="R145" s="144"/>
      <c r="S145" s="144"/>
      <c r="T145" s="376"/>
      <c r="U145" s="377"/>
      <c r="V145" s="377"/>
      <c r="W145" s="378">
        <f>J145-(Q145*($M$2-$K$1))-(R145*($M$2-$M$1))- (S145*($M$2-$I$2))+ (T145*($G$2))</f>
        <v>3234.75</v>
      </c>
      <c r="X145" s="378">
        <f>H145*$M$2</f>
        <v>3234.75</v>
      </c>
    </row>
    <row r="146" spans="1:26" ht="15" customHeight="1" x14ac:dyDescent="0.25">
      <c r="A146" s="247"/>
      <c r="B146" s="116">
        <v>75</v>
      </c>
      <c r="C146" s="116">
        <v>0</v>
      </c>
      <c r="D146" s="147">
        <f>'Data Ocupacion'!AR34</f>
        <v>75</v>
      </c>
      <c r="E146" s="147">
        <f>'Data Ocupacion'!AS34</f>
        <v>0</v>
      </c>
      <c r="F146" s="116" t="s">
        <v>52</v>
      </c>
      <c r="G146" s="116">
        <f t="shared" si="120"/>
        <v>75</v>
      </c>
      <c r="H146" s="116">
        <f t="shared" ref="H146:H150" si="124">B146+C146*2</f>
        <v>75</v>
      </c>
      <c r="I146" s="116">
        <f t="shared" si="121"/>
        <v>75</v>
      </c>
      <c r="J146" s="116">
        <f>G146*M$2</f>
        <v>3234.75</v>
      </c>
      <c r="K146" s="153">
        <f>I146*M$2</f>
        <v>3234.75</v>
      </c>
      <c r="L146" s="116">
        <f t="shared" si="122"/>
        <v>336414</v>
      </c>
      <c r="M146" s="116">
        <f t="shared" si="123"/>
        <v>7800</v>
      </c>
      <c r="N146" s="19"/>
      <c r="O146" s="19"/>
      <c r="P146" s="146"/>
      <c r="Q146" s="377"/>
      <c r="R146" s="377"/>
      <c r="S146" s="379"/>
      <c r="T146" s="144"/>
      <c r="U146" s="379"/>
      <c r="V146" s="30"/>
      <c r="W146" s="378">
        <f>J146-(T146*($M$2-$K$1)+(U146*($M$2-$M$1)))</f>
        <v>3234.75</v>
      </c>
      <c r="X146" s="378">
        <f>H146*$M$2</f>
        <v>3234.75</v>
      </c>
    </row>
    <row r="147" spans="1:26" x14ac:dyDescent="0.25">
      <c r="A147" s="247"/>
      <c r="B147" s="116">
        <v>0</v>
      </c>
      <c r="C147" s="116">
        <v>0</v>
      </c>
      <c r="D147" s="147">
        <f>'Data Ocupacion'!AR35</f>
        <v>0</v>
      </c>
      <c r="E147" s="147">
        <f>'Data Ocupacion'!AS35</f>
        <v>0</v>
      </c>
      <c r="F147" s="116" t="s">
        <v>36</v>
      </c>
      <c r="G147" s="116">
        <f t="shared" si="120"/>
        <v>0</v>
      </c>
      <c r="H147" s="116">
        <f t="shared" si="124"/>
        <v>0</v>
      </c>
      <c r="I147" s="116">
        <f t="shared" si="121"/>
        <v>0</v>
      </c>
      <c r="J147" s="116">
        <f>G147*M$1</f>
        <v>0</v>
      </c>
      <c r="K147" s="153">
        <f>I147*M$1</f>
        <v>0</v>
      </c>
      <c r="L147" s="116">
        <f t="shared" si="122"/>
        <v>0</v>
      </c>
      <c r="M147" s="116">
        <f t="shared" si="123"/>
        <v>0</v>
      </c>
      <c r="N147" s="19"/>
      <c r="O147" s="19"/>
      <c r="P147" s="146"/>
      <c r="Q147" s="238"/>
      <c r="R147" s="190"/>
      <c r="S147" s="225"/>
      <c r="T147" s="186"/>
      <c r="U147" s="189"/>
      <c r="V147" s="189"/>
      <c r="W147" s="183">
        <f>J147-(Q147*($M$1-$K$1))</f>
        <v>0</v>
      </c>
      <c r="X147" s="183">
        <f>H147*$M$1</f>
        <v>0</v>
      </c>
    </row>
    <row r="148" spans="1:26" x14ac:dyDescent="0.25">
      <c r="A148" s="247"/>
      <c r="B148" s="116">
        <v>0</v>
      </c>
      <c r="C148" s="116">
        <v>0</v>
      </c>
      <c r="D148" s="147">
        <f>'Data Ocupacion'!AR36</f>
        <v>0</v>
      </c>
      <c r="E148" s="147">
        <f>'Data Ocupacion'!AS36</f>
        <v>0</v>
      </c>
      <c r="F148" s="116" t="s">
        <v>53</v>
      </c>
      <c r="G148" s="116">
        <f t="shared" si="120"/>
        <v>0</v>
      </c>
      <c r="H148" s="116">
        <f t="shared" si="124"/>
        <v>0</v>
      </c>
      <c r="I148" s="116">
        <f t="shared" si="121"/>
        <v>0</v>
      </c>
      <c r="J148" s="116">
        <f>G148*M$1</f>
        <v>0</v>
      </c>
      <c r="K148" s="153">
        <f>I148*M$1</f>
        <v>0</v>
      </c>
      <c r="L148" s="116">
        <f t="shared" si="122"/>
        <v>0</v>
      </c>
      <c r="M148" s="116">
        <f t="shared" si="123"/>
        <v>0</v>
      </c>
      <c r="N148" s="19"/>
      <c r="O148" s="19"/>
      <c r="P148" s="236"/>
      <c r="Q148" s="189"/>
      <c r="R148" s="189"/>
      <c r="S148" s="189"/>
      <c r="T148" s="189"/>
      <c r="U148" s="189"/>
      <c r="V148" s="189"/>
      <c r="W148" s="183">
        <f>J148</f>
        <v>0</v>
      </c>
      <c r="X148" s="183">
        <f>H148*$M$1</f>
        <v>0</v>
      </c>
    </row>
    <row r="149" spans="1:26" ht="15" customHeight="1" x14ac:dyDescent="0.25">
      <c r="A149" s="247"/>
      <c r="B149" s="116">
        <v>0</v>
      </c>
      <c r="C149" s="116">
        <v>0</v>
      </c>
      <c r="D149" s="147">
        <f>'Data Ocupacion'!AR37</f>
        <v>0</v>
      </c>
      <c r="E149" s="147">
        <f>'Data Ocupacion'!AS37</f>
        <v>0</v>
      </c>
      <c r="F149" s="116" t="s">
        <v>122</v>
      </c>
      <c r="G149" s="116">
        <f t="shared" si="120"/>
        <v>0</v>
      </c>
      <c r="H149" s="116">
        <f t="shared" si="124"/>
        <v>0</v>
      </c>
      <c r="I149" s="116">
        <f t="shared" si="121"/>
        <v>0</v>
      </c>
      <c r="J149" s="116">
        <f>G149*K$1</f>
        <v>0</v>
      </c>
      <c r="K149" s="153">
        <f>I149*K$1</f>
        <v>0</v>
      </c>
      <c r="L149" s="116">
        <f t="shared" si="122"/>
        <v>0</v>
      </c>
      <c r="M149" s="116">
        <f t="shared" si="123"/>
        <v>0</v>
      </c>
      <c r="N149" s="19"/>
      <c r="O149" s="19"/>
      <c r="P149" s="146"/>
      <c r="Q149" s="189"/>
      <c r="R149" s="189"/>
      <c r="S149" s="189"/>
      <c r="T149" s="189"/>
      <c r="U149" s="189"/>
      <c r="V149" s="189"/>
      <c r="W149" s="183">
        <f>J149</f>
        <v>0</v>
      </c>
      <c r="X149" s="183">
        <f>H149*$K$1</f>
        <v>0</v>
      </c>
    </row>
    <row r="150" spans="1:26" ht="15.75" thickBot="1" x14ac:dyDescent="0.3">
      <c r="A150" s="247"/>
      <c r="B150" s="116">
        <v>0</v>
      </c>
      <c r="C150" s="116">
        <v>0</v>
      </c>
      <c r="D150" s="147">
        <f>'Data Ocupacion'!AR38</f>
        <v>0</v>
      </c>
      <c r="E150" s="147">
        <f>'Data Ocupacion'!AS38</f>
        <v>0</v>
      </c>
      <c r="F150" s="116" t="s">
        <v>35</v>
      </c>
      <c r="G150" s="116">
        <f t="shared" si="120"/>
        <v>0</v>
      </c>
      <c r="H150" s="116">
        <f t="shared" si="124"/>
        <v>0</v>
      </c>
      <c r="I150" s="116">
        <f t="shared" si="121"/>
        <v>0</v>
      </c>
      <c r="J150" s="116">
        <f>G150*K$1</f>
        <v>0</v>
      </c>
      <c r="K150" s="153">
        <f>I150*K$1</f>
        <v>0</v>
      </c>
      <c r="L150" s="116">
        <f t="shared" si="122"/>
        <v>0</v>
      </c>
      <c r="M150" s="116">
        <f t="shared" si="123"/>
        <v>0</v>
      </c>
      <c r="N150" s="19"/>
      <c r="O150" s="19"/>
      <c r="P150" s="146"/>
      <c r="Q150" s="189"/>
      <c r="R150" s="189"/>
      <c r="S150" s="189"/>
      <c r="T150" s="189"/>
      <c r="U150" s="189"/>
      <c r="V150" s="189"/>
      <c r="W150" s="183">
        <f>J150</f>
        <v>0</v>
      </c>
      <c r="X150" s="183">
        <f>H150*$K$1</f>
        <v>0</v>
      </c>
    </row>
    <row r="151" spans="1:26" s="124" customFormat="1" ht="15.75" thickBot="1" x14ac:dyDescent="0.3">
      <c r="A151" s="20"/>
      <c r="B151" s="119">
        <f>SUM(B145:B150)</f>
        <v>144</v>
      </c>
      <c r="C151" s="119">
        <f>SUM(C145:C150)</f>
        <v>3</v>
      </c>
      <c r="D151" s="152">
        <f>SUM(D145:D150)</f>
        <v>144</v>
      </c>
      <c r="E151" s="152">
        <f>SUM(E145:E150)</f>
        <v>3</v>
      </c>
      <c r="F151" s="119"/>
      <c r="G151" s="119">
        <f t="shared" ref="G151:M151" si="125">SUM(G145:G150)</f>
        <v>150</v>
      </c>
      <c r="H151" s="119">
        <f t="shared" si="125"/>
        <v>150</v>
      </c>
      <c r="I151" s="119">
        <f t="shared" si="125"/>
        <v>147</v>
      </c>
      <c r="J151" s="120">
        <f>SUM(J145:J150)</f>
        <v>6469.5</v>
      </c>
      <c r="K151" s="119">
        <f t="shared" si="125"/>
        <v>6340.1100000000006</v>
      </c>
      <c r="L151" s="118">
        <f t="shared" si="125"/>
        <v>672828</v>
      </c>
      <c r="M151" s="151">
        <f t="shared" si="125"/>
        <v>15288</v>
      </c>
      <c r="N151" s="123">
        <f>'Odometro-Kilometraje'!V81</f>
        <v>6487</v>
      </c>
      <c r="O151" s="21">
        <f>(W151/N151)*100</f>
        <v>99.730229690149528</v>
      </c>
      <c r="P151" s="192"/>
      <c r="Q151" s="182"/>
      <c r="R151" s="182"/>
      <c r="S151" s="182"/>
      <c r="T151" s="182"/>
      <c r="U151" s="182"/>
      <c r="V151" s="182"/>
      <c r="W151" s="193">
        <f>SUM(W145:W150)</f>
        <v>6469.5</v>
      </c>
      <c r="X151" s="193">
        <f>SUM(X145:X150)</f>
        <v>6469.5</v>
      </c>
      <c r="Z151" s="172">
        <f>J151-W151</f>
        <v>0</v>
      </c>
    </row>
    <row r="152" spans="1:26" x14ac:dyDescent="0.25">
      <c r="A152" s="60">
        <f>A145+1</f>
        <v>46075</v>
      </c>
      <c r="B152" s="215">
        <v>42</v>
      </c>
      <c r="C152" s="215">
        <v>12</v>
      </c>
      <c r="D152" s="138">
        <f>'Data Ocupacion'!AT33</f>
        <v>42</v>
      </c>
      <c r="E152" s="138">
        <f>'Data Ocupacion'!AU33</f>
        <v>12</v>
      </c>
      <c r="F152" s="215" t="s">
        <v>38</v>
      </c>
      <c r="G152" s="215">
        <f t="shared" ref="G152:G157" si="126">D152+E152*2</f>
        <v>66</v>
      </c>
      <c r="H152" s="215">
        <f>B152+C152*2</f>
        <v>66</v>
      </c>
      <c r="I152" s="215">
        <f t="shared" ref="I152:I157" si="127">D152+E152</f>
        <v>54</v>
      </c>
      <c r="J152" s="215">
        <f>G152*M$2</f>
        <v>2846.5800000000004</v>
      </c>
      <c r="K152" s="153">
        <f>I152*M$2</f>
        <v>2329.02</v>
      </c>
      <c r="L152" s="215">
        <f t="shared" ref="L152:L157" si="128">J152*104</f>
        <v>296044.32000000007</v>
      </c>
      <c r="M152" s="215">
        <f t="shared" ref="M152:M157" si="129">I152*104</f>
        <v>5616</v>
      </c>
      <c r="N152" s="19"/>
      <c r="O152" s="19"/>
      <c r="P152" s="146"/>
      <c r="Q152" s="144"/>
      <c r="R152" s="144"/>
      <c r="S152" s="144"/>
      <c r="T152" s="376"/>
      <c r="U152" s="377"/>
      <c r="V152" s="377"/>
      <c r="W152" s="378">
        <f>J152-(Q152*($M$2-$K$1))-(R152*($M$2-$M$1))- (S152*($M$2-$I$2))+ (T152*($G$2))</f>
        <v>2846.5800000000004</v>
      </c>
      <c r="X152" s="378">
        <f>H152*$M$2</f>
        <v>2846.5800000000004</v>
      </c>
    </row>
    <row r="153" spans="1:26" ht="15" customHeight="1" x14ac:dyDescent="0.25">
      <c r="A153" s="247"/>
      <c r="B153" s="215">
        <v>48</v>
      </c>
      <c r="C153" s="215">
        <v>9</v>
      </c>
      <c r="D153" s="138">
        <f>'Data Ocupacion'!AT34</f>
        <v>48</v>
      </c>
      <c r="E153" s="138">
        <f>'Data Ocupacion'!AU34</f>
        <v>9</v>
      </c>
      <c r="F153" s="215" t="s">
        <v>52</v>
      </c>
      <c r="G153" s="215">
        <f t="shared" si="126"/>
        <v>66</v>
      </c>
      <c r="H153" s="215">
        <f t="shared" ref="H153:H157" si="130">B153+C153*2</f>
        <v>66</v>
      </c>
      <c r="I153" s="215">
        <f t="shared" si="127"/>
        <v>57</v>
      </c>
      <c r="J153" s="215">
        <f>G153*M$2</f>
        <v>2846.5800000000004</v>
      </c>
      <c r="K153" s="153">
        <f>I153*M$2</f>
        <v>2458.4100000000003</v>
      </c>
      <c r="L153" s="215">
        <f t="shared" si="128"/>
        <v>296044.32000000007</v>
      </c>
      <c r="M153" s="215">
        <f t="shared" si="129"/>
        <v>5928</v>
      </c>
      <c r="N153" s="19"/>
      <c r="O153" s="19"/>
      <c r="P153" s="146"/>
      <c r="Q153" s="377"/>
      <c r="R153" s="377"/>
      <c r="S153" s="379"/>
      <c r="T153" s="144"/>
      <c r="U153" s="379"/>
      <c r="V153" s="30"/>
      <c r="W153" s="378">
        <f>J153-(T153*($M$2-$K$1)+(U153*($M$2-$M$1)))</f>
        <v>2846.5800000000004</v>
      </c>
      <c r="X153" s="378">
        <f>H153*$M$2</f>
        <v>2846.5800000000004</v>
      </c>
      <c r="Y153" s="124"/>
      <c r="Z153" s="124"/>
    </row>
    <row r="154" spans="1:26" ht="14.45" customHeight="1" x14ac:dyDescent="0.25">
      <c r="A154" s="356" t="s">
        <v>184</v>
      </c>
      <c r="B154" s="215">
        <v>0</v>
      </c>
      <c r="C154" s="215">
        <v>0</v>
      </c>
      <c r="D154" s="138">
        <f>'Data Ocupacion'!AT35</f>
        <v>0</v>
      </c>
      <c r="E154" s="138">
        <f>'Data Ocupacion'!AU35</f>
        <v>0</v>
      </c>
      <c r="F154" s="215" t="s">
        <v>36</v>
      </c>
      <c r="G154" s="215">
        <f t="shared" si="126"/>
        <v>0</v>
      </c>
      <c r="H154" s="215">
        <f t="shared" si="130"/>
        <v>0</v>
      </c>
      <c r="I154" s="215">
        <f t="shared" si="127"/>
        <v>0</v>
      </c>
      <c r="J154" s="215">
        <f>G154*M$1</f>
        <v>0</v>
      </c>
      <c r="K154" s="153">
        <f>I154*M$1</f>
        <v>0</v>
      </c>
      <c r="L154" s="215">
        <f t="shared" si="128"/>
        <v>0</v>
      </c>
      <c r="M154" s="215">
        <f t="shared" si="129"/>
        <v>0</v>
      </c>
      <c r="N154" s="19"/>
      <c r="O154" s="19"/>
      <c r="P154" s="146"/>
      <c r="Q154" s="238"/>
      <c r="R154" s="187"/>
      <c r="S154" s="204"/>
      <c r="T154" s="188"/>
      <c r="U154" s="189"/>
      <c r="V154" s="189"/>
      <c r="W154" s="183">
        <f>J154-(Q154*($M$1-$K$1))</f>
        <v>0</v>
      </c>
      <c r="X154" s="183">
        <f>H154*$M$1</f>
        <v>0</v>
      </c>
      <c r="Y154" s="124"/>
      <c r="Z154" s="124"/>
    </row>
    <row r="155" spans="1:26" ht="15" customHeight="1" x14ac:dyDescent="0.25">
      <c r="A155" s="356"/>
      <c r="B155" s="215">
        <v>0</v>
      </c>
      <c r="C155" s="215">
        <v>0</v>
      </c>
      <c r="D155" s="138">
        <f>'Data Ocupacion'!AT36</f>
        <v>0</v>
      </c>
      <c r="E155" s="138">
        <f>'Data Ocupacion'!AU36</f>
        <v>0</v>
      </c>
      <c r="F155" s="215" t="s">
        <v>53</v>
      </c>
      <c r="G155" s="215">
        <f t="shared" si="126"/>
        <v>0</v>
      </c>
      <c r="H155" s="215">
        <f t="shared" si="130"/>
        <v>0</v>
      </c>
      <c r="I155" s="215">
        <f t="shared" si="127"/>
        <v>0</v>
      </c>
      <c r="J155" s="215">
        <f>G155*M$1</f>
        <v>0</v>
      </c>
      <c r="K155" s="153">
        <f>I155*M$1</f>
        <v>0</v>
      </c>
      <c r="L155" s="215">
        <f t="shared" si="128"/>
        <v>0</v>
      </c>
      <c r="M155" s="215">
        <f t="shared" si="129"/>
        <v>0</v>
      </c>
      <c r="N155" s="19"/>
      <c r="O155" s="19"/>
      <c r="P155" s="146"/>
      <c r="Q155" s="189"/>
      <c r="R155" s="189"/>
      <c r="S155" s="189"/>
      <c r="T155" s="189"/>
      <c r="U155" s="189"/>
      <c r="V155" s="189"/>
      <c r="W155" s="183">
        <f>J155</f>
        <v>0</v>
      </c>
      <c r="X155" s="183">
        <f>H155*$M$1</f>
        <v>0</v>
      </c>
      <c r="Y155" s="124"/>
      <c r="Z155" s="124"/>
    </row>
    <row r="156" spans="1:26" ht="13.5" customHeight="1" x14ac:dyDescent="0.25">
      <c r="A156" s="356"/>
      <c r="B156" s="215">
        <v>0</v>
      </c>
      <c r="C156" s="215">
        <v>0</v>
      </c>
      <c r="D156" s="138">
        <f>'Data Ocupacion'!AT37</f>
        <v>0</v>
      </c>
      <c r="E156" s="138">
        <f>'Data Ocupacion'!AU37</f>
        <v>0</v>
      </c>
      <c r="F156" s="215" t="s">
        <v>122</v>
      </c>
      <c r="G156" s="215">
        <f t="shared" si="126"/>
        <v>0</v>
      </c>
      <c r="H156" s="215">
        <f t="shared" si="130"/>
        <v>0</v>
      </c>
      <c r="I156" s="215">
        <f t="shared" si="127"/>
        <v>0</v>
      </c>
      <c r="J156" s="215">
        <f>G156*K$1</f>
        <v>0</v>
      </c>
      <c r="K156" s="153">
        <f>I156*M$1</f>
        <v>0</v>
      </c>
      <c r="L156" s="215">
        <f t="shared" si="128"/>
        <v>0</v>
      </c>
      <c r="M156" s="215">
        <f t="shared" si="129"/>
        <v>0</v>
      </c>
      <c r="N156" s="19"/>
      <c r="O156" s="19"/>
      <c r="P156" s="146"/>
      <c r="Q156" s="189"/>
      <c r="R156" s="189"/>
      <c r="S156" s="189"/>
      <c r="T156" s="189"/>
      <c r="U156" s="189"/>
      <c r="V156" s="189"/>
      <c r="W156" s="183">
        <f>J156</f>
        <v>0</v>
      </c>
      <c r="X156" s="183">
        <f>H156*$K$1</f>
        <v>0</v>
      </c>
      <c r="Y156" s="124"/>
      <c r="Z156" s="124"/>
    </row>
    <row r="157" spans="1:26" ht="15.75" thickBot="1" x14ac:dyDescent="0.3">
      <c r="A157" s="247"/>
      <c r="B157" s="215">
        <v>0</v>
      </c>
      <c r="C157" s="215">
        <v>0</v>
      </c>
      <c r="D157" s="314">
        <f>'Data Ocupacion'!AT38</f>
        <v>0</v>
      </c>
      <c r="E157" s="138">
        <f>'Data Ocupacion'!AU38</f>
        <v>0</v>
      </c>
      <c r="F157" s="215" t="s">
        <v>35</v>
      </c>
      <c r="G157" s="215">
        <f t="shared" si="126"/>
        <v>0</v>
      </c>
      <c r="H157" s="215">
        <f t="shared" si="130"/>
        <v>0</v>
      </c>
      <c r="I157" s="215">
        <f t="shared" si="127"/>
        <v>0</v>
      </c>
      <c r="J157" s="215">
        <f>G157*K$1</f>
        <v>0</v>
      </c>
      <c r="K157" s="153">
        <f>I157*K$1</f>
        <v>0</v>
      </c>
      <c r="L157" s="215">
        <f t="shared" si="128"/>
        <v>0</v>
      </c>
      <c r="M157" s="215">
        <f t="shared" si="129"/>
        <v>0</v>
      </c>
      <c r="N157" s="19"/>
      <c r="O157" s="19"/>
      <c r="P157" s="146"/>
      <c r="Q157" s="189"/>
      <c r="R157" s="189"/>
      <c r="S157" s="189"/>
      <c r="T157" s="189"/>
      <c r="U157" s="189"/>
      <c r="V157" s="189"/>
      <c r="W157" s="183">
        <f>J157</f>
        <v>0</v>
      </c>
      <c r="X157" s="183">
        <f>H157*$K$1</f>
        <v>0</v>
      </c>
    </row>
    <row r="158" spans="1:26" s="124" customFormat="1" ht="15.75" thickBot="1" x14ac:dyDescent="0.3">
      <c r="A158" s="20"/>
      <c r="B158" s="119">
        <f>SUM(B152:B157)</f>
        <v>90</v>
      </c>
      <c r="C158" s="119">
        <f>SUM(C152:C157)</f>
        <v>21</v>
      </c>
      <c r="D158" s="152">
        <f>SUM(D152:D157)</f>
        <v>90</v>
      </c>
      <c r="E158" s="152">
        <f>SUM(E152:E157)</f>
        <v>21</v>
      </c>
      <c r="F158" s="119"/>
      <c r="G158" s="119">
        <f t="shared" ref="G158:M158" si="131">SUM(G152:G157)</f>
        <v>132</v>
      </c>
      <c r="H158" s="119">
        <f t="shared" si="131"/>
        <v>132</v>
      </c>
      <c r="I158" s="119">
        <f t="shared" si="131"/>
        <v>111</v>
      </c>
      <c r="J158" s="120">
        <f t="shared" si="131"/>
        <v>5693.1600000000008</v>
      </c>
      <c r="K158" s="119">
        <f t="shared" si="131"/>
        <v>4787.43</v>
      </c>
      <c r="L158" s="118">
        <f t="shared" si="131"/>
        <v>592088.64000000013</v>
      </c>
      <c r="M158" s="151">
        <f t="shared" si="131"/>
        <v>11544</v>
      </c>
      <c r="N158" s="123">
        <f>'Odometro-Kilometraje'!W81</f>
        <v>5761</v>
      </c>
      <c r="O158" s="21">
        <f>(W158/N158)*100</f>
        <v>98.822426662037856</v>
      </c>
      <c r="P158" s="192"/>
      <c r="Q158" s="182"/>
      <c r="R158" s="182"/>
      <c r="S158" s="182"/>
      <c r="T158" s="182"/>
      <c r="U158" s="182"/>
      <c r="V158" s="182"/>
      <c r="W158" s="193">
        <f>SUM(W152:W157)</f>
        <v>5693.1600000000008</v>
      </c>
      <c r="X158" s="193">
        <f>SUM(X152:X157)</f>
        <v>5693.1600000000008</v>
      </c>
      <c r="Z158" s="172">
        <f>J158-W158</f>
        <v>0</v>
      </c>
    </row>
    <row r="159" spans="1:26" s="124" customFormat="1" x14ac:dyDescent="0.25">
      <c r="A159" s="60">
        <f>A152+1</f>
        <v>46076</v>
      </c>
      <c r="B159" s="288">
        <v>76</v>
      </c>
      <c r="C159" s="288">
        <v>3</v>
      </c>
      <c r="D159" s="126">
        <f>'Data Ocupacion'!AV33</f>
        <v>76</v>
      </c>
      <c r="E159" s="126">
        <f>'Data Ocupacion'!AW33</f>
        <v>3</v>
      </c>
      <c r="F159" s="217" t="s">
        <v>38</v>
      </c>
      <c r="G159" s="218">
        <f t="shared" ref="G159:G166" si="132">D159+E159*2</f>
        <v>82</v>
      </c>
      <c r="H159" s="125">
        <f>B159+C159*2</f>
        <v>82</v>
      </c>
      <c r="I159" s="219">
        <f t="shared" ref="I159:I164" si="133">D159+E159</f>
        <v>79</v>
      </c>
      <c r="J159" s="219">
        <f>G159*M$2</f>
        <v>3536.6600000000003</v>
      </c>
      <c r="K159" s="153">
        <f>I159*M$2</f>
        <v>3407.27</v>
      </c>
      <c r="L159" s="125">
        <f t="shared" ref="L159:L164" si="134">J159*104</f>
        <v>367812.64</v>
      </c>
      <c r="M159" s="125">
        <f t="shared" ref="M159:M164" si="135">I159*104</f>
        <v>8216</v>
      </c>
      <c r="N159" s="19"/>
      <c r="O159" s="19"/>
      <c r="P159" s="146"/>
      <c r="Q159" s="144"/>
      <c r="R159" s="144"/>
      <c r="S159" s="144"/>
      <c r="T159" s="376"/>
      <c r="U159" s="377"/>
      <c r="V159" s="377"/>
      <c r="W159" s="378">
        <f>J159-(Q159*($M$2-$K$1))-(R159*($M$2-$M$1))- (S159*($M$2-$I$2))+ (T159*($G$2))</f>
        <v>3536.6600000000003</v>
      </c>
      <c r="X159" s="378">
        <f>H159*$M$2</f>
        <v>3536.6600000000003</v>
      </c>
    </row>
    <row r="160" spans="1:26" ht="15" customHeight="1" x14ac:dyDescent="0.25">
      <c r="A160" s="353" t="s">
        <v>185</v>
      </c>
      <c r="B160" s="288">
        <v>74</v>
      </c>
      <c r="C160" s="288">
        <v>4</v>
      </c>
      <c r="D160" s="126">
        <f>'Data Ocupacion'!AV34</f>
        <v>74</v>
      </c>
      <c r="E160" s="126">
        <f>'Data Ocupacion'!AW34</f>
        <v>4</v>
      </c>
      <c r="F160" s="217" t="s">
        <v>52</v>
      </c>
      <c r="G160" s="218">
        <f t="shared" si="132"/>
        <v>82</v>
      </c>
      <c r="H160" s="125">
        <f t="shared" ref="H160:H166" si="136">B160+C160*2</f>
        <v>82</v>
      </c>
      <c r="I160" s="125">
        <f t="shared" si="133"/>
        <v>78</v>
      </c>
      <c r="J160" s="125">
        <f>G160*M$2</f>
        <v>3536.6600000000003</v>
      </c>
      <c r="K160" s="153">
        <f>I160*M$2</f>
        <v>3364.1400000000003</v>
      </c>
      <c r="L160" s="125">
        <f t="shared" si="134"/>
        <v>367812.64</v>
      </c>
      <c r="M160" s="125">
        <f t="shared" si="135"/>
        <v>8112</v>
      </c>
      <c r="N160" s="19"/>
      <c r="O160" s="19"/>
      <c r="P160" s="146"/>
      <c r="Q160" s="377"/>
      <c r="R160" s="377"/>
      <c r="S160" s="379"/>
      <c r="T160" s="144">
        <v>3</v>
      </c>
      <c r="U160" s="379"/>
      <c r="V160" s="30"/>
      <c r="W160" s="378">
        <f>J160-(T160*($M$2-$K$1)+(U160*($M$2-$M$1)))</f>
        <v>3483.4700000000003</v>
      </c>
      <c r="X160" s="378">
        <f>H160*$M$2</f>
        <v>3536.6600000000003</v>
      </c>
      <c r="Y160" s="172"/>
    </row>
    <row r="161" spans="1:26" ht="15" customHeight="1" x14ac:dyDescent="0.25">
      <c r="A161" s="353"/>
      <c r="B161" s="288">
        <v>33</v>
      </c>
      <c r="C161" s="288">
        <v>0</v>
      </c>
      <c r="D161" s="126">
        <f>'Data Ocupacion'!AV35</f>
        <v>33</v>
      </c>
      <c r="E161" s="126">
        <f>'Data Ocupacion'!AW35</f>
        <v>0</v>
      </c>
      <c r="F161" s="217" t="s">
        <v>36</v>
      </c>
      <c r="G161" s="218">
        <f t="shared" si="132"/>
        <v>33</v>
      </c>
      <c r="H161" s="125">
        <f t="shared" si="136"/>
        <v>33</v>
      </c>
      <c r="I161" s="125">
        <f t="shared" si="133"/>
        <v>33</v>
      </c>
      <c r="J161" s="125">
        <f>G161*M$1</f>
        <v>960.63</v>
      </c>
      <c r="K161" s="153">
        <f>I161*M$1</f>
        <v>960.63</v>
      </c>
      <c r="L161" s="125">
        <f t="shared" si="134"/>
        <v>99905.52</v>
      </c>
      <c r="M161" s="125">
        <f t="shared" si="135"/>
        <v>3432</v>
      </c>
      <c r="N161" s="19"/>
      <c r="O161" s="19"/>
      <c r="P161" s="146"/>
      <c r="Q161" s="184"/>
      <c r="R161" s="187"/>
      <c r="S161" s="204"/>
      <c r="T161" s="188"/>
      <c r="U161" s="189"/>
      <c r="V161" s="189"/>
      <c r="W161" s="183">
        <f>J161-(Q161*($M$1-$K$1))</f>
        <v>960.63</v>
      </c>
      <c r="X161" s="183">
        <f>H161*$M$1</f>
        <v>960.63</v>
      </c>
    </row>
    <row r="162" spans="1:26" ht="15" customHeight="1" x14ac:dyDescent="0.25">
      <c r="A162" s="353"/>
      <c r="B162" s="288">
        <v>32</v>
      </c>
      <c r="C162" s="288">
        <v>0</v>
      </c>
      <c r="D162" s="126">
        <f>'Data Ocupacion'!AV36</f>
        <v>32</v>
      </c>
      <c r="E162" s="126">
        <f>'Data Ocupacion'!AW36</f>
        <v>0</v>
      </c>
      <c r="F162" s="217" t="s">
        <v>53</v>
      </c>
      <c r="G162" s="218">
        <f t="shared" si="132"/>
        <v>32</v>
      </c>
      <c r="H162" s="125">
        <f t="shared" si="136"/>
        <v>32</v>
      </c>
      <c r="I162" s="125">
        <f t="shared" si="133"/>
        <v>32</v>
      </c>
      <c r="J162" s="125">
        <f>G162*M$1</f>
        <v>931.52</v>
      </c>
      <c r="K162" s="153">
        <f>I162*M$1</f>
        <v>931.52</v>
      </c>
      <c r="L162" s="125">
        <f t="shared" si="134"/>
        <v>96878.080000000002</v>
      </c>
      <c r="M162" s="125">
        <f t="shared" si="135"/>
        <v>3328</v>
      </c>
      <c r="N162" s="19"/>
      <c r="O162" s="19"/>
      <c r="P162" s="146"/>
      <c r="Q162" s="189"/>
      <c r="R162" s="189"/>
      <c r="S162" s="189"/>
      <c r="T162" s="189"/>
      <c r="U162" s="189"/>
      <c r="V162" s="189"/>
      <c r="W162" s="183">
        <f>J162</f>
        <v>931.52</v>
      </c>
      <c r="X162" s="183">
        <f>H162*$M$1</f>
        <v>931.52</v>
      </c>
    </row>
    <row r="163" spans="1:26" ht="13.5" customHeight="1" x14ac:dyDescent="0.25">
      <c r="A163" s="353"/>
      <c r="B163" s="288">
        <v>0</v>
      </c>
      <c r="C163" s="288">
        <v>0</v>
      </c>
      <c r="D163" s="126">
        <f>'Data Ocupacion'!AV37</f>
        <v>0</v>
      </c>
      <c r="E163" s="126">
        <f>'Data Ocupacion'!AW37</f>
        <v>0</v>
      </c>
      <c r="F163" s="217" t="s">
        <v>122</v>
      </c>
      <c r="G163" s="218">
        <f t="shared" si="132"/>
        <v>0</v>
      </c>
      <c r="H163" s="125">
        <f t="shared" si="136"/>
        <v>0</v>
      </c>
      <c r="I163" s="125">
        <f t="shared" si="133"/>
        <v>0</v>
      </c>
      <c r="J163" s="220">
        <f>G163*K$1</f>
        <v>0</v>
      </c>
      <c r="K163" s="153">
        <f>I163*K$1</f>
        <v>0</v>
      </c>
      <c r="L163" s="125">
        <f t="shared" si="134"/>
        <v>0</v>
      </c>
      <c r="M163" s="125">
        <f t="shared" si="135"/>
        <v>0</v>
      </c>
      <c r="N163" s="19"/>
      <c r="O163" s="19"/>
      <c r="P163" s="146"/>
      <c r="Q163" s="189"/>
      <c r="R163" s="189"/>
      <c r="S163" s="189"/>
      <c r="T163" s="189"/>
      <c r="U163" s="189"/>
      <c r="V163" s="189"/>
      <c r="W163" s="183">
        <f>J163</f>
        <v>0</v>
      </c>
      <c r="X163" s="183">
        <f>H163*$K$1</f>
        <v>0</v>
      </c>
    </row>
    <row r="164" spans="1:26" ht="12.6" customHeight="1" x14ac:dyDescent="0.25">
      <c r="A164" s="353"/>
      <c r="B164" s="288">
        <v>1</v>
      </c>
      <c r="C164" s="288">
        <v>0</v>
      </c>
      <c r="D164" s="126">
        <f>'Data Ocupacion'!AV38</f>
        <v>1</v>
      </c>
      <c r="E164" s="126">
        <f>'Data Ocupacion'!AW38</f>
        <v>0</v>
      </c>
      <c r="F164" s="217" t="s">
        <v>35</v>
      </c>
      <c r="G164" s="218">
        <f t="shared" si="132"/>
        <v>1</v>
      </c>
      <c r="H164" s="125">
        <f t="shared" si="136"/>
        <v>1</v>
      </c>
      <c r="I164" s="221">
        <f t="shared" si="133"/>
        <v>1</v>
      </c>
      <c r="J164" s="221">
        <f>G164*K$1</f>
        <v>25.4</v>
      </c>
      <c r="K164" s="153">
        <f>I164*K$1</f>
        <v>25.4</v>
      </c>
      <c r="L164" s="125">
        <f t="shared" si="134"/>
        <v>2641.6</v>
      </c>
      <c r="M164" s="125">
        <f t="shared" si="135"/>
        <v>104</v>
      </c>
      <c r="N164" s="19"/>
      <c r="O164" s="19"/>
      <c r="P164" s="146"/>
      <c r="Q164" s="189"/>
      <c r="R164" s="189"/>
      <c r="S164" s="189"/>
      <c r="T164" s="189"/>
      <c r="U164" s="189"/>
      <c r="V164" s="189"/>
      <c r="W164" s="183">
        <f>J164</f>
        <v>25.4</v>
      </c>
      <c r="X164" s="183">
        <f>H164*$K$1</f>
        <v>25.4</v>
      </c>
    </row>
    <row r="165" spans="1:26" s="124" customFormat="1" ht="12.6" customHeight="1" x14ac:dyDescent="0.25">
      <c r="A165" s="353"/>
      <c r="B165" s="288">
        <v>3</v>
      </c>
      <c r="C165" s="288">
        <v>1</v>
      </c>
      <c r="D165" s="126">
        <f>'Data Ocupacion'!AV39</f>
        <v>3</v>
      </c>
      <c r="E165" s="126">
        <f>'Data Ocupacion'!AW39</f>
        <v>1</v>
      </c>
      <c r="F165" s="288" t="s">
        <v>152</v>
      </c>
      <c r="G165" s="218">
        <f t="shared" si="132"/>
        <v>5</v>
      </c>
      <c r="H165" s="125">
        <f t="shared" si="136"/>
        <v>5</v>
      </c>
      <c r="I165" s="221">
        <f t="shared" ref="I165:I166" si="137">D165+E165</f>
        <v>4</v>
      </c>
      <c r="J165" s="221">
        <f>G165*S$1</f>
        <v>174.14999999999998</v>
      </c>
      <c r="K165" s="153">
        <f>I165*S$1</f>
        <v>139.32</v>
      </c>
      <c r="L165" s="125">
        <f t="shared" ref="L165:L166" si="138">J165*104</f>
        <v>18111.599999999999</v>
      </c>
      <c r="M165" s="125">
        <f t="shared" ref="M165:M166" si="139">I165*104</f>
        <v>416</v>
      </c>
      <c r="N165" s="19"/>
      <c r="O165" s="19"/>
      <c r="P165" s="146"/>
      <c r="Q165" s="189"/>
      <c r="R165" s="189"/>
      <c r="S165" s="189"/>
      <c r="T165" s="189"/>
      <c r="U165" s="189"/>
      <c r="V165" s="189"/>
      <c r="W165" s="183">
        <f t="shared" ref="W165:W166" si="140">J165</f>
        <v>174.14999999999998</v>
      </c>
      <c r="X165" s="183">
        <f>H165*$S$1</f>
        <v>174.14999999999998</v>
      </c>
    </row>
    <row r="166" spans="1:26" s="124" customFormat="1" ht="12.6" customHeight="1" thickBot="1" x14ac:dyDescent="0.3">
      <c r="A166" s="353"/>
      <c r="B166" s="288">
        <v>2</v>
      </c>
      <c r="C166" s="288">
        <v>0</v>
      </c>
      <c r="D166" s="126">
        <f>'Data Ocupacion'!AV40</f>
        <v>2</v>
      </c>
      <c r="E166" s="126">
        <f>'Data Ocupacion'!AW40</f>
        <v>0</v>
      </c>
      <c r="F166" s="288" t="s">
        <v>151</v>
      </c>
      <c r="G166" s="218">
        <f t="shared" si="132"/>
        <v>2</v>
      </c>
      <c r="H166" s="125">
        <f t="shared" si="136"/>
        <v>2</v>
      </c>
      <c r="I166" s="221">
        <f t="shared" si="137"/>
        <v>2</v>
      </c>
      <c r="J166" s="221">
        <f>G166*Q$1</f>
        <v>16.600000000000001</v>
      </c>
      <c r="K166" s="153">
        <f>I166*Q$1</f>
        <v>16.600000000000001</v>
      </c>
      <c r="L166" s="125">
        <f t="shared" si="138"/>
        <v>1726.4</v>
      </c>
      <c r="M166" s="125">
        <f t="shared" si="139"/>
        <v>208</v>
      </c>
      <c r="N166" s="19"/>
      <c r="O166" s="19"/>
      <c r="P166" s="146"/>
      <c r="Q166" s="189"/>
      <c r="R166" s="189"/>
      <c r="S166" s="189"/>
      <c r="T166" s="189"/>
      <c r="U166" s="189"/>
      <c r="V166" s="189"/>
      <c r="W166" s="183">
        <f t="shared" si="140"/>
        <v>16.600000000000001</v>
      </c>
      <c r="X166" s="183">
        <f>H166*$Q$1</f>
        <v>16.600000000000001</v>
      </c>
    </row>
    <row r="167" spans="1:26" s="124" customFormat="1" ht="15" customHeight="1" thickBot="1" x14ac:dyDescent="0.3">
      <c r="A167" s="20"/>
      <c r="B167" s="119">
        <f>SUM(B159:B166)</f>
        <v>221</v>
      </c>
      <c r="C167" s="119">
        <f>SUM(C159:C166)</f>
        <v>8</v>
      </c>
      <c r="D167" s="148">
        <f>SUM(D159:D166)</f>
        <v>221</v>
      </c>
      <c r="E167" s="148">
        <f>SUM(E159:E166)</f>
        <v>8</v>
      </c>
      <c r="F167" s="119"/>
      <c r="G167" s="119">
        <f t="shared" ref="G167:M167" si="141">SUM(G159:G166)</f>
        <v>237</v>
      </c>
      <c r="H167" s="119">
        <f t="shared" si="141"/>
        <v>237</v>
      </c>
      <c r="I167" s="119">
        <f t="shared" si="141"/>
        <v>229</v>
      </c>
      <c r="J167" s="120">
        <f t="shared" si="141"/>
        <v>9181.6200000000008</v>
      </c>
      <c r="K167" s="119">
        <f t="shared" si="141"/>
        <v>8844.8799999999992</v>
      </c>
      <c r="L167" s="119">
        <f t="shared" si="141"/>
        <v>954888.48</v>
      </c>
      <c r="M167" s="119">
        <f t="shared" si="141"/>
        <v>23816</v>
      </c>
      <c r="N167" s="123">
        <f>'Odometro-Kilometraje'!X81</f>
        <v>9904</v>
      </c>
      <c r="O167" s="21">
        <f>(W167/N167)*100</f>
        <v>92.16912358642972</v>
      </c>
      <c r="P167" s="192"/>
      <c r="Q167" s="182"/>
      <c r="R167" s="182"/>
      <c r="S167" s="182"/>
      <c r="T167" s="182"/>
      <c r="U167" s="182"/>
      <c r="V167" s="182"/>
      <c r="W167" s="193">
        <f>SUM(W159:W166)</f>
        <v>9128.43</v>
      </c>
      <c r="X167" s="193">
        <f>SUM(X159:X166)</f>
        <v>9181.6200000000008</v>
      </c>
      <c r="Z167" s="172">
        <f>J167-W167</f>
        <v>53.190000000000509</v>
      </c>
    </row>
    <row r="168" spans="1:26" x14ac:dyDescent="0.25">
      <c r="A168" s="60">
        <f>A159+1</f>
        <v>46077</v>
      </c>
      <c r="B168" s="288">
        <v>76</v>
      </c>
      <c r="C168" s="288">
        <v>3</v>
      </c>
      <c r="D168" s="126">
        <f>'Data Ocupacion'!AX33</f>
        <v>76</v>
      </c>
      <c r="E168" s="126">
        <f>'Data Ocupacion'!AY33</f>
        <v>3</v>
      </c>
      <c r="F168" s="217" t="s">
        <v>38</v>
      </c>
      <c r="G168" s="218">
        <f t="shared" ref="G168:G173" si="142">D168+E168*2</f>
        <v>82</v>
      </c>
      <c r="H168" s="125">
        <f>B168+C168*2</f>
        <v>82</v>
      </c>
      <c r="I168" s="219">
        <f t="shared" ref="I168:I173" si="143">D168+E168</f>
        <v>79</v>
      </c>
      <c r="J168" s="219">
        <f>G168*M$2</f>
        <v>3536.6600000000003</v>
      </c>
      <c r="K168" s="153">
        <f>I168*M$2</f>
        <v>3407.27</v>
      </c>
      <c r="L168" s="125">
        <f t="shared" ref="L168:L173" si="144">J168*104</f>
        <v>367812.64</v>
      </c>
      <c r="M168" s="125">
        <f t="shared" ref="M168:M173" si="145">I168*104</f>
        <v>8216</v>
      </c>
      <c r="N168" s="19"/>
      <c r="O168" s="19"/>
      <c r="P168" s="146"/>
      <c r="Q168" s="144"/>
      <c r="R168" s="144"/>
      <c r="S168" s="144"/>
      <c r="T168" s="376"/>
      <c r="U168" s="377"/>
      <c r="V168" s="377"/>
      <c r="W168" s="378">
        <f>J168-(Q168*($M$2-$K$1))-(R168*($M$2-$M$1))- (S168*($M$2-$I$2))+ (T168*($G$2))</f>
        <v>3536.6600000000003</v>
      </c>
      <c r="X168" s="378">
        <f>H168*$M$2</f>
        <v>3536.6600000000003</v>
      </c>
    </row>
    <row r="169" spans="1:26" ht="15" customHeight="1" x14ac:dyDescent="0.25">
      <c r="A169" s="353" t="s">
        <v>185</v>
      </c>
      <c r="B169" s="288">
        <v>74</v>
      </c>
      <c r="C169" s="288">
        <v>4</v>
      </c>
      <c r="D169" s="126">
        <f>'Data Ocupacion'!AX34</f>
        <v>74</v>
      </c>
      <c r="E169" s="126">
        <f>'Data Ocupacion'!AY34</f>
        <v>4</v>
      </c>
      <c r="F169" s="217" t="s">
        <v>52</v>
      </c>
      <c r="G169" s="218">
        <f t="shared" si="142"/>
        <v>82</v>
      </c>
      <c r="H169" s="125">
        <f t="shared" ref="H169:H173" si="146">B169+C169*2</f>
        <v>82</v>
      </c>
      <c r="I169" s="125">
        <f t="shared" si="143"/>
        <v>78</v>
      </c>
      <c r="J169" s="125">
        <f>G169*M$2</f>
        <v>3536.6600000000003</v>
      </c>
      <c r="K169" s="153">
        <f>I169*M$2</f>
        <v>3364.1400000000003</v>
      </c>
      <c r="L169" s="125">
        <f t="shared" si="144"/>
        <v>367812.64</v>
      </c>
      <c r="M169" s="125">
        <f t="shared" si="145"/>
        <v>8112</v>
      </c>
      <c r="N169" s="19"/>
      <c r="O169" s="19"/>
      <c r="P169" s="146"/>
      <c r="Q169" s="377"/>
      <c r="R169" s="377"/>
      <c r="S169" s="379"/>
      <c r="T169" s="144">
        <v>3</v>
      </c>
      <c r="U169" s="379"/>
      <c r="V169" s="30"/>
      <c r="W169" s="378">
        <f>J169-(T169*($M$2-$K$1)+(U169*($M$2-$M$1)))</f>
        <v>3483.4700000000003</v>
      </c>
      <c r="X169" s="378">
        <f>H169*$M$2</f>
        <v>3536.6600000000003</v>
      </c>
      <c r="Y169" s="172"/>
    </row>
    <row r="170" spans="1:26" ht="15" customHeight="1" x14ac:dyDescent="0.25">
      <c r="A170" s="353"/>
      <c r="B170" s="288">
        <v>33</v>
      </c>
      <c r="C170" s="288">
        <v>0</v>
      </c>
      <c r="D170" s="126">
        <f>'Data Ocupacion'!AX35</f>
        <v>33</v>
      </c>
      <c r="E170" s="126">
        <f>'Data Ocupacion'!AY35</f>
        <v>0</v>
      </c>
      <c r="F170" s="217" t="s">
        <v>36</v>
      </c>
      <c r="G170" s="218">
        <f t="shared" si="142"/>
        <v>33</v>
      </c>
      <c r="H170" s="125">
        <f t="shared" si="146"/>
        <v>33</v>
      </c>
      <c r="I170" s="125">
        <f t="shared" si="143"/>
        <v>33</v>
      </c>
      <c r="J170" s="125">
        <f>G170*M$1</f>
        <v>960.63</v>
      </c>
      <c r="K170" s="153">
        <f>I170*M$1</f>
        <v>960.63</v>
      </c>
      <c r="L170" s="125">
        <f t="shared" si="144"/>
        <v>99905.52</v>
      </c>
      <c r="M170" s="125">
        <f t="shared" si="145"/>
        <v>3432</v>
      </c>
      <c r="N170" s="19"/>
      <c r="O170" s="19"/>
      <c r="P170" s="146"/>
      <c r="Q170" s="184"/>
      <c r="R170" s="190"/>
      <c r="S170" s="225"/>
      <c r="T170" s="186"/>
      <c r="U170" s="189"/>
      <c r="V170" s="189"/>
      <c r="W170" s="183">
        <f>J170-(Q170*($M$1-$K$1))</f>
        <v>960.63</v>
      </c>
      <c r="X170" s="183">
        <f>H170*$M$1</f>
        <v>960.63</v>
      </c>
    </row>
    <row r="171" spans="1:26" ht="15" customHeight="1" x14ac:dyDescent="0.25">
      <c r="A171" s="353"/>
      <c r="B171" s="288">
        <v>32</v>
      </c>
      <c r="C171" s="288">
        <v>0</v>
      </c>
      <c r="D171" s="126">
        <f>'Data Ocupacion'!AX36</f>
        <v>32</v>
      </c>
      <c r="E171" s="126">
        <f>'Data Ocupacion'!AY36</f>
        <v>0</v>
      </c>
      <c r="F171" s="217" t="s">
        <v>53</v>
      </c>
      <c r="G171" s="218">
        <f t="shared" si="142"/>
        <v>32</v>
      </c>
      <c r="H171" s="125">
        <f t="shared" si="146"/>
        <v>32</v>
      </c>
      <c r="I171" s="125">
        <f t="shared" si="143"/>
        <v>32</v>
      </c>
      <c r="J171" s="125">
        <f>G171*M$1</f>
        <v>931.52</v>
      </c>
      <c r="K171" s="153">
        <f>I171*M$1</f>
        <v>931.52</v>
      </c>
      <c r="L171" s="125">
        <f t="shared" si="144"/>
        <v>96878.080000000002</v>
      </c>
      <c r="M171" s="125">
        <f t="shared" si="145"/>
        <v>3328</v>
      </c>
      <c r="N171" s="19"/>
      <c r="O171" s="19"/>
      <c r="P171" s="146"/>
      <c r="Q171" s="189"/>
      <c r="R171" s="189"/>
      <c r="S171" s="189"/>
      <c r="T171" s="189"/>
      <c r="U171" s="189"/>
      <c r="V171" s="189"/>
      <c r="W171" s="183">
        <f>J171</f>
        <v>931.52</v>
      </c>
      <c r="X171" s="183">
        <f>H171*$M$1</f>
        <v>931.52</v>
      </c>
    </row>
    <row r="172" spans="1:26" ht="15" customHeight="1" x14ac:dyDescent="0.25">
      <c r="A172" s="353"/>
      <c r="B172" s="288">
        <v>0</v>
      </c>
      <c r="C172" s="288">
        <v>0</v>
      </c>
      <c r="D172" s="126">
        <f>'Data Ocupacion'!AX37</f>
        <v>0</v>
      </c>
      <c r="E172" s="126">
        <f>'Data Ocupacion'!AY37</f>
        <v>0</v>
      </c>
      <c r="F172" s="217" t="s">
        <v>122</v>
      </c>
      <c r="G172" s="218">
        <f t="shared" si="142"/>
        <v>0</v>
      </c>
      <c r="H172" s="125">
        <f t="shared" si="146"/>
        <v>0</v>
      </c>
      <c r="I172" s="125">
        <f t="shared" si="143"/>
        <v>0</v>
      </c>
      <c r="J172" s="220">
        <f>G172*K$1</f>
        <v>0</v>
      </c>
      <c r="K172" s="153">
        <f>I172*K$1</f>
        <v>0</v>
      </c>
      <c r="L172" s="125">
        <f t="shared" si="144"/>
        <v>0</v>
      </c>
      <c r="M172" s="125">
        <f t="shared" si="145"/>
        <v>0</v>
      </c>
      <c r="N172" s="19"/>
      <c r="O172" s="19"/>
      <c r="P172" s="146"/>
      <c r="Q172" s="189"/>
      <c r="R172" s="189"/>
      <c r="S172" s="189"/>
      <c r="T172" s="189"/>
      <c r="U172" s="189"/>
      <c r="V172" s="189"/>
      <c r="W172" s="183">
        <f>J172</f>
        <v>0</v>
      </c>
      <c r="X172" s="183">
        <f>H172*$K$1</f>
        <v>0</v>
      </c>
    </row>
    <row r="173" spans="1:26" x14ac:dyDescent="0.25">
      <c r="A173" s="353"/>
      <c r="B173" s="288">
        <v>1</v>
      </c>
      <c r="C173" s="288">
        <v>0</v>
      </c>
      <c r="D173" s="126">
        <f>'Data Ocupacion'!AX38</f>
        <v>1</v>
      </c>
      <c r="E173" s="126">
        <f>'Data Ocupacion'!AY38</f>
        <v>0</v>
      </c>
      <c r="F173" s="217" t="s">
        <v>35</v>
      </c>
      <c r="G173" s="218">
        <f t="shared" si="142"/>
        <v>1</v>
      </c>
      <c r="H173" s="125">
        <f t="shared" si="146"/>
        <v>1</v>
      </c>
      <c r="I173" s="221">
        <f t="shared" si="143"/>
        <v>1</v>
      </c>
      <c r="J173" s="221">
        <f>G173*K$1</f>
        <v>25.4</v>
      </c>
      <c r="K173" s="153">
        <f>I173*K$1</f>
        <v>25.4</v>
      </c>
      <c r="L173" s="125">
        <f t="shared" si="144"/>
        <v>2641.6</v>
      </c>
      <c r="M173" s="125">
        <f t="shared" si="145"/>
        <v>104</v>
      </c>
      <c r="N173" s="19"/>
      <c r="O173" s="19"/>
      <c r="P173" s="146"/>
      <c r="Q173" s="189"/>
      <c r="R173" s="189"/>
      <c r="S173" s="189"/>
      <c r="T173" s="189"/>
      <c r="U173" s="189"/>
      <c r="V173" s="189"/>
      <c r="W173" s="183">
        <f>J173</f>
        <v>25.4</v>
      </c>
      <c r="X173" s="183">
        <f>H173*$K$1</f>
        <v>25.4</v>
      </c>
    </row>
    <row r="174" spans="1:26" s="124" customFormat="1" x14ac:dyDescent="0.25">
      <c r="A174" s="353"/>
      <c r="B174" s="288">
        <v>3</v>
      </c>
      <c r="C174" s="288">
        <v>1</v>
      </c>
      <c r="D174" s="126">
        <f>'Data Ocupacion'!AX39</f>
        <v>3</v>
      </c>
      <c r="E174" s="126">
        <f>'Data Ocupacion'!AY39</f>
        <v>1</v>
      </c>
      <c r="F174" s="288" t="s">
        <v>152</v>
      </c>
      <c r="G174" s="218">
        <f t="shared" ref="G174:G175" si="147">D174+E174*2</f>
        <v>5</v>
      </c>
      <c r="H174" s="125">
        <f t="shared" ref="H174:H175" si="148">B174+C174*2</f>
        <v>5</v>
      </c>
      <c r="I174" s="221">
        <f t="shared" ref="I174:I175" si="149">D174+E174</f>
        <v>4</v>
      </c>
      <c r="J174" s="221">
        <f>G174*S$1</f>
        <v>174.14999999999998</v>
      </c>
      <c r="K174" s="153">
        <f>I174*S$1</f>
        <v>139.32</v>
      </c>
      <c r="L174" s="125">
        <f t="shared" ref="L174:L175" si="150">J174*104</f>
        <v>18111.599999999999</v>
      </c>
      <c r="M174" s="125">
        <f t="shared" ref="M174:M175" si="151">I174*104</f>
        <v>416</v>
      </c>
      <c r="N174" s="19"/>
      <c r="O174" s="19"/>
      <c r="P174" s="146"/>
      <c r="Q174" s="189"/>
      <c r="R174" s="189"/>
      <c r="S174" s="189"/>
      <c r="T174" s="189"/>
      <c r="U174" s="189"/>
      <c r="V174" s="189"/>
      <c r="W174" s="183">
        <f t="shared" ref="W174:W175" si="152">J174</f>
        <v>174.14999999999998</v>
      </c>
      <c r="X174" s="183">
        <f>H174*$S$1</f>
        <v>174.14999999999998</v>
      </c>
    </row>
    <row r="175" spans="1:26" s="124" customFormat="1" ht="15.75" thickBot="1" x14ac:dyDescent="0.3">
      <c r="A175" s="353"/>
      <c r="B175" s="288">
        <v>2</v>
      </c>
      <c r="C175" s="288">
        <v>0</v>
      </c>
      <c r="D175" s="126">
        <f>'Data Ocupacion'!AX40</f>
        <v>2</v>
      </c>
      <c r="E175" s="126">
        <f>'Data Ocupacion'!AY40</f>
        <v>0</v>
      </c>
      <c r="F175" s="288" t="s">
        <v>151</v>
      </c>
      <c r="G175" s="218">
        <f t="shared" si="147"/>
        <v>2</v>
      </c>
      <c r="H175" s="125">
        <f t="shared" si="148"/>
        <v>2</v>
      </c>
      <c r="I175" s="221">
        <f t="shared" si="149"/>
        <v>2</v>
      </c>
      <c r="J175" s="221">
        <f>G175*Q$1</f>
        <v>16.600000000000001</v>
      </c>
      <c r="K175" s="153">
        <f>I175*Q$1</f>
        <v>16.600000000000001</v>
      </c>
      <c r="L175" s="125">
        <f t="shared" si="150"/>
        <v>1726.4</v>
      </c>
      <c r="M175" s="125">
        <f t="shared" si="151"/>
        <v>208</v>
      </c>
      <c r="N175" s="19"/>
      <c r="O175" s="19"/>
      <c r="P175" s="146"/>
      <c r="Q175" s="189"/>
      <c r="R175" s="189"/>
      <c r="S175" s="189"/>
      <c r="T175" s="189"/>
      <c r="U175" s="189"/>
      <c r="V175" s="189"/>
      <c r="W175" s="183">
        <f t="shared" si="152"/>
        <v>16.600000000000001</v>
      </c>
      <c r="X175" s="183">
        <f>H175*$Q$1</f>
        <v>16.600000000000001</v>
      </c>
    </row>
    <row r="176" spans="1:26" s="124" customFormat="1" ht="15.75" thickBot="1" x14ac:dyDescent="0.3">
      <c r="A176" s="20"/>
      <c r="B176" s="119">
        <f>SUM(B168:B175)</f>
        <v>221</v>
      </c>
      <c r="C176" s="119">
        <f>SUM(C168:C175)</f>
        <v>8</v>
      </c>
      <c r="D176" s="148">
        <f>SUM(D168:D175)</f>
        <v>221</v>
      </c>
      <c r="E176" s="148">
        <f>SUM(E168:E175)</f>
        <v>8</v>
      </c>
      <c r="F176" s="119"/>
      <c r="G176" s="119">
        <f t="shared" ref="G176:M176" si="153">SUM(G168:G175)</f>
        <v>237</v>
      </c>
      <c r="H176" s="119">
        <f t="shared" si="153"/>
        <v>237</v>
      </c>
      <c r="I176" s="119">
        <f t="shared" si="153"/>
        <v>229</v>
      </c>
      <c r="J176" s="120">
        <f t="shared" si="153"/>
        <v>9181.6200000000008</v>
      </c>
      <c r="K176" s="119">
        <f t="shared" si="153"/>
        <v>8844.8799999999992</v>
      </c>
      <c r="L176" s="119">
        <f t="shared" si="153"/>
        <v>954888.48</v>
      </c>
      <c r="M176" s="119">
        <f t="shared" si="153"/>
        <v>23816</v>
      </c>
      <c r="N176" s="123">
        <f>'Odometro-Kilometraje'!Y81</f>
        <v>9823</v>
      </c>
      <c r="O176" s="21">
        <f>(W176/N176)*100</f>
        <v>92.929145882113403</v>
      </c>
      <c r="P176" s="192"/>
      <c r="Q176" s="182"/>
      <c r="R176" s="182"/>
      <c r="S176" s="182"/>
      <c r="T176" s="182"/>
      <c r="U176" s="182"/>
      <c r="V176" s="182"/>
      <c r="W176" s="193">
        <f>SUM(W168:W175)</f>
        <v>9128.43</v>
      </c>
      <c r="X176" s="193">
        <f>SUM(X168:X175)</f>
        <v>9181.6200000000008</v>
      </c>
      <c r="Z176" s="172">
        <f>J176-W176</f>
        <v>53.190000000000509</v>
      </c>
    </row>
    <row r="177" spans="1:30" x14ac:dyDescent="0.25">
      <c r="A177" s="60">
        <f>A168+1</f>
        <v>46078</v>
      </c>
      <c r="B177" s="288">
        <v>76</v>
      </c>
      <c r="C177" s="288">
        <v>3</v>
      </c>
      <c r="D177" s="126">
        <f>'Data Ocupacion'!AZ33</f>
        <v>76</v>
      </c>
      <c r="E177" s="126">
        <f>'Data Ocupacion'!BA33</f>
        <v>3</v>
      </c>
      <c r="F177" s="217" t="s">
        <v>38</v>
      </c>
      <c r="G177" s="218">
        <f t="shared" ref="G177:G182" si="154">D177+E177*2</f>
        <v>82</v>
      </c>
      <c r="H177" s="125">
        <f>B177+C177*2</f>
        <v>82</v>
      </c>
      <c r="I177" s="219">
        <f t="shared" ref="I177:I182" si="155">D177+E177</f>
        <v>79</v>
      </c>
      <c r="J177" s="219">
        <f>G177*M$2</f>
        <v>3536.6600000000003</v>
      </c>
      <c r="K177" s="153">
        <f>I177*M$2</f>
        <v>3407.27</v>
      </c>
      <c r="L177" s="125">
        <f t="shared" ref="L177:L182" si="156">J177*104</f>
        <v>367812.64</v>
      </c>
      <c r="M177" s="125">
        <f t="shared" ref="M177:M182" si="157">I177*104</f>
        <v>8216</v>
      </c>
      <c r="N177" s="19"/>
      <c r="O177" s="19"/>
      <c r="P177" s="146"/>
      <c r="Q177" s="144"/>
      <c r="R177" s="144"/>
      <c r="S177" s="144"/>
      <c r="T177" s="376"/>
      <c r="U177" s="377"/>
      <c r="V177" s="377"/>
      <c r="W177" s="378">
        <f>J177-(Q177*($M$2-$K$1))-(R177*($M$2-$M$1))- (S177*($M$2-$I$2))+ (T177*($G$2))</f>
        <v>3536.6600000000003</v>
      </c>
      <c r="X177" s="378">
        <f>H177*$M$2</f>
        <v>3536.6600000000003</v>
      </c>
    </row>
    <row r="178" spans="1:30" ht="18" customHeight="1" x14ac:dyDescent="0.25">
      <c r="A178" s="353" t="s">
        <v>185</v>
      </c>
      <c r="B178" s="288">
        <v>74</v>
      </c>
      <c r="C178" s="288">
        <v>4</v>
      </c>
      <c r="D178" s="126">
        <f>'Data Ocupacion'!AZ34</f>
        <v>74</v>
      </c>
      <c r="E178" s="126">
        <f>'Data Ocupacion'!BA34</f>
        <v>4</v>
      </c>
      <c r="F178" s="217" t="s">
        <v>52</v>
      </c>
      <c r="G178" s="218">
        <f t="shared" si="154"/>
        <v>82</v>
      </c>
      <c r="H178" s="125">
        <f t="shared" ref="H178:H182" si="158">B178+C178*2</f>
        <v>82</v>
      </c>
      <c r="I178" s="125">
        <f t="shared" si="155"/>
        <v>78</v>
      </c>
      <c r="J178" s="125">
        <f>G178*M$2</f>
        <v>3536.6600000000003</v>
      </c>
      <c r="K178" s="153">
        <f>I178*M$2</f>
        <v>3364.1400000000003</v>
      </c>
      <c r="L178" s="125">
        <f t="shared" si="156"/>
        <v>367812.64</v>
      </c>
      <c r="M178" s="125">
        <f t="shared" si="157"/>
        <v>8112</v>
      </c>
      <c r="N178" s="19"/>
      <c r="O178" s="19"/>
      <c r="P178" s="146"/>
      <c r="Q178" s="377"/>
      <c r="R178" s="377"/>
      <c r="S178" s="379"/>
      <c r="T178" s="144">
        <v>3</v>
      </c>
      <c r="U178" s="379"/>
      <c r="V178" s="30"/>
      <c r="W178" s="378">
        <f>J178-(T178*($M$2-$K$1)+(U178*($M$2-$M$1)))</f>
        <v>3483.4700000000003</v>
      </c>
      <c r="X178" s="378">
        <f>H178*$M$2</f>
        <v>3536.6600000000003</v>
      </c>
      <c r="Y178" s="172"/>
    </row>
    <row r="179" spans="1:30" x14ac:dyDescent="0.25">
      <c r="A179" s="353"/>
      <c r="B179" s="288">
        <v>33</v>
      </c>
      <c r="C179" s="288">
        <v>0</v>
      </c>
      <c r="D179" s="126">
        <f>'Data Ocupacion'!AZ35</f>
        <v>33</v>
      </c>
      <c r="E179" s="126">
        <f>'Data Ocupacion'!BA35</f>
        <v>0</v>
      </c>
      <c r="F179" s="217" t="s">
        <v>36</v>
      </c>
      <c r="G179" s="218">
        <f t="shared" si="154"/>
        <v>33</v>
      </c>
      <c r="H179" s="125">
        <f t="shared" si="158"/>
        <v>33</v>
      </c>
      <c r="I179" s="125">
        <f t="shared" si="155"/>
        <v>33</v>
      </c>
      <c r="J179" s="125">
        <f>G179*M$1</f>
        <v>960.63</v>
      </c>
      <c r="K179" s="153">
        <f>I179*M$1</f>
        <v>960.63</v>
      </c>
      <c r="L179" s="125">
        <f t="shared" si="156"/>
        <v>99905.52</v>
      </c>
      <c r="M179" s="125">
        <f t="shared" si="157"/>
        <v>3432</v>
      </c>
      <c r="N179" s="19"/>
      <c r="O179" s="19"/>
      <c r="P179" s="146"/>
      <c r="Q179" s="238"/>
      <c r="R179" s="190"/>
      <c r="S179" s="225"/>
      <c r="T179" s="186"/>
      <c r="U179" s="189"/>
      <c r="V179" s="189"/>
      <c r="W179" s="183">
        <f>J179-(Q179*($M$1-$K$1))</f>
        <v>960.63</v>
      </c>
      <c r="X179" s="183">
        <f>H179*$M$1</f>
        <v>960.63</v>
      </c>
    </row>
    <row r="180" spans="1:30" ht="15" customHeight="1" x14ac:dyDescent="0.25">
      <c r="A180" s="353"/>
      <c r="B180" s="288">
        <v>32</v>
      </c>
      <c r="C180" s="288">
        <v>0</v>
      </c>
      <c r="D180" s="126">
        <f>'Data Ocupacion'!AZ36</f>
        <v>32</v>
      </c>
      <c r="E180" s="126">
        <f>'Data Ocupacion'!BA36</f>
        <v>0</v>
      </c>
      <c r="F180" s="217" t="s">
        <v>53</v>
      </c>
      <c r="G180" s="218">
        <f t="shared" si="154"/>
        <v>32</v>
      </c>
      <c r="H180" s="125">
        <f t="shared" si="158"/>
        <v>32</v>
      </c>
      <c r="I180" s="125">
        <f t="shared" si="155"/>
        <v>32</v>
      </c>
      <c r="J180" s="125">
        <f>G180*M$1</f>
        <v>931.52</v>
      </c>
      <c r="K180" s="153">
        <f>I180*M$1</f>
        <v>931.52</v>
      </c>
      <c r="L180" s="125">
        <f t="shared" si="156"/>
        <v>96878.080000000002</v>
      </c>
      <c r="M180" s="125">
        <f t="shared" si="157"/>
        <v>3328</v>
      </c>
      <c r="N180" s="19"/>
      <c r="O180" s="19"/>
      <c r="P180" s="146"/>
      <c r="Q180" s="189"/>
      <c r="R180" s="189"/>
      <c r="S180" s="189"/>
      <c r="T180" s="189"/>
      <c r="U180" s="189"/>
      <c r="V180" s="189"/>
      <c r="W180" s="183">
        <f>J180</f>
        <v>931.52</v>
      </c>
      <c r="X180" s="183">
        <f>H180*$M$1</f>
        <v>931.52</v>
      </c>
    </row>
    <row r="181" spans="1:30" ht="15.95" customHeight="1" x14ac:dyDescent="0.25">
      <c r="A181" s="353"/>
      <c r="B181" s="288">
        <v>0</v>
      </c>
      <c r="C181" s="288">
        <v>0</v>
      </c>
      <c r="D181" s="126">
        <f>'Data Ocupacion'!AZ37</f>
        <v>0</v>
      </c>
      <c r="E181" s="126">
        <f>'Data Ocupacion'!BA37</f>
        <v>0</v>
      </c>
      <c r="F181" s="217" t="s">
        <v>122</v>
      </c>
      <c r="G181" s="218">
        <f t="shared" si="154"/>
        <v>0</v>
      </c>
      <c r="H181" s="125">
        <f t="shared" si="158"/>
        <v>0</v>
      </c>
      <c r="I181" s="125">
        <f t="shared" si="155"/>
        <v>0</v>
      </c>
      <c r="J181" s="220">
        <f>G181*K$1</f>
        <v>0</v>
      </c>
      <c r="K181" s="153">
        <f>I181*K$1</f>
        <v>0</v>
      </c>
      <c r="L181" s="125">
        <f t="shared" si="156"/>
        <v>0</v>
      </c>
      <c r="M181" s="125">
        <f t="shared" si="157"/>
        <v>0</v>
      </c>
      <c r="N181" s="19"/>
      <c r="O181" s="19"/>
      <c r="P181" s="146"/>
      <c r="Q181" s="189"/>
      <c r="R181" s="189"/>
      <c r="S181" s="189"/>
      <c r="T181" s="189"/>
      <c r="U181" s="189"/>
      <c r="V181" s="189"/>
      <c r="W181" s="183">
        <f>J181</f>
        <v>0</v>
      </c>
      <c r="X181" s="183">
        <f>H181*$K$1</f>
        <v>0</v>
      </c>
    </row>
    <row r="182" spans="1:30" x14ac:dyDescent="0.25">
      <c r="A182" s="353"/>
      <c r="B182" s="288">
        <v>1</v>
      </c>
      <c r="C182" s="288">
        <v>0</v>
      </c>
      <c r="D182" s="126">
        <f>'Data Ocupacion'!AZ38</f>
        <v>1</v>
      </c>
      <c r="E182" s="126">
        <f>'Data Ocupacion'!BA38</f>
        <v>0</v>
      </c>
      <c r="F182" s="217" t="s">
        <v>35</v>
      </c>
      <c r="G182" s="218">
        <f t="shared" si="154"/>
        <v>1</v>
      </c>
      <c r="H182" s="125">
        <f t="shared" si="158"/>
        <v>1</v>
      </c>
      <c r="I182" s="221">
        <f t="shared" si="155"/>
        <v>1</v>
      </c>
      <c r="J182" s="221">
        <f>G182*K$1</f>
        <v>25.4</v>
      </c>
      <c r="K182" s="153">
        <f>I182*K$1</f>
        <v>25.4</v>
      </c>
      <c r="L182" s="125">
        <f t="shared" si="156"/>
        <v>2641.6</v>
      </c>
      <c r="M182" s="125">
        <f t="shared" si="157"/>
        <v>104</v>
      </c>
      <c r="N182" s="19"/>
      <c r="O182" s="19"/>
      <c r="P182" s="146"/>
      <c r="Q182" s="189"/>
      <c r="R182" s="189"/>
      <c r="S182" s="189"/>
      <c r="T182" s="189"/>
      <c r="U182" s="189"/>
      <c r="V182" s="189"/>
      <c r="W182" s="183">
        <f>J182</f>
        <v>25.4</v>
      </c>
      <c r="X182" s="183">
        <f>H182*$K$1</f>
        <v>25.4</v>
      </c>
    </row>
    <row r="183" spans="1:30" s="124" customFormat="1" x14ac:dyDescent="0.25">
      <c r="A183" s="353"/>
      <c r="B183" s="288">
        <v>3</v>
      </c>
      <c r="C183" s="288">
        <v>1</v>
      </c>
      <c r="D183" s="126">
        <f>'Data Ocupacion'!AZ39</f>
        <v>3</v>
      </c>
      <c r="E183" s="126">
        <f>'Data Ocupacion'!BA39</f>
        <v>1</v>
      </c>
      <c r="F183" s="288" t="s">
        <v>152</v>
      </c>
      <c r="G183" s="218">
        <f t="shared" ref="G183:G184" si="159">D183+E183*2</f>
        <v>5</v>
      </c>
      <c r="H183" s="125">
        <f t="shared" ref="H183:H184" si="160">B183+C183*2</f>
        <v>5</v>
      </c>
      <c r="I183" s="221">
        <f t="shared" ref="I183:I184" si="161">D183+E183</f>
        <v>4</v>
      </c>
      <c r="J183" s="221">
        <f>G183*S$1</f>
        <v>174.14999999999998</v>
      </c>
      <c r="K183" s="153">
        <f>I183*S$1</f>
        <v>139.32</v>
      </c>
      <c r="L183" s="125">
        <f t="shared" ref="L183:L184" si="162">J183*104</f>
        <v>18111.599999999999</v>
      </c>
      <c r="M183" s="125">
        <f t="shared" ref="M183:M184" si="163">I183*104</f>
        <v>416</v>
      </c>
      <c r="N183" s="19"/>
      <c r="O183" s="19"/>
      <c r="P183" s="146"/>
      <c r="Q183" s="189"/>
      <c r="R183" s="189"/>
      <c r="S183" s="189"/>
      <c r="T183" s="189"/>
      <c r="U183" s="189"/>
      <c r="V183" s="189"/>
      <c r="W183" s="183">
        <f t="shared" ref="W183:W184" si="164">J183</f>
        <v>174.14999999999998</v>
      </c>
      <c r="X183" s="183">
        <f>H183*$S$1</f>
        <v>174.14999999999998</v>
      </c>
    </row>
    <row r="184" spans="1:30" s="124" customFormat="1" ht="15.75" thickBot="1" x14ac:dyDescent="0.3">
      <c r="A184" s="353"/>
      <c r="B184" s="288">
        <v>2</v>
      </c>
      <c r="C184" s="288">
        <v>0</v>
      </c>
      <c r="D184" s="126">
        <f>'Data Ocupacion'!AZ40</f>
        <v>2</v>
      </c>
      <c r="E184" s="126">
        <f>'Data Ocupacion'!BA40</f>
        <v>0</v>
      </c>
      <c r="F184" s="288" t="s">
        <v>151</v>
      </c>
      <c r="G184" s="218">
        <f t="shared" si="159"/>
        <v>2</v>
      </c>
      <c r="H184" s="125">
        <f t="shared" si="160"/>
        <v>2</v>
      </c>
      <c r="I184" s="221">
        <f t="shared" si="161"/>
        <v>2</v>
      </c>
      <c r="J184" s="221">
        <f>G184*Q$1</f>
        <v>16.600000000000001</v>
      </c>
      <c r="K184" s="153">
        <f>I184*Q$1</f>
        <v>16.600000000000001</v>
      </c>
      <c r="L184" s="125">
        <f t="shared" si="162"/>
        <v>1726.4</v>
      </c>
      <c r="M184" s="125">
        <f t="shared" si="163"/>
        <v>208</v>
      </c>
      <c r="N184" s="19"/>
      <c r="O184" s="19"/>
      <c r="P184" s="146"/>
      <c r="Q184" s="189"/>
      <c r="R184" s="189"/>
      <c r="S184" s="189"/>
      <c r="T184" s="189"/>
      <c r="U184" s="189"/>
      <c r="V184" s="189"/>
      <c r="W184" s="183">
        <f t="shared" si="164"/>
        <v>16.600000000000001</v>
      </c>
      <c r="X184" s="183">
        <f>H184*$Q$1</f>
        <v>16.600000000000001</v>
      </c>
    </row>
    <row r="185" spans="1:30" s="124" customFormat="1" ht="15.75" thickBot="1" x14ac:dyDescent="0.3">
      <c r="A185" s="200"/>
      <c r="B185" s="119">
        <f>SUM(B177:B184)</f>
        <v>221</v>
      </c>
      <c r="C185" s="119">
        <f>SUM(C177:C184)</f>
        <v>8</v>
      </c>
      <c r="D185" s="148">
        <f>SUM(D177:D184)</f>
        <v>221</v>
      </c>
      <c r="E185" s="148">
        <f>SUM(E177:E184)</f>
        <v>8</v>
      </c>
      <c r="F185" s="119"/>
      <c r="G185" s="119">
        <f t="shared" ref="G185:M185" si="165">SUM(G177:G184)</f>
        <v>237</v>
      </c>
      <c r="H185" s="119">
        <f t="shared" si="165"/>
        <v>237</v>
      </c>
      <c r="I185" s="119">
        <f t="shared" si="165"/>
        <v>229</v>
      </c>
      <c r="J185" s="120">
        <f t="shared" si="165"/>
        <v>9181.6200000000008</v>
      </c>
      <c r="K185" s="119">
        <f t="shared" si="165"/>
        <v>8844.8799999999992</v>
      </c>
      <c r="L185" s="119">
        <f t="shared" si="165"/>
        <v>954888.48</v>
      </c>
      <c r="M185" s="119">
        <f t="shared" si="165"/>
        <v>23816</v>
      </c>
      <c r="N185" s="123">
        <f>'Odometro-Kilometraje'!Z81</f>
        <v>9767</v>
      </c>
      <c r="O185" s="21">
        <f>(W185/N185)*100</f>
        <v>93.461963755503234</v>
      </c>
      <c r="P185" s="192"/>
      <c r="Q185" s="182"/>
      <c r="R185" s="182"/>
      <c r="S185" s="182"/>
      <c r="T185" s="182"/>
      <c r="U185" s="182"/>
      <c r="V185" s="182"/>
      <c r="W185" s="193">
        <f>SUM(W177:W184)</f>
        <v>9128.43</v>
      </c>
      <c r="X185" s="193">
        <f>SUM(X177:X184)</f>
        <v>9181.6200000000008</v>
      </c>
      <c r="Z185" s="172">
        <f>J185-W185</f>
        <v>53.190000000000509</v>
      </c>
    </row>
    <row r="186" spans="1:30" x14ac:dyDescent="0.25">
      <c r="A186" s="60">
        <f>A177+1</f>
        <v>46079</v>
      </c>
      <c r="B186" s="288">
        <v>76</v>
      </c>
      <c r="C186" s="288">
        <v>3</v>
      </c>
      <c r="D186" s="126">
        <f>'Data Ocupacion'!BB33</f>
        <v>76</v>
      </c>
      <c r="E186" s="126">
        <f>'Data Ocupacion'!BC33</f>
        <v>3</v>
      </c>
      <c r="F186" s="125" t="s">
        <v>38</v>
      </c>
      <c r="G186" s="125">
        <f t="shared" ref="G186:G191" si="166">D186+E186*2</f>
        <v>82</v>
      </c>
      <c r="H186" s="125">
        <f>B186+C186*2</f>
        <v>82</v>
      </c>
      <c r="I186" s="125">
        <f t="shared" ref="I186:I191" si="167">D186+E186</f>
        <v>79</v>
      </c>
      <c r="J186" s="125">
        <f>G186*M$2</f>
        <v>3536.6600000000003</v>
      </c>
      <c r="K186" s="153">
        <f>I186*M$2</f>
        <v>3407.27</v>
      </c>
      <c r="L186" s="125">
        <f t="shared" ref="L186:L191" si="168">J186*104</f>
        <v>367812.64</v>
      </c>
      <c r="M186" s="125">
        <f t="shared" ref="M186:M191" si="169">I186*104</f>
        <v>8216</v>
      </c>
      <c r="N186" s="19"/>
      <c r="O186" s="19"/>
      <c r="P186" s="146"/>
      <c r="Q186" s="144"/>
      <c r="R186" s="144"/>
      <c r="S186" s="144"/>
      <c r="T186" s="376"/>
      <c r="U186" s="377"/>
      <c r="V186" s="377"/>
      <c r="W186" s="378">
        <f>J186-(Q186*($M$2-$K$1))-(R186*($M$2-$M$1))- (S186*($M$2-$I$2))+ (T186*($G$2))</f>
        <v>3536.6600000000003</v>
      </c>
      <c r="X186" s="378">
        <f>H186*$M$2</f>
        <v>3536.6600000000003</v>
      </c>
      <c r="Z186" s="124"/>
      <c r="AA186" s="124"/>
      <c r="AB186" s="124"/>
      <c r="AC186" s="124"/>
      <c r="AD186" s="124"/>
    </row>
    <row r="187" spans="1:30" ht="15" customHeight="1" x14ac:dyDescent="0.25">
      <c r="A187" s="353" t="s">
        <v>185</v>
      </c>
      <c r="B187" s="288">
        <v>74</v>
      </c>
      <c r="C187" s="288">
        <v>4</v>
      </c>
      <c r="D187" s="126">
        <f>'Data Ocupacion'!BB34</f>
        <v>74</v>
      </c>
      <c r="E187" s="126">
        <f>'Data Ocupacion'!BC34</f>
        <v>4</v>
      </c>
      <c r="F187" s="125" t="s">
        <v>52</v>
      </c>
      <c r="G187" s="125">
        <f t="shared" si="166"/>
        <v>82</v>
      </c>
      <c r="H187" s="125">
        <f t="shared" ref="H187:H191" si="170">B187+C187*2</f>
        <v>82</v>
      </c>
      <c r="I187" s="125">
        <f t="shared" si="167"/>
        <v>78</v>
      </c>
      <c r="J187" s="125">
        <f>G187*M$2</f>
        <v>3536.6600000000003</v>
      </c>
      <c r="K187" s="153">
        <f>I187*M$2</f>
        <v>3364.1400000000003</v>
      </c>
      <c r="L187" s="125">
        <f t="shared" si="168"/>
        <v>367812.64</v>
      </c>
      <c r="M187" s="125">
        <f t="shared" si="169"/>
        <v>8112</v>
      </c>
      <c r="N187" s="19"/>
      <c r="O187" s="19"/>
      <c r="P187" s="146"/>
      <c r="Q187" s="377"/>
      <c r="R187" s="377"/>
      <c r="S187" s="379"/>
      <c r="T187" s="144">
        <v>3</v>
      </c>
      <c r="U187" s="379"/>
      <c r="V187" s="30"/>
      <c r="W187" s="378">
        <f>J187-(Q187*($K$1)+(T187*($M$2-$K$1))+(U187*($M$2-$M$1)))</f>
        <v>3483.4700000000003</v>
      </c>
      <c r="X187" s="378">
        <f>H187*$M$2</f>
        <v>3536.6600000000003</v>
      </c>
      <c r="Z187" s="124"/>
      <c r="AA187" s="124"/>
      <c r="AB187" s="124"/>
      <c r="AC187" s="124"/>
      <c r="AD187" s="124"/>
    </row>
    <row r="188" spans="1:30" x14ac:dyDescent="0.25">
      <c r="A188" s="353"/>
      <c r="B188" s="288">
        <v>33</v>
      </c>
      <c r="C188" s="288">
        <v>0</v>
      </c>
      <c r="D188" s="126">
        <f>'Data Ocupacion'!BB35</f>
        <v>33</v>
      </c>
      <c r="E188" s="126">
        <f>'Data Ocupacion'!BC35</f>
        <v>0</v>
      </c>
      <c r="F188" s="125" t="s">
        <v>36</v>
      </c>
      <c r="G188" s="125">
        <f t="shared" si="166"/>
        <v>33</v>
      </c>
      <c r="H188" s="125">
        <f t="shared" si="170"/>
        <v>33</v>
      </c>
      <c r="I188" s="125">
        <f t="shared" si="167"/>
        <v>33</v>
      </c>
      <c r="J188" s="125">
        <f>G188*M$1</f>
        <v>960.63</v>
      </c>
      <c r="K188" s="153">
        <f>I188*M$1</f>
        <v>960.63</v>
      </c>
      <c r="L188" s="125">
        <f t="shared" si="168"/>
        <v>99905.52</v>
      </c>
      <c r="M188" s="125">
        <f t="shared" si="169"/>
        <v>3432</v>
      </c>
      <c r="N188" s="19"/>
      <c r="O188" s="19" t="s">
        <v>144</v>
      </c>
      <c r="P188" s="146"/>
      <c r="Q188" s="184"/>
      <c r="R188" s="190"/>
      <c r="S188" s="225"/>
      <c r="T188" s="186"/>
      <c r="U188" s="189"/>
      <c r="V188" s="189"/>
      <c r="W188" s="183">
        <f>J188-(Q188*($M$1-$K$1))</f>
        <v>960.63</v>
      </c>
      <c r="X188" s="183">
        <f>H188*$M$1</f>
        <v>960.63</v>
      </c>
    </row>
    <row r="189" spans="1:30" ht="15" customHeight="1" x14ac:dyDescent="0.25">
      <c r="A189" s="353"/>
      <c r="B189" s="288">
        <v>32</v>
      </c>
      <c r="C189" s="288">
        <v>0</v>
      </c>
      <c r="D189" s="126">
        <f>'Data Ocupacion'!BB36</f>
        <v>32</v>
      </c>
      <c r="E189" s="126">
        <f>'Data Ocupacion'!BC36</f>
        <v>0</v>
      </c>
      <c r="F189" s="125" t="s">
        <v>53</v>
      </c>
      <c r="G189" s="125">
        <f t="shared" si="166"/>
        <v>32</v>
      </c>
      <c r="H189" s="125">
        <f t="shared" si="170"/>
        <v>32</v>
      </c>
      <c r="I189" s="125">
        <f t="shared" si="167"/>
        <v>32</v>
      </c>
      <c r="J189" s="125">
        <f>G189*M$1</f>
        <v>931.52</v>
      </c>
      <c r="K189" s="153">
        <f>I189*M$1</f>
        <v>931.52</v>
      </c>
      <c r="L189" s="125">
        <f t="shared" si="168"/>
        <v>96878.080000000002</v>
      </c>
      <c r="M189" s="125">
        <f t="shared" si="169"/>
        <v>3328</v>
      </c>
      <c r="N189" s="19"/>
      <c r="O189" s="19"/>
      <c r="P189" s="146"/>
      <c r="Q189" s="189"/>
      <c r="R189" s="189"/>
      <c r="S189" s="189"/>
      <c r="T189" s="189"/>
      <c r="U189" s="189"/>
      <c r="V189" s="189"/>
      <c r="W189" s="183">
        <f>J189</f>
        <v>931.52</v>
      </c>
      <c r="X189" s="183">
        <f>H189*$M$1</f>
        <v>931.52</v>
      </c>
    </row>
    <row r="190" spans="1:30" ht="15" customHeight="1" x14ac:dyDescent="0.25">
      <c r="A190" s="353"/>
      <c r="B190" s="288">
        <v>0</v>
      </c>
      <c r="C190" s="288">
        <v>0</v>
      </c>
      <c r="D190" s="126">
        <f>'Data Ocupacion'!BB37</f>
        <v>0</v>
      </c>
      <c r="E190" s="126">
        <f>'Data Ocupacion'!BC37</f>
        <v>0</v>
      </c>
      <c r="F190" s="125" t="s">
        <v>122</v>
      </c>
      <c r="G190" s="125">
        <f t="shared" si="166"/>
        <v>0</v>
      </c>
      <c r="H190" s="125">
        <f t="shared" si="170"/>
        <v>0</v>
      </c>
      <c r="I190" s="125">
        <f t="shared" si="167"/>
        <v>0</v>
      </c>
      <c r="J190" s="125">
        <f>G190*K$1</f>
        <v>0</v>
      </c>
      <c r="K190" s="153">
        <f>I190*K$1</f>
        <v>0</v>
      </c>
      <c r="L190" s="125">
        <f t="shared" si="168"/>
        <v>0</v>
      </c>
      <c r="M190" s="125">
        <f t="shared" si="169"/>
        <v>0</v>
      </c>
      <c r="N190" s="19"/>
      <c r="O190" s="19"/>
      <c r="P190" s="146"/>
      <c r="Q190" s="189"/>
      <c r="R190" s="189"/>
      <c r="S190" s="189"/>
      <c r="T190" s="189"/>
      <c r="U190" s="189"/>
      <c r="V190" s="189"/>
      <c r="W190" s="183">
        <f>J190</f>
        <v>0</v>
      </c>
      <c r="X190" s="183">
        <f>H190*$K$1</f>
        <v>0</v>
      </c>
    </row>
    <row r="191" spans="1:30" ht="15" customHeight="1" x14ac:dyDescent="0.25">
      <c r="A191" s="353"/>
      <c r="B191" s="288">
        <v>1</v>
      </c>
      <c r="C191" s="288">
        <v>0</v>
      </c>
      <c r="D191" s="126">
        <f>'Data Ocupacion'!BB38</f>
        <v>1</v>
      </c>
      <c r="E191" s="126">
        <f>'Data Ocupacion'!BC38</f>
        <v>0</v>
      </c>
      <c r="F191" s="125" t="s">
        <v>35</v>
      </c>
      <c r="G191" s="125">
        <f t="shared" si="166"/>
        <v>1</v>
      </c>
      <c r="H191" s="125">
        <f t="shared" si="170"/>
        <v>1</v>
      </c>
      <c r="I191" s="125">
        <f t="shared" si="167"/>
        <v>1</v>
      </c>
      <c r="J191" s="125">
        <f>G191*K$1</f>
        <v>25.4</v>
      </c>
      <c r="K191" s="153">
        <f>I191*K$1</f>
        <v>25.4</v>
      </c>
      <c r="L191" s="125">
        <f t="shared" si="168"/>
        <v>2641.6</v>
      </c>
      <c r="M191" s="125">
        <f t="shared" si="169"/>
        <v>104</v>
      </c>
      <c r="N191" s="19"/>
      <c r="O191" s="19"/>
      <c r="P191" s="146"/>
      <c r="Q191" s="189"/>
      <c r="R191" s="189"/>
      <c r="S191" s="189"/>
      <c r="T191" s="189"/>
      <c r="U191" s="189"/>
      <c r="V191" s="189"/>
      <c r="W191" s="183">
        <f>J191</f>
        <v>25.4</v>
      </c>
      <c r="X191" s="183">
        <f>H191*$K$1</f>
        <v>25.4</v>
      </c>
    </row>
    <row r="192" spans="1:30" s="124" customFormat="1" ht="15" customHeight="1" x14ac:dyDescent="0.25">
      <c r="A192" s="353"/>
      <c r="B192" s="288">
        <v>3</v>
      </c>
      <c r="C192" s="288">
        <v>1</v>
      </c>
      <c r="D192" s="126">
        <f>'Data Ocupacion'!BB39</f>
        <v>3</v>
      </c>
      <c r="E192" s="126">
        <f>'Data Ocupacion'!BC39</f>
        <v>1</v>
      </c>
      <c r="F192" s="288" t="s">
        <v>152</v>
      </c>
      <c r="G192" s="125">
        <f t="shared" ref="G192:G193" si="171">D192+E192*2</f>
        <v>5</v>
      </c>
      <c r="H192" s="125">
        <f t="shared" ref="H192:H193" si="172">B192+C192*2</f>
        <v>5</v>
      </c>
      <c r="I192" s="125">
        <f t="shared" ref="I192:I193" si="173">D192+E192</f>
        <v>4</v>
      </c>
      <c r="J192" s="125">
        <f>G192*S$1</f>
        <v>174.14999999999998</v>
      </c>
      <c r="K192" s="153">
        <f>I192*S$1</f>
        <v>139.32</v>
      </c>
      <c r="L192" s="125">
        <f t="shared" ref="L192:L193" si="174">J192*104</f>
        <v>18111.599999999999</v>
      </c>
      <c r="M192" s="125">
        <f t="shared" ref="M192:M193" si="175">I192*104</f>
        <v>416</v>
      </c>
      <c r="N192" s="19"/>
      <c r="O192" s="19"/>
      <c r="P192" s="146"/>
      <c r="Q192" s="189"/>
      <c r="R192" s="189"/>
      <c r="S192" s="189"/>
      <c r="T192" s="189"/>
      <c r="U192" s="189"/>
      <c r="V192" s="189"/>
      <c r="W192" s="183">
        <f t="shared" ref="W192:W193" si="176">J192</f>
        <v>174.14999999999998</v>
      </c>
      <c r="X192" s="183">
        <f>H192*$S$1</f>
        <v>174.14999999999998</v>
      </c>
    </row>
    <row r="193" spans="1:26" s="124" customFormat="1" ht="15" customHeight="1" thickBot="1" x14ac:dyDescent="0.3">
      <c r="A193" s="353"/>
      <c r="B193" s="288">
        <v>2</v>
      </c>
      <c r="C193" s="288">
        <v>0</v>
      </c>
      <c r="D193" s="126">
        <f>'Data Ocupacion'!BB40</f>
        <v>2</v>
      </c>
      <c r="E193" s="126">
        <f>'Data Ocupacion'!BC40</f>
        <v>0</v>
      </c>
      <c r="F193" s="288" t="s">
        <v>151</v>
      </c>
      <c r="G193" s="125">
        <f t="shared" si="171"/>
        <v>2</v>
      </c>
      <c r="H193" s="125">
        <f t="shared" si="172"/>
        <v>2</v>
      </c>
      <c r="I193" s="125">
        <f t="shared" si="173"/>
        <v>2</v>
      </c>
      <c r="J193" s="125">
        <f>G193*Q$1</f>
        <v>16.600000000000001</v>
      </c>
      <c r="K193" s="153">
        <f>I193*Q$1</f>
        <v>16.600000000000001</v>
      </c>
      <c r="L193" s="125">
        <f t="shared" si="174"/>
        <v>1726.4</v>
      </c>
      <c r="M193" s="125">
        <f t="shared" si="175"/>
        <v>208</v>
      </c>
      <c r="N193" s="19"/>
      <c r="O193" s="19"/>
      <c r="P193" s="146"/>
      <c r="Q193" s="189"/>
      <c r="R193" s="189"/>
      <c r="S193" s="189"/>
      <c r="T193" s="189"/>
      <c r="U193" s="189"/>
      <c r="V193" s="189"/>
      <c r="W193" s="183">
        <f t="shared" si="176"/>
        <v>16.600000000000001</v>
      </c>
      <c r="X193" s="183">
        <f>H193*$Q$1</f>
        <v>16.600000000000001</v>
      </c>
    </row>
    <row r="194" spans="1:26" s="124" customFormat="1" ht="15.75" thickBot="1" x14ac:dyDescent="0.3">
      <c r="A194" s="20"/>
      <c r="B194" s="119">
        <f>SUM(B186:B193)</f>
        <v>221</v>
      </c>
      <c r="C194" s="119">
        <f>SUM(C186:C193)</f>
        <v>8</v>
      </c>
      <c r="D194" s="152">
        <f>SUM(D186:D193)</f>
        <v>221</v>
      </c>
      <c r="E194" s="152">
        <f>SUM(E186:E193)</f>
        <v>8</v>
      </c>
      <c r="F194" s="119"/>
      <c r="G194" s="119">
        <f t="shared" ref="G194:M194" si="177">SUM(G186:G193)</f>
        <v>237</v>
      </c>
      <c r="H194" s="119">
        <f t="shared" si="177"/>
        <v>237</v>
      </c>
      <c r="I194" s="119">
        <f t="shared" si="177"/>
        <v>229</v>
      </c>
      <c r="J194" s="120">
        <f t="shared" si="177"/>
        <v>9181.6200000000008</v>
      </c>
      <c r="K194" s="119">
        <f t="shared" si="177"/>
        <v>8844.8799999999992</v>
      </c>
      <c r="L194" s="118">
        <f t="shared" si="177"/>
        <v>954888.48</v>
      </c>
      <c r="M194" s="151">
        <f t="shared" si="177"/>
        <v>23816</v>
      </c>
      <c r="N194" s="123">
        <f>'Odometro-Kilometraje'!AA81</f>
        <v>9788</v>
      </c>
      <c r="O194" s="21">
        <f>(W194/N194)*100</f>
        <v>93.261442582754398</v>
      </c>
      <c r="P194" s="192"/>
      <c r="Q194" s="182"/>
      <c r="R194" s="182"/>
      <c r="S194" s="182"/>
      <c r="T194" s="182"/>
      <c r="U194" s="182"/>
      <c r="V194" s="182"/>
      <c r="W194" s="193">
        <f>SUM(W186:W193)</f>
        <v>9128.43</v>
      </c>
      <c r="X194" s="193">
        <f>SUM(X186:X193)</f>
        <v>9181.6200000000008</v>
      </c>
      <c r="Z194" s="172">
        <f>J194-W194</f>
        <v>53.190000000000509</v>
      </c>
    </row>
    <row r="195" spans="1:26" x14ac:dyDescent="0.25">
      <c r="A195" s="60">
        <f>A186+1</f>
        <v>46080</v>
      </c>
      <c r="B195" s="288">
        <v>76</v>
      </c>
      <c r="C195" s="288">
        <v>3</v>
      </c>
      <c r="D195" s="126">
        <f>'Data Ocupacion'!BD33</f>
        <v>76</v>
      </c>
      <c r="E195" s="126">
        <f>'Data Ocupacion'!BE33</f>
        <v>3</v>
      </c>
      <c r="F195" s="217" t="s">
        <v>38</v>
      </c>
      <c r="G195" s="218">
        <f t="shared" ref="G195:G200" si="178">D195+E195*2</f>
        <v>82</v>
      </c>
      <c r="H195" s="125">
        <f>B195+C195*2</f>
        <v>82</v>
      </c>
      <c r="I195" s="219">
        <f t="shared" ref="I195:I200" si="179">D195+E195</f>
        <v>79</v>
      </c>
      <c r="J195" s="219">
        <f>G195*M$2</f>
        <v>3536.6600000000003</v>
      </c>
      <c r="K195" s="153">
        <f>I195*M$2</f>
        <v>3407.27</v>
      </c>
      <c r="L195" s="125">
        <f t="shared" ref="L195:L200" si="180">J195*104</f>
        <v>367812.64</v>
      </c>
      <c r="M195" s="125">
        <f t="shared" ref="M195:M200" si="181">I195*104</f>
        <v>8216</v>
      </c>
      <c r="N195" s="19"/>
      <c r="O195" s="19"/>
      <c r="P195" s="146"/>
      <c r="Q195" s="144"/>
      <c r="R195" s="144"/>
      <c r="S195" s="144"/>
      <c r="T195" s="376"/>
      <c r="U195" s="377"/>
      <c r="V195" s="377"/>
      <c r="W195" s="378">
        <f>J195-(Q195*($M$2-$K$1))-(R195*($M$2-$M$1))- (S195*($M$2-$I$2))+ (T195*($G$2))</f>
        <v>3536.6600000000003</v>
      </c>
      <c r="X195" s="378">
        <f>H195*$M$2</f>
        <v>3536.6600000000003</v>
      </c>
    </row>
    <row r="196" spans="1:26" ht="18" customHeight="1" x14ac:dyDescent="0.25">
      <c r="A196" s="353" t="s">
        <v>185</v>
      </c>
      <c r="B196" s="288">
        <v>74</v>
      </c>
      <c r="C196" s="288">
        <v>4</v>
      </c>
      <c r="D196" s="126">
        <f>'Data Ocupacion'!BD34</f>
        <v>74</v>
      </c>
      <c r="E196" s="126">
        <f>'Data Ocupacion'!BE34</f>
        <v>4</v>
      </c>
      <c r="F196" s="217" t="s">
        <v>52</v>
      </c>
      <c r="G196" s="218">
        <f t="shared" si="178"/>
        <v>82</v>
      </c>
      <c r="H196" s="125">
        <f t="shared" ref="H196:H200" si="182">B196+C196*2</f>
        <v>82</v>
      </c>
      <c r="I196" s="125">
        <f t="shared" si="179"/>
        <v>78</v>
      </c>
      <c r="J196" s="125">
        <f>G196*M$2</f>
        <v>3536.6600000000003</v>
      </c>
      <c r="K196" s="153">
        <f>I196*M$2</f>
        <v>3364.1400000000003</v>
      </c>
      <c r="L196" s="125">
        <f t="shared" si="180"/>
        <v>367812.64</v>
      </c>
      <c r="M196" s="125">
        <f t="shared" si="181"/>
        <v>8112</v>
      </c>
      <c r="N196" s="19"/>
      <c r="O196" s="19"/>
      <c r="P196" s="146"/>
      <c r="Q196" s="377"/>
      <c r="R196" s="377"/>
      <c r="S196" s="379"/>
      <c r="T196" s="144">
        <v>3</v>
      </c>
      <c r="U196" s="379"/>
      <c r="V196" s="30"/>
      <c r="W196" s="378">
        <f>J196-(T196*($M$2-$K$1)+(U196*($M$2-$M$1)))</f>
        <v>3483.4700000000003</v>
      </c>
      <c r="X196" s="378">
        <f>H196*$M$2</f>
        <v>3536.6600000000003</v>
      </c>
    </row>
    <row r="197" spans="1:26" ht="15" customHeight="1" x14ac:dyDescent="0.25">
      <c r="A197" s="353"/>
      <c r="B197" s="288">
        <v>33</v>
      </c>
      <c r="C197" s="288">
        <v>0</v>
      </c>
      <c r="D197" s="126">
        <f>'Data Ocupacion'!BD35</f>
        <v>33</v>
      </c>
      <c r="E197" s="126">
        <f>'Data Ocupacion'!BE35</f>
        <v>0</v>
      </c>
      <c r="F197" s="217" t="s">
        <v>36</v>
      </c>
      <c r="G197" s="218">
        <f t="shared" si="178"/>
        <v>33</v>
      </c>
      <c r="H197" s="125">
        <f t="shared" si="182"/>
        <v>33</v>
      </c>
      <c r="I197" s="125">
        <f t="shared" si="179"/>
        <v>33</v>
      </c>
      <c r="J197" s="125">
        <f>G197*M$1</f>
        <v>960.63</v>
      </c>
      <c r="K197" s="153">
        <f>I197*M$1</f>
        <v>960.63</v>
      </c>
      <c r="L197" s="125">
        <f t="shared" si="180"/>
        <v>99905.52</v>
      </c>
      <c r="M197" s="125">
        <f t="shared" si="181"/>
        <v>3432</v>
      </c>
      <c r="N197" s="19"/>
      <c r="O197" s="19"/>
      <c r="P197" s="146"/>
      <c r="Q197" s="238"/>
      <c r="R197" s="190"/>
      <c r="S197" s="225"/>
      <c r="T197" s="186"/>
      <c r="U197" s="189"/>
      <c r="V197" s="189"/>
      <c r="W197" s="183">
        <f>J197-(Q197*($M$1-$K$1))</f>
        <v>960.63</v>
      </c>
      <c r="X197" s="183">
        <f>H197*$M$1</f>
        <v>960.63</v>
      </c>
    </row>
    <row r="198" spans="1:26" ht="15" customHeight="1" x14ac:dyDescent="0.25">
      <c r="A198" s="353"/>
      <c r="B198" s="288">
        <v>32</v>
      </c>
      <c r="C198" s="288">
        <v>0</v>
      </c>
      <c r="D198" s="126">
        <f>'Data Ocupacion'!BD36</f>
        <v>32</v>
      </c>
      <c r="E198" s="126">
        <f>'Data Ocupacion'!BE36</f>
        <v>0</v>
      </c>
      <c r="F198" s="217" t="s">
        <v>53</v>
      </c>
      <c r="G198" s="218">
        <f t="shared" si="178"/>
        <v>32</v>
      </c>
      <c r="H198" s="125">
        <f t="shared" si="182"/>
        <v>32</v>
      </c>
      <c r="I198" s="125">
        <f t="shared" si="179"/>
        <v>32</v>
      </c>
      <c r="J198" s="125">
        <f>G198*M$1</f>
        <v>931.52</v>
      </c>
      <c r="K198" s="153">
        <f>I198*M$1</f>
        <v>931.52</v>
      </c>
      <c r="L198" s="125">
        <f t="shared" si="180"/>
        <v>96878.080000000002</v>
      </c>
      <c r="M198" s="125">
        <f t="shared" si="181"/>
        <v>3328</v>
      </c>
      <c r="N198" s="19"/>
      <c r="O198" s="19"/>
      <c r="P198" s="146"/>
      <c r="Q198" s="189"/>
      <c r="R198" s="189"/>
      <c r="S198" s="189"/>
      <c r="T198" s="189"/>
      <c r="U198" s="189"/>
      <c r="V198" s="189"/>
      <c r="W198" s="183">
        <f>J198</f>
        <v>931.52</v>
      </c>
      <c r="X198" s="183">
        <f>H198*$M$1</f>
        <v>931.52</v>
      </c>
    </row>
    <row r="199" spans="1:26" ht="15" customHeight="1" x14ac:dyDescent="0.25">
      <c r="A199" s="353"/>
      <c r="B199" s="288">
        <v>0</v>
      </c>
      <c r="C199" s="288">
        <v>0</v>
      </c>
      <c r="D199" s="126">
        <f>'Data Ocupacion'!BD37</f>
        <v>0</v>
      </c>
      <c r="E199" s="126">
        <f>'Data Ocupacion'!BE37</f>
        <v>0</v>
      </c>
      <c r="F199" s="217" t="s">
        <v>122</v>
      </c>
      <c r="G199" s="218">
        <f t="shared" si="178"/>
        <v>0</v>
      </c>
      <c r="H199" s="125">
        <f t="shared" si="182"/>
        <v>0</v>
      </c>
      <c r="I199" s="125">
        <f t="shared" si="179"/>
        <v>0</v>
      </c>
      <c r="J199" s="220">
        <f>G199*K$1</f>
        <v>0</v>
      </c>
      <c r="K199" s="153">
        <f>I199*K$1</f>
        <v>0</v>
      </c>
      <c r="L199" s="125">
        <f t="shared" si="180"/>
        <v>0</v>
      </c>
      <c r="M199" s="125">
        <f t="shared" si="181"/>
        <v>0</v>
      </c>
      <c r="N199" s="19"/>
      <c r="O199" s="19"/>
      <c r="P199" s="146"/>
      <c r="Q199" s="189"/>
      <c r="R199" s="189"/>
      <c r="S199" s="189"/>
      <c r="T199" s="189"/>
      <c r="U199" s="189"/>
      <c r="V199" s="189"/>
      <c r="W199" s="183">
        <f>J199</f>
        <v>0</v>
      </c>
      <c r="X199" s="183">
        <f>H199*$K$1</f>
        <v>0</v>
      </c>
    </row>
    <row r="200" spans="1:26" ht="15.75" customHeight="1" x14ac:dyDescent="0.25">
      <c r="A200" s="353"/>
      <c r="B200" s="288">
        <v>1</v>
      </c>
      <c r="C200" s="288">
        <v>0</v>
      </c>
      <c r="D200" s="126">
        <f>'Data Ocupacion'!BD38</f>
        <v>1</v>
      </c>
      <c r="E200" s="126">
        <f>'Data Ocupacion'!BE38</f>
        <v>0</v>
      </c>
      <c r="F200" s="217" t="s">
        <v>35</v>
      </c>
      <c r="G200" s="218">
        <f t="shared" si="178"/>
        <v>1</v>
      </c>
      <c r="H200" s="125">
        <f t="shared" si="182"/>
        <v>1</v>
      </c>
      <c r="I200" s="221">
        <f t="shared" si="179"/>
        <v>1</v>
      </c>
      <c r="J200" s="221">
        <f>G200*K$1</f>
        <v>25.4</v>
      </c>
      <c r="K200" s="153">
        <f>I200*K$1</f>
        <v>25.4</v>
      </c>
      <c r="L200" s="125">
        <f t="shared" si="180"/>
        <v>2641.6</v>
      </c>
      <c r="M200" s="125">
        <f t="shared" si="181"/>
        <v>104</v>
      </c>
      <c r="N200" s="19"/>
      <c r="O200" s="19"/>
      <c r="P200" s="146"/>
      <c r="Q200" s="189"/>
      <c r="R200" s="189"/>
      <c r="S200" s="189"/>
      <c r="T200" s="189"/>
      <c r="U200" s="189"/>
      <c r="V200" s="189"/>
      <c r="W200" s="183">
        <f>J200</f>
        <v>25.4</v>
      </c>
      <c r="X200" s="183">
        <f>H200*$K$1</f>
        <v>25.4</v>
      </c>
    </row>
    <row r="201" spans="1:26" s="124" customFormat="1" ht="15.75" customHeight="1" x14ac:dyDescent="0.25">
      <c r="A201" s="353"/>
      <c r="B201" s="288">
        <v>3</v>
      </c>
      <c r="C201" s="288">
        <v>1</v>
      </c>
      <c r="D201" s="126">
        <f>'Data Ocupacion'!BD39</f>
        <v>3</v>
      </c>
      <c r="E201" s="126">
        <f>'Data Ocupacion'!BE39</f>
        <v>1</v>
      </c>
      <c r="F201" s="288" t="s">
        <v>152</v>
      </c>
      <c r="G201" s="218">
        <f t="shared" ref="G201:G202" si="183">D201+E201*2</f>
        <v>5</v>
      </c>
      <c r="H201" s="125">
        <f t="shared" ref="H201:H202" si="184">B201+C201*2</f>
        <v>5</v>
      </c>
      <c r="I201" s="221">
        <f t="shared" ref="I201:I202" si="185">D201+E201</f>
        <v>4</v>
      </c>
      <c r="J201" s="221">
        <f>G201*S$1</f>
        <v>174.14999999999998</v>
      </c>
      <c r="K201" s="153">
        <f>I201*S$1</f>
        <v>139.32</v>
      </c>
      <c r="L201" s="125">
        <f t="shared" ref="L201:L202" si="186">J201*104</f>
        <v>18111.599999999999</v>
      </c>
      <c r="M201" s="125">
        <f t="shared" ref="M201:M202" si="187">I201*104</f>
        <v>416</v>
      </c>
      <c r="N201" s="19"/>
      <c r="O201" s="19"/>
      <c r="P201" s="146"/>
      <c r="Q201" s="189"/>
      <c r="R201" s="189"/>
      <c r="S201" s="189"/>
      <c r="T201" s="189"/>
      <c r="U201" s="189"/>
      <c r="V201" s="189"/>
      <c r="W201" s="183">
        <f t="shared" ref="W201:W202" si="188">J201</f>
        <v>174.14999999999998</v>
      </c>
      <c r="X201" s="183">
        <f>H201*$S$1</f>
        <v>174.14999999999998</v>
      </c>
    </row>
    <row r="202" spans="1:26" s="124" customFormat="1" ht="15.75" customHeight="1" thickBot="1" x14ac:dyDescent="0.3">
      <c r="A202" s="353"/>
      <c r="B202" s="288">
        <v>2</v>
      </c>
      <c r="C202" s="288">
        <v>0</v>
      </c>
      <c r="D202" s="126">
        <f>'Data Ocupacion'!BD40</f>
        <v>2</v>
      </c>
      <c r="E202" s="126">
        <f>'Data Ocupacion'!BE40</f>
        <v>0</v>
      </c>
      <c r="F202" s="288" t="s">
        <v>151</v>
      </c>
      <c r="G202" s="218">
        <f t="shared" si="183"/>
        <v>2</v>
      </c>
      <c r="H202" s="125">
        <f t="shared" si="184"/>
        <v>2</v>
      </c>
      <c r="I202" s="221">
        <f t="shared" si="185"/>
        <v>2</v>
      </c>
      <c r="J202" s="221">
        <f>G202*Q$1</f>
        <v>16.600000000000001</v>
      </c>
      <c r="K202" s="153">
        <f>I202*Q$1</f>
        <v>16.600000000000001</v>
      </c>
      <c r="L202" s="125">
        <f t="shared" si="186"/>
        <v>1726.4</v>
      </c>
      <c r="M202" s="125">
        <f t="shared" si="187"/>
        <v>208</v>
      </c>
      <c r="N202" s="19"/>
      <c r="O202" s="19"/>
      <c r="P202" s="146"/>
      <c r="Q202" s="189"/>
      <c r="R202" s="189"/>
      <c r="S202" s="189"/>
      <c r="T202" s="189"/>
      <c r="U202" s="189"/>
      <c r="V202" s="189"/>
      <c r="W202" s="183">
        <f t="shared" si="188"/>
        <v>16.600000000000001</v>
      </c>
      <c r="X202" s="183">
        <f>H202*$Q$1</f>
        <v>16.600000000000001</v>
      </c>
    </row>
    <row r="203" spans="1:26" s="124" customFormat="1" ht="15.75" thickBot="1" x14ac:dyDescent="0.3">
      <c r="A203" s="20"/>
      <c r="B203" s="119">
        <f>SUM(B195:B202)</f>
        <v>221</v>
      </c>
      <c r="C203" s="119">
        <f>SUM(C195:C202)</f>
        <v>8</v>
      </c>
      <c r="D203" s="148">
        <f>SUM(D195:D202)</f>
        <v>221</v>
      </c>
      <c r="E203" s="148">
        <f>SUM(E195:E202)</f>
        <v>8</v>
      </c>
      <c r="F203" s="119"/>
      <c r="G203" s="119">
        <f t="shared" ref="G203:M203" si="189">SUM(G195:G202)</f>
        <v>237</v>
      </c>
      <c r="H203" s="119">
        <f t="shared" si="189"/>
        <v>237</v>
      </c>
      <c r="I203" s="119">
        <f t="shared" si="189"/>
        <v>229</v>
      </c>
      <c r="J203" s="119">
        <f t="shared" si="189"/>
        <v>9181.6200000000008</v>
      </c>
      <c r="K203" s="119">
        <f t="shared" si="189"/>
        <v>8844.8799999999992</v>
      </c>
      <c r="L203" s="119">
        <f t="shared" si="189"/>
        <v>954888.48</v>
      </c>
      <c r="M203" s="119">
        <f t="shared" si="189"/>
        <v>23816</v>
      </c>
      <c r="N203" s="123">
        <f>'Odometro-Kilometraje'!AB81</f>
        <v>10003</v>
      </c>
      <c r="O203" s="21">
        <f>(W203/N203)*100</f>
        <v>91.256922923123057</v>
      </c>
      <c r="P203" s="192"/>
      <c r="Q203" s="182"/>
      <c r="R203" s="182"/>
      <c r="S203" s="182"/>
      <c r="T203" s="182"/>
      <c r="U203" s="182"/>
      <c r="V203" s="182"/>
      <c r="W203" s="193">
        <f>SUM(W195:W202)</f>
        <v>9128.43</v>
      </c>
      <c r="X203" s="193">
        <f>SUM(X195:X202)</f>
        <v>9181.6200000000008</v>
      </c>
      <c r="Z203" s="172">
        <f>J203-W203</f>
        <v>53.190000000000509</v>
      </c>
    </row>
    <row r="204" spans="1:26" x14ac:dyDescent="0.25">
      <c r="A204" s="60">
        <f>A195+1</f>
        <v>46081</v>
      </c>
      <c r="B204" s="116">
        <v>69</v>
      </c>
      <c r="C204" s="116">
        <v>3</v>
      </c>
      <c r="D204" s="126">
        <f>'Data Ocupacion'!BF33</f>
        <v>70</v>
      </c>
      <c r="E204" s="126">
        <f>'Data Ocupacion'!BG33</f>
        <v>2</v>
      </c>
      <c r="F204" s="320" t="s">
        <v>38</v>
      </c>
      <c r="G204" s="321">
        <f t="shared" ref="G204:G209" si="190">D204+E204*2</f>
        <v>74</v>
      </c>
      <c r="H204" s="116">
        <f>B204+C204*2</f>
        <v>75</v>
      </c>
      <c r="I204" s="322">
        <f t="shared" ref="I204:I209" si="191">D204+E204</f>
        <v>72</v>
      </c>
      <c r="J204" s="322">
        <f>G204*M$2</f>
        <v>3191.6200000000003</v>
      </c>
      <c r="K204" s="153">
        <f>I204*M$2</f>
        <v>3105.36</v>
      </c>
      <c r="L204" s="116">
        <f t="shared" ref="L204:L209" si="192">J204*104</f>
        <v>331928.48000000004</v>
      </c>
      <c r="M204" s="116">
        <f t="shared" ref="M204:M209" si="193">I204*104</f>
        <v>7488</v>
      </c>
      <c r="N204" s="19"/>
      <c r="O204" s="19"/>
      <c r="P204" s="146"/>
      <c r="Q204" s="144"/>
      <c r="R204" s="144"/>
      <c r="S204" s="144"/>
      <c r="T204" s="376"/>
      <c r="U204" s="377"/>
      <c r="V204" s="377"/>
      <c r="W204" s="378">
        <f>J204-(Q204*($M$2-$K$1))-(R204*($M$2-$M$1))- (S204*($M$2-$I$2))+ (T204*($G$2))</f>
        <v>3191.6200000000003</v>
      </c>
      <c r="X204" s="378">
        <f>H204*$M$2</f>
        <v>3234.75</v>
      </c>
    </row>
    <row r="205" spans="1:26" ht="15" customHeight="1" x14ac:dyDescent="0.25">
      <c r="A205" s="353" t="s">
        <v>185</v>
      </c>
      <c r="B205" s="116">
        <v>75</v>
      </c>
      <c r="C205" s="116">
        <v>0</v>
      </c>
      <c r="D205" s="147">
        <f>'Data Ocupacion'!BF34</f>
        <v>75</v>
      </c>
      <c r="E205" s="147">
        <f>'Data Ocupacion'!BG34</f>
        <v>0</v>
      </c>
      <c r="F205" s="320" t="s">
        <v>52</v>
      </c>
      <c r="G205" s="321">
        <f t="shared" si="190"/>
        <v>75</v>
      </c>
      <c r="H205" s="116">
        <f t="shared" ref="H205:H209" si="194">B205+C205*2</f>
        <v>75</v>
      </c>
      <c r="I205" s="116">
        <f t="shared" si="191"/>
        <v>75</v>
      </c>
      <c r="J205" s="116">
        <f>G205*M$2</f>
        <v>3234.75</v>
      </c>
      <c r="K205" s="153">
        <f>I205*M$2</f>
        <v>3234.75</v>
      </c>
      <c r="L205" s="116">
        <f t="shared" si="192"/>
        <v>336414</v>
      </c>
      <c r="M205" s="116">
        <f t="shared" si="193"/>
        <v>7800</v>
      </c>
      <c r="N205" s="19"/>
      <c r="O205" s="19"/>
      <c r="P205" s="146"/>
      <c r="Q205" s="377"/>
      <c r="R205" s="377"/>
      <c r="S205" s="379"/>
      <c r="T205" s="144"/>
      <c r="U205" s="379"/>
      <c r="V205" s="30"/>
      <c r="W205" s="378">
        <f>J205-(T205*($M$2-$K$1)+(U205*($M$2-$M$1)))</f>
        <v>3234.75</v>
      </c>
      <c r="X205" s="378">
        <f>H205*$M$2</f>
        <v>3234.75</v>
      </c>
    </row>
    <row r="206" spans="1:26" ht="15" customHeight="1" x14ac:dyDescent="0.25">
      <c r="A206" s="353"/>
      <c r="B206" s="116">
        <v>0</v>
      </c>
      <c r="C206" s="116">
        <v>0</v>
      </c>
      <c r="D206" s="147">
        <f>'Data Ocupacion'!BF35</f>
        <v>0</v>
      </c>
      <c r="E206" s="147">
        <f>'Data Ocupacion'!BG35</f>
        <v>0</v>
      </c>
      <c r="F206" s="320" t="s">
        <v>36</v>
      </c>
      <c r="G206" s="321">
        <f t="shared" si="190"/>
        <v>0</v>
      </c>
      <c r="H206" s="116">
        <f t="shared" si="194"/>
        <v>0</v>
      </c>
      <c r="I206" s="116">
        <f t="shared" si="191"/>
        <v>0</v>
      </c>
      <c r="J206" s="116">
        <f>G206*M$1</f>
        <v>0</v>
      </c>
      <c r="K206" s="153">
        <f>I206*M$1</f>
        <v>0</v>
      </c>
      <c r="L206" s="116">
        <f t="shared" si="192"/>
        <v>0</v>
      </c>
      <c r="M206" s="116">
        <f t="shared" si="193"/>
        <v>0</v>
      </c>
      <c r="N206" s="19"/>
      <c r="O206" s="19" t="s">
        <v>144</v>
      </c>
      <c r="P206" s="146"/>
      <c r="Q206" s="238"/>
      <c r="R206" s="190"/>
      <c r="S206" s="225"/>
      <c r="T206" s="186"/>
      <c r="U206" s="189"/>
      <c r="V206" s="189"/>
      <c r="W206" s="183">
        <f>J206-(Q206*($M$1-$K$1))</f>
        <v>0</v>
      </c>
      <c r="X206" s="183">
        <f>H206*$M$1</f>
        <v>0</v>
      </c>
    </row>
    <row r="207" spans="1:26" ht="15" customHeight="1" x14ac:dyDescent="0.25">
      <c r="A207" s="353"/>
      <c r="B207" s="116">
        <v>0</v>
      </c>
      <c r="C207" s="116">
        <v>0</v>
      </c>
      <c r="D207" s="147">
        <f>'Data Ocupacion'!BF36</f>
        <v>0</v>
      </c>
      <c r="E207" s="147">
        <f>'Data Ocupacion'!BG36</f>
        <v>0</v>
      </c>
      <c r="F207" s="320" t="s">
        <v>53</v>
      </c>
      <c r="G207" s="321">
        <f t="shared" si="190"/>
        <v>0</v>
      </c>
      <c r="H207" s="116">
        <f t="shared" si="194"/>
        <v>0</v>
      </c>
      <c r="I207" s="116">
        <f t="shared" si="191"/>
        <v>0</v>
      </c>
      <c r="J207" s="116">
        <f>G207*M$1</f>
        <v>0</v>
      </c>
      <c r="K207" s="153">
        <f>I207*M$1</f>
        <v>0</v>
      </c>
      <c r="L207" s="116">
        <f t="shared" si="192"/>
        <v>0</v>
      </c>
      <c r="M207" s="116">
        <f t="shared" si="193"/>
        <v>0</v>
      </c>
      <c r="N207" s="19"/>
      <c r="O207" s="19" t="s">
        <v>144</v>
      </c>
      <c r="P207" s="146"/>
      <c r="Q207" s="189"/>
      <c r="R207" s="189"/>
      <c r="S207" s="189"/>
      <c r="T207" s="189"/>
      <c r="U207" s="189"/>
      <c r="V207" s="189"/>
      <c r="W207" s="183">
        <f>J207</f>
        <v>0</v>
      </c>
      <c r="X207" s="183">
        <f>H207*$M$1</f>
        <v>0</v>
      </c>
    </row>
    <row r="208" spans="1:26" ht="15" customHeight="1" x14ac:dyDescent="0.25">
      <c r="A208" s="353"/>
      <c r="B208" s="116">
        <v>0</v>
      </c>
      <c r="C208" s="116">
        <v>0</v>
      </c>
      <c r="D208" s="147">
        <f>'Data Ocupacion'!BF37</f>
        <v>0</v>
      </c>
      <c r="E208" s="147">
        <f>'Data Ocupacion'!BG37</f>
        <v>0</v>
      </c>
      <c r="F208" s="320" t="s">
        <v>122</v>
      </c>
      <c r="G208" s="321">
        <f t="shared" si="190"/>
        <v>0</v>
      </c>
      <c r="H208" s="116">
        <f t="shared" si="194"/>
        <v>0</v>
      </c>
      <c r="I208" s="116">
        <f t="shared" si="191"/>
        <v>0</v>
      </c>
      <c r="J208" s="323">
        <f>G208*K$1</f>
        <v>0</v>
      </c>
      <c r="K208" s="153">
        <f>I208*K$1</f>
        <v>0</v>
      </c>
      <c r="L208" s="116">
        <f t="shared" si="192"/>
        <v>0</v>
      </c>
      <c r="M208" s="116">
        <f t="shared" si="193"/>
        <v>0</v>
      </c>
      <c r="N208" s="19"/>
      <c r="O208" s="19"/>
      <c r="P208" s="146"/>
      <c r="Q208" s="189"/>
      <c r="R208" s="189"/>
      <c r="S208" s="189"/>
      <c r="T208" s="189"/>
      <c r="U208" s="189"/>
      <c r="V208" s="189"/>
      <c r="W208" s="183">
        <f>J208</f>
        <v>0</v>
      </c>
      <c r="X208" s="183">
        <f>H208*$K$1</f>
        <v>0</v>
      </c>
    </row>
    <row r="209" spans="1:26" ht="15.75" customHeight="1" x14ac:dyDescent="0.25">
      <c r="A209" s="353"/>
      <c r="B209" s="116">
        <v>0</v>
      </c>
      <c r="C209" s="116">
        <v>0</v>
      </c>
      <c r="D209" s="147">
        <f>'Data Ocupacion'!BF38</f>
        <v>0</v>
      </c>
      <c r="E209" s="147">
        <f>'Data Ocupacion'!BG38</f>
        <v>0</v>
      </c>
      <c r="F209" s="320" t="s">
        <v>35</v>
      </c>
      <c r="G209" s="321">
        <f t="shared" si="190"/>
        <v>0</v>
      </c>
      <c r="H209" s="116">
        <f t="shared" si="194"/>
        <v>0</v>
      </c>
      <c r="I209" s="324">
        <f t="shared" si="191"/>
        <v>0</v>
      </c>
      <c r="J209" s="324">
        <f>G209*K$1</f>
        <v>0</v>
      </c>
      <c r="K209" s="153">
        <f>I209*K$1</f>
        <v>0</v>
      </c>
      <c r="L209" s="116">
        <f t="shared" si="192"/>
        <v>0</v>
      </c>
      <c r="M209" s="116">
        <f t="shared" si="193"/>
        <v>0</v>
      </c>
      <c r="N209" s="19"/>
      <c r="O209" s="19"/>
      <c r="P209" s="146"/>
      <c r="Q209" s="189"/>
      <c r="R209" s="189"/>
      <c r="S209" s="189"/>
      <c r="T209" s="189"/>
      <c r="U209" s="189"/>
      <c r="V209" s="189"/>
      <c r="W209" s="183">
        <f>J209</f>
        <v>0</v>
      </c>
      <c r="X209" s="183">
        <f>H209*$K$1</f>
        <v>0</v>
      </c>
    </row>
    <row r="210" spans="1:26" s="124" customFormat="1" ht="15.75" customHeight="1" x14ac:dyDescent="0.25">
      <c r="A210" s="353"/>
      <c r="B210" s="116">
        <v>3</v>
      </c>
      <c r="C210" s="116">
        <v>1</v>
      </c>
      <c r="D210" s="147">
        <f>'Data Ocupacion'!BF39</f>
        <v>3</v>
      </c>
      <c r="E210" s="147">
        <f>'Data Ocupacion'!BG39</f>
        <v>1</v>
      </c>
      <c r="F210" s="326" t="s">
        <v>152</v>
      </c>
      <c r="G210" s="321">
        <f t="shared" ref="G210:G211" si="195">D210+E210*2</f>
        <v>5</v>
      </c>
      <c r="H210" s="116">
        <f t="shared" ref="H210:H211" si="196">B210+C210*2</f>
        <v>5</v>
      </c>
      <c r="I210" s="324">
        <f t="shared" ref="I210:I211" si="197">D210+E210</f>
        <v>4</v>
      </c>
      <c r="J210" s="324">
        <f>G210*S$1</f>
        <v>174.14999999999998</v>
      </c>
      <c r="K210" s="153">
        <f>I210*S$1</f>
        <v>139.32</v>
      </c>
      <c r="L210" s="116">
        <f t="shared" ref="L210:L211" si="198">J210*104</f>
        <v>18111.599999999999</v>
      </c>
      <c r="M210" s="116">
        <f t="shared" ref="M210:M211" si="199">I210*104</f>
        <v>416</v>
      </c>
      <c r="N210" s="19"/>
      <c r="O210" s="19"/>
      <c r="P210" s="146"/>
      <c r="Q210" s="189"/>
      <c r="R210" s="189"/>
      <c r="S210" s="189"/>
      <c r="T210" s="189"/>
      <c r="U210" s="189"/>
      <c r="V210" s="189"/>
      <c r="W210" s="183">
        <f t="shared" ref="W210:W211" si="200">J210</f>
        <v>174.14999999999998</v>
      </c>
      <c r="X210" s="183">
        <f>H210*$S$1</f>
        <v>174.14999999999998</v>
      </c>
    </row>
    <row r="211" spans="1:26" s="124" customFormat="1" ht="15.75" customHeight="1" thickBot="1" x14ac:dyDescent="0.3">
      <c r="A211" s="353"/>
      <c r="B211" s="116">
        <v>2</v>
      </c>
      <c r="C211" s="116">
        <v>0</v>
      </c>
      <c r="D211" s="147">
        <f>'Data Ocupacion'!BF40</f>
        <v>2</v>
      </c>
      <c r="E211" s="147">
        <f>'Data Ocupacion'!BG40</f>
        <v>0</v>
      </c>
      <c r="F211" s="326" t="s">
        <v>151</v>
      </c>
      <c r="G211" s="321">
        <f t="shared" si="195"/>
        <v>2</v>
      </c>
      <c r="H211" s="116">
        <f t="shared" si="196"/>
        <v>2</v>
      </c>
      <c r="I211" s="324">
        <f t="shared" si="197"/>
        <v>2</v>
      </c>
      <c r="J211" s="324">
        <f>G211*Q$1</f>
        <v>16.600000000000001</v>
      </c>
      <c r="K211" s="153">
        <f>I211*Q$1</f>
        <v>16.600000000000001</v>
      </c>
      <c r="L211" s="116">
        <f t="shared" si="198"/>
        <v>1726.4</v>
      </c>
      <c r="M211" s="116">
        <f t="shared" si="199"/>
        <v>208</v>
      </c>
      <c r="N211" s="19"/>
      <c r="O211" s="19"/>
      <c r="P211" s="146"/>
      <c r="Q211" s="189"/>
      <c r="R211" s="189"/>
      <c r="S211" s="189"/>
      <c r="T211" s="189"/>
      <c r="U211" s="189"/>
      <c r="V211" s="189"/>
      <c r="W211" s="183">
        <f t="shared" si="200"/>
        <v>16.600000000000001</v>
      </c>
      <c r="X211" s="183">
        <f>H211*$Q$1</f>
        <v>16.600000000000001</v>
      </c>
    </row>
    <row r="212" spans="1:26" s="124" customFormat="1" ht="12.75" customHeight="1" thickBot="1" x14ac:dyDescent="0.3">
      <c r="A212" s="20"/>
      <c r="B212" s="119">
        <f>SUM(B204:B211)</f>
        <v>149</v>
      </c>
      <c r="C212" s="119">
        <f>SUM(C204:C211)</f>
        <v>4</v>
      </c>
      <c r="D212" s="148">
        <f>SUM(D204:D211)</f>
        <v>150</v>
      </c>
      <c r="E212" s="148">
        <f>SUM(E204:E211)</f>
        <v>3</v>
      </c>
      <c r="F212" s="119"/>
      <c r="G212" s="119">
        <f t="shared" ref="G212:M212" si="201">SUM(G204:G211)</f>
        <v>156</v>
      </c>
      <c r="H212" s="119">
        <f t="shared" si="201"/>
        <v>157</v>
      </c>
      <c r="I212" s="119">
        <f t="shared" si="201"/>
        <v>153</v>
      </c>
      <c r="J212" s="119">
        <f t="shared" si="201"/>
        <v>6617.1200000000008</v>
      </c>
      <c r="K212" s="119">
        <f t="shared" si="201"/>
        <v>6496.0300000000007</v>
      </c>
      <c r="L212" s="119">
        <f t="shared" si="201"/>
        <v>688180.48</v>
      </c>
      <c r="M212" s="119">
        <f t="shared" si="201"/>
        <v>15912</v>
      </c>
      <c r="N212" s="123">
        <f>'Odometro-Kilometraje'!AC81</f>
        <v>6803</v>
      </c>
      <c r="O212" s="21">
        <f>(W212/N212)*100</f>
        <v>97.267676025282981</v>
      </c>
      <c r="P212" s="192"/>
      <c r="Q212" s="182"/>
      <c r="R212" s="182"/>
      <c r="S212" s="182"/>
      <c r="T212" s="182"/>
      <c r="U212" s="182"/>
      <c r="V212" s="182"/>
      <c r="W212" s="193">
        <f>SUM(W204:W211)</f>
        <v>6617.1200000000008</v>
      </c>
      <c r="X212" s="193">
        <f>SUM(X204:X211)</f>
        <v>6660.25</v>
      </c>
      <c r="Z212" s="172">
        <f>J212-W212</f>
        <v>0</v>
      </c>
    </row>
    <row r="213" spans="1:26" hidden="1" x14ac:dyDescent="0.25">
      <c r="A213" s="60"/>
      <c r="B213" s="288"/>
      <c r="C213" s="288"/>
      <c r="D213" s="126"/>
      <c r="E213" s="126"/>
      <c r="F213" s="125"/>
      <c r="G213" s="125"/>
      <c r="H213" s="125"/>
      <c r="I213" s="125"/>
      <c r="J213" s="125"/>
      <c r="K213" s="153"/>
      <c r="L213" s="125"/>
      <c r="M213" s="125"/>
      <c r="N213" s="19"/>
      <c r="O213" s="19"/>
      <c r="P213" s="146"/>
      <c r="Q213" s="184"/>
      <c r="R213" s="184"/>
      <c r="S213" s="203"/>
      <c r="T213" s="238"/>
      <c r="U213" s="191"/>
      <c r="V213" s="225"/>
      <c r="W213" s="183"/>
      <c r="X213" s="183"/>
    </row>
    <row r="214" spans="1:26" ht="15" hidden="1" customHeight="1" x14ac:dyDescent="0.25">
      <c r="A214" s="201"/>
      <c r="B214" s="288"/>
      <c r="C214" s="288"/>
      <c r="D214" s="126"/>
      <c r="E214" s="126"/>
      <c r="F214" s="125"/>
      <c r="G214" s="125"/>
      <c r="H214" s="125"/>
      <c r="I214" s="125"/>
      <c r="J214" s="125"/>
      <c r="K214" s="153"/>
      <c r="L214" s="125"/>
      <c r="M214" s="125"/>
      <c r="N214" s="19"/>
      <c r="O214" s="19"/>
      <c r="P214" s="146"/>
      <c r="Q214" s="186"/>
      <c r="R214" s="186"/>
      <c r="S214" s="214"/>
      <c r="T214" s="184"/>
      <c r="U214" s="214"/>
      <c r="V214" s="226"/>
      <c r="W214" s="185"/>
      <c r="X214" s="183"/>
    </row>
    <row r="215" spans="1:26" s="124" customFormat="1" ht="15.75" hidden="1" customHeight="1" x14ac:dyDescent="0.25">
      <c r="A215" s="201"/>
      <c r="B215" s="288"/>
      <c r="C215" s="288"/>
      <c r="D215" s="126"/>
      <c r="E215" s="126"/>
      <c r="F215" s="125"/>
      <c r="G215" s="125"/>
      <c r="H215" s="125"/>
      <c r="I215" s="125"/>
      <c r="J215" s="125"/>
      <c r="K215" s="153"/>
      <c r="L215" s="125"/>
      <c r="M215" s="125"/>
      <c r="N215" s="19"/>
      <c r="O215" s="19"/>
      <c r="P215" s="146"/>
      <c r="Q215" s="184"/>
      <c r="R215" s="187"/>
      <c r="S215" s="204"/>
      <c r="T215" s="188"/>
      <c r="U215" s="189"/>
      <c r="V215" s="189"/>
      <c r="W215" s="183"/>
      <c r="X215" s="183"/>
    </row>
    <row r="216" spans="1:26" s="124" customFormat="1" ht="15" hidden="1" customHeight="1" x14ac:dyDescent="0.25">
      <c r="A216" s="201"/>
      <c r="B216" s="288"/>
      <c r="C216" s="288"/>
      <c r="D216" s="126"/>
      <c r="E216" s="126"/>
      <c r="F216" s="125"/>
      <c r="G216" s="125"/>
      <c r="H216" s="125"/>
      <c r="I216" s="125"/>
      <c r="J216" s="125"/>
      <c r="K216" s="153"/>
      <c r="L216" s="125"/>
      <c r="M216" s="125"/>
      <c r="N216" s="19"/>
      <c r="O216" s="19"/>
      <c r="P216" s="146"/>
      <c r="Q216" s="189"/>
      <c r="R216" s="189"/>
      <c r="S216" s="189"/>
      <c r="T216" s="189"/>
      <c r="U216" s="189"/>
      <c r="V216" s="189"/>
      <c r="W216" s="183"/>
      <c r="X216" s="183"/>
    </row>
    <row r="217" spans="1:26" s="124" customFormat="1" hidden="1" x14ac:dyDescent="0.25">
      <c r="A217" s="201"/>
      <c r="B217" s="288"/>
      <c r="C217" s="288"/>
      <c r="D217" s="126"/>
      <c r="E217" s="126"/>
      <c r="F217" s="125"/>
      <c r="G217" s="125"/>
      <c r="H217" s="125"/>
      <c r="I217" s="125"/>
      <c r="J217" s="125"/>
      <c r="K217" s="153"/>
      <c r="L217" s="125"/>
      <c r="M217" s="125"/>
      <c r="N217" s="19"/>
      <c r="O217" s="19"/>
      <c r="P217" s="146"/>
      <c r="Q217" s="189"/>
      <c r="R217" s="189"/>
      <c r="S217" s="189"/>
      <c r="T217" s="189"/>
      <c r="U217" s="189"/>
      <c r="V217" s="189"/>
      <c r="W217" s="183"/>
      <c r="X217" s="183"/>
    </row>
    <row r="218" spans="1:26" s="124" customFormat="1" hidden="1" x14ac:dyDescent="0.25">
      <c r="A218" s="201"/>
      <c r="B218" s="288"/>
      <c r="C218" s="288"/>
      <c r="D218" s="126"/>
      <c r="E218" s="126"/>
      <c r="F218" s="125"/>
      <c r="G218" s="125"/>
      <c r="H218" s="125"/>
      <c r="I218" s="125"/>
      <c r="J218" s="125"/>
      <c r="K218" s="153"/>
      <c r="L218" s="125"/>
      <c r="M218" s="125"/>
      <c r="N218" s="19"/>
      <c r="O218" s="19"/>
      <c r="P218" s="146"/>
      <c r="Q218" s="189"/>
      <c r="R218" s="189"/>
      <c r="S218" s="189"/>
      <c r="T218" s="189"/>
      <c r="U218" s="189"/>
      <c r="V218" s="189"/>
      <c r="W218" s="183"/>
      <c r="X218" s="183"/>
    </row>
    <row r="219" spans="1:26" s="124" customFormat="1" ht="14.25" hidden="1" customHeight="1" thickBot="1" x14ac:dyDescent="0.3">
      <c r="A219" s="20"/>
      <c r="B219" s="119"/>
      <c r="C219" s="119"/>
      <c r="D219" s="152"/>
      <c r="E219" s="152"/>
      <c r="F219" s="119"/>
      <c r="G219" s="119"/>
      <c r="H219" s="119"/>
      <c r="I219" s="119"/>
      <c r="J219" s="120"/>
      <c r="K219" s="119"/>
      <c r="L219" s="118"/>
      <c r="M219" s="151"/>
      <c r="N219" s="123"/>
      <c r="O219" s="21"/>
      <c r="P219" s="192"/>
      <c r="Q219" s="182"/>
      <c r="R219" s="182"/>
      <c r="S219" s="182"/>
      <c r="T219" s="182"/>
      <c r="U219" s="182"/>
      <c r="V219" s="182"/>
      <c r="W219" s="193"/>
      <c r="X219" s="193"/>
      <c r="Y219" s="237"/>
    </row>
    <row r="220" spans="1:26" s="124" customFormat="1" hidden="1" x14ac:dyDescent="0.25">
      <c r="A220" s="60"/>
      <c r="B220" s="288"/>
      <c r="C220" s="288"/>
      <c r="D220" s="126"/>
      <c r="E220" s="126"/>
      <c r="F220" s="125"/>
      <c r="G220" s="125"/>
      <c r="H220" s="125"/>
      <c r="I220" s="125"/>
      <c r="J220" s="125"/>
      <c r="K220" s="153"/>
      <c r="L220" s="125"/>
      <c r="M220" s="125"/>
      <c r="N220" s="19"/>
      <c r="O220" s="19"/>
      <c r="P220" s="146"/>
      <c r="Q220" s="238"/>
      <c r="R220" s="184"/>
      <c r="S220" s="203"/>
      <c r="T220" s="238"/>
      <c r="U220" s="191"/>
      <c r="V220" s="225"/>
      <c r="W220" s="183"/>
      <c r="X220" s="183"/>
    </row>
    <row r="221" spans="1:26" s="124" customFormat="1" ht="14.25" hidden="1" customHeight="1" x14ac:dyDescent="0.25">
      <c r="A221" s="201"/>
      <c r="B221" s="288"/>
      <c r="C221" s="288"/>
      <c r="D221" s="126"/>
      <c r="E221" s="126"/>
      <c r="F221" s="125"/>
      <c r="G221" s="125"/>
      <c r="H221" s="125"/>
      <c r="I221" s="125"/>
      <c r="J221" s="125"/>
      <c r="K221" s="153"/>
      <c r="L221" s="125"/>
      <c r="M221" s="125"/>
      <c r="N221" s="19"/>
      <c r="O221" s="19"/>
      <c r="P221" s="146"/>
      <c r="Q221" s="186"/>
      <c r="R221" s="186"/>
      <c r="S221" s="186"/>
      <c r="T221" s="184"/>
      <c r="U221" s="184"/>
      <c r="V221" s="203"/>
      <c r="W221" s="185"/>
      <c r="X221" s="183"/>
    </row>
    <row r="222" spans="1:26" s="124" customFormat="1" hidden="1" x14ac:dyDescent="0.25">
      <c r="A222" s="201"/>
      <c r="B222" s="288"/>
      <c r="C222" s="288"/>
      <c r="D222" s="126"/>
      <c r="E222" s="126"/>
      <c r="F222" s="125"/>
      <c r="G222" s="125"/>
      <c r="H222" s="125"/>
      <c r="I222" s="125"/>
      <c r="J222" s="125"/>
      <c r="K222" s="153"/>
      <c r="L222" s="125"/>
      <c r="M222" s="125"/>
      <c r="N222" s="19"/>
      <c r="O222" s="19"/>
      <c r="P222" s="146"/>
      <c r="Q222" s="238"/>
      <c r="R222" s="187"/>
      <c r="S222" s="204"/>
      <c r="T222" s="188"/>
      <c r="U222" s="189"/>
      <c r="V222" s="189"/>
      <c r="W222" s="183"/>
      <c r="X222" s="183"/>
    </row>
    <row r="223" spans="1:26" s="124" customFormat="1" hidden="1" x14ac:dyDescent="0.25">
      <c r="A223" s="201"/>
      <c r="B223" s="288"/>
      <c r="C223" s="288"/>
      <c r="D223" s="126"/>
      <c r="E223" s="126"/>
      <c r="F223" s="125"/>
      <c r="G223" s="125"/>
      <c r="H223" s="125"/>
      <c r="I223" s="125"/>
      <c r="J223" s="125"/>
      <c r="K223" s="153"/>
      <c r="L223" s="125"/>
      <c r="M223" s="125"/>
      <c r="N223" s="19"/>
      <c r="O223" s="19"/>
      <c r="P223" s="146"/>
      <c r="Q223" s="189"/>
      <c r="R223" s="189"/>
      <c r="S223" s="189"/>
      <c r="T223" s="189"/>
      <c r="U223" s="189"/>
      <c r="V223" s="189"/>
      <c r="W223" s="183"/>
      <c r="X223" s="183"/>
    </row>
    <row r="224" spans="1:26" s="124" customFormat="1" hidden="1" x14ac:dyDescent="0.25">
      <c r="A224" s="201"/>
      <c r="B224" s="288"/>
      <c r="C224" s="288"/>
      <c r="D224" s="126"/>
      <c r="E224" s="126"/>
      <c r="F224" s="125"/>
      <c r="G224" s="125"/>
      <c r="H224" s="125"/>
      <c r="I224" s="125"/>
      <c r="J224" s="125"/>
      <c r="K224" s="153"/>
      <c r="L224" s="125"/>
      <c r="M224" s="125"/>
      <c r="N224" s="19"/>
      <c r="O224" s="19"/>
      <c r="P224" s="146"/>
      <c r="Q224" s="189"/>
      <c r="R224" s="189"/>
      <c r="S224" s="189"/>
      <c r="T224" s="189"/>
      <c r="U224" s="189"/>
      <c r="V224" s="189"/>
      <c r="W224" s="183"/>
      <c r="X224" s="183"/>
    </row>
    <row r="225" spans="1:29" s="124" customFormat="1" hidden="1" x14ac:dyDescent="0.25">
      <c r="A225" s="201"/>
      <c r="B225" s="288"/>
      <c r="C225" s="288"/>
      <c r="D225" s="126"/>
      <c r="E225" s="126"/>
      <c r="F225" s="125"/>
      <c r="G225" s="125"/>
      <c r="H225" s="125"/>
      <c r="I225" s="125"/>
      <c r="J225" s="125"/>
      <c r="K225" s="153"/>
      <c r="L225" s="125"/>
      <c r="M225" s="125"/>
      <c r="N225" s="19"/>
      <c r="O225" s="19"/>
      <c r="P225" s="146"/>
      <c r="Q225" s="189"/>
      <c r="R225" s="189"/>
      <c r="S225" s="189"/>
      <c r="T225" s="189"/>
      <c r="U225" s="189"/>
      <c r="V225" s="189"/>
      <c r="W225" s="183"/>
      <c r="X225" s="183"/>
    </row>
    <row r="226" spans="1:29" s="124" customFormat="1" ht="15.75" hidden="1" thickBot="1" x14ac:dyDescent="0.3">
      <c r="A226" s="20"/>
      <c r="B226" s="119"/>
      <c r="C226" s="119"/>
      <c r="D226" s="152"/>
      <c r="E226" s="152"/>
      <c r="F226" s="119"/>
      <c r="G226" s="119"/>
      <c r="H226" s="119"/>
      <c r="I226" s="119"/>
      <c r="J226" s="120"/>
      <c r="K226" s="119"/>
      <c r="L226" s="118"/>
      <c r="M226" s="151"/>
      <c r="N226" s="123"/>
      <c r="O226" s="21"/>
      <c r="P226" s="192"/>
      <c r="Q226" s="182"/>
      <c r="R226" s="182"/>
      <c r="S226" s="182"/>
      <c r="T226" s="182"/>
      <c r="U226" s="182"/>
      <c r="V226" s="182"/>
      <c r="W226" s="193"/>
      <c r="X226" s="193"/>
      <c r="Y226" s="251"/>
    </row>
    <row r="227" spans="1:29" s="124" customFormat="1" hidden="1" x14ac:dyDescent="0.25">
      <c r="A227" s="60"/>
      <c r="B227" s="116"/>
      <c r="C227" s="116"/>
      <c r="D227" s="147"/>
      <c r="E227" s="147"/>
      <c r="F227" s="116"/>
      <c r="G227" s="116"/>
      <c r="H227" s="116"/>
      <c r="I227" s="116"/>
      <c r="J227" s="116"/>
      <c r="K227" s="153"/>
      <c r="L227" s="116"/>
      <c r="M227" s="116"/>
      <c r="N227" s="19"/>
      <c r="O227" s="19"/>
      <c r="P227" s="146"/>
      <c r="Q227" s="184"/>
      <c r="R227" s="184"/>
      <c r="S227" s="203"/>
      <c r="T227" s="238"/>
      <c r="U227" s="191"/>
      <c r="V227" s="225"/>
      <c r="W227" s="183"/>
      <c r="X227" s="183"/>
      <c r="Y227" s="280"/>
    </row>
    <row r="228" spans="1:29" s="124" customFormat="1" ht="15" hidden="1" customHeight="1" x14ac:dyDescent="0.25">
      <c r="A228" s="201"/>
      <c r="B228" s="116"/>
      <c r="C228" s="116"/>
      <c r="D228" s="147"/>
      <c r="E228" s="147"/>
      <c r="F228" s="116"/>
      <c r="G228" s="116"/>
      <c r="H228" s="116"/>
      <c r="I228" s="116"/>
      <c r="J228" s="116"/>
      <c r="K228" s="153"/>
      <c r="L228" s="116"/>
      <c r="M228" s="116"/>
      <c r="N228" s="19"/>
      <c r="O228" s="19"/>
      <c r="P228" s="146"/>
      <c r="Q228" s="186"/>
      <c r="R228" s="186"/>
      <c r="S228" s="186"/>
      <c r="T228" s="184"/>
      <c r="U228" s="184"/>
      <c r="V228" s="203"/>
      <c r="W228" s="185"/>
      <c r="X228" s="183"/>
      <c r="Y228" s="280"/>
    </row>
    <row r="229" spans="1:29" s="124" customFormat="1" hidden="1" x14ac:dyDescent="0.25">
      <c r="A229" s="201"/>
      <c r="B229" s="116"/>
      <c r="C229" s="116"/>
      <c r="D229" s="147"/>
      <c r="E229" s="147"/>
      <c r="F229" s="116"/>
      <c r="G229" s="116"/>
      <c r="H229" s="116"/>
      <c r="I229" s="116"/>
      <c r="J229" s="116"/>
      <c r="K229" s="153"/>
      <c r="L229" s="116"/>
      <c r="M229" s="116"/>
      <c r="N229" s="19"/>
      <c r="O229" s="19"/>
      <c r="P229" s="146"/>
      <c r="Q229" s="238"/>
      <c r="R229" s="187"/>
      <c r="S229" s="204"/>
      <c r="T229" s="188"/>
      <c r="U229" s="189"/>
      <c r="V229" s="189"/>
      <c r="W229" s="183"/>
      <c r="X229" s="183"/>
      <c r="Y229" s="280"/>
    </row>
    <row r="230" spans="1:29" s="124" customFormat="1" hidden="1" x14ac:dyDescent="0.25">
      <c r="A230" s="201"/>
      <c r="B230" s="116"/>
      <c r="C230" s="116"/>
      <c r="D230" s="147"/>
      <c r="E230" s="147"/>
      <c r="F230" s="116"/>
      <c r="G230" s="116"/>
      <c r="H230" s="116"/>
      <c r="I230" s="116"/>
      <c r="J230" s="116"/>
      <c r="K230" s="153"/>
      <c r="L230" s="116"/>
      <c r="M230" s="116"/>
      <c r="N230" s="19"/>
      <c r="O230" s="19"/>
      <c r="P230" s="146"/>
      <c r="Q230" s="189"/>
      <c r="R230" s="189"/>
      <c r="S230" s="189"/>
      <c r="T230" s="189"/>
      <c r="U230" s="189"/>
      <c r="V230" s="189"/>
      <c r="W230" s="183"/>
      <c r="X230" s="183"/>
      <c r="Y230" s="280"/>
    </row>
    <row r="231" spans="1:29" s="124" customFormat="1" hidden="1" x14ac:dyDescent="0.25">
      <c r="A231" s="201"/>
      <c r="B231" s="116"/>
      <c r="C231" s="116"/>
      <c r="D231" s="147"/>
      <c r="E231" s="147"/>
      <c r="F231" s="116"/>
      <c r="G231" s="116"/>
      <c r="H231" s="116"/>
      <c r="I231" s="116"/>
      <c r="J231" s="116"/>
      <c r="K231" s="153"/>
      <c r="L231" s="116"/>
      <c r="M231" s="116"/>
      <c r="N231" s="19"/>
      <c r="O231" s="19"/>
      <c r="P231" s="146"/>
      <c r="Q231" s="189"/>
      <c r="R231" s="189"/>
      <c r="S231" s="189"/>
      <c r="T231" s="189"/>
      <c r="U231" s="189"/>
      <c r="V231" s="189"/>
      <c r="W231" s="183"/>
      <c r="X231" s="183"/>
      <c r="Y231" s="280"/>
    </row>
    <row r="232" spans="1:29" s="124" customFormat="1" hidden="1" x14ac:dyDescent="0.25">
      <c r="A232" s="201"/>
      <c r="B232" s="116"/>
      <c r="C232" s="116"/>
      <c r="D232" s="147"/>
      <c r="E232" s="147"/>
      <c r="F232" s="116"/>
      <c r="G232" s="116"/>
      <c r="H232" s="116"/>
      <c r="I232" s="116"/>
      <c r="J232" s="116"/>
      <c r="K232" s="153"/>
      <c r="L232" s="116"/>
      <c r="M232" s="116"/>
      <c r="N232" s="19"/>
      <c r="O232" s="19"/>
      <c r="P232" s="146"/>
      <c r="Q232" s="189"/>
      <c r="R232" s="189"/>
      <c r="S232" s="189"/>
      <c r="T232" s="189"/>
      <c r="U232" s="189"/>
      <c r="V232" s="189"/>
      <c r="W232" s="183"/>
      <c r="X232" s="183"/>
      <c r="Y232" s="280"/>
    </row>
    <row r="233" spans="1:29" s="124" customFormat="1" ht="15.75" hidden="1" thickBot="1" x14ac:dyDescent="0.3">
      <c r="A233" s="20"/>
      <c r="B233" s="119"/>
      <c r="C233" s="119"/>
      <c r="D233" s="152"/>
      <c r="E233" s="152"/>
      <c r="F233" s="119"/>
      <c r="G233" s="119"/>
      <c r="H233" s="119"/>
      <c r="I233" s="119"/>
      <c r="J233" s="120"/>
      <c r="K233" s="119"/>
      <c r="L233" s="118"/>
      <c r="M233" s="151"/>
      <c r="N233" s="123"/>
      <c r="O233" s="21"/>
      <c r="P233" s="192"/>
      <c r="Q233" s="182"/>
      <c r="R233" s="182"/>
      <c r="S233" s="182"/>
      <c r="T233" s="182"/>
      <c r="U233" s="182"/>
      <c r="V233" s="182"/>
      <c r="W233" s="193"/>
      <c r="X233" s="193"/>
      <c r="Y233" s="280"/>
      <c r="AB233" s="172"/>
    </row>
    <row r="234" spans="1:29" s="124" customFormat="1" ht="15.75" thickBot="1" x14ac:dyDescent="0.3"/>
    <row r="235" spans="1:29" s="124" customFormat="1" ht="15.75" thickBot="1" x14ac:dyDescent="0.3">
      <c r="A235"/>
      <c r="B235" s="344" t="s">
        <v>56</v>
      </c>
      <c r="C235" s="345"/>
      <c r="D235" s="345"/>
      <c r="E235" s="345"/>
      <c r="F235" s="345"/>
      <c r="G235" s="346"/>
      <c r="H235" s="283"/>
      <c r="I235" s="344" t="s">
        <v>57</v>
      </c>
      <c r="J235" s="345"/>
      <c r="K235" s="345"/>
      <c r="L235" s="345"/>
      <c r="M235" s="345"/>
      <c r="N235" s="346"/>
      <c r="P235" s="341" t="s">
        <v>139</v>
      </c>
      <c r="Q235" s="341"/>
      <c r="R235" s="341"/>
      <c r="S235" s="342"/>
      <c r="T235" s="338" t="s">
        <v>142</v>
      </c>
      <c r="U235" s="339"/>
      <c r="V235" s="340"/>
      <c r="W235" s="330" t="s">
        <v>143</v>
      </c>
      <c r="X235" s="330" t="s">
        <v>162</v>
      </c>
    </row>
    <row r="236" spans="1:29" s="124" customFormat="1" ht="24.75" thickBot="1" x14ac:dyDescent="0.3">
      <c r="A236" s="22" t="s">
        <v>56</v>
      </c>
      <c r="B236" s="179" t="s">
        <v>58</v>
      </c>
      <c r="C236" s="179" t="s">
        <v>59</v>
      </c>
      <c r="D236" s="179" t="s">
        <v>60</v>
      </c>
      <c r="E236" s="179" t="s">
        <v>61</v>
      </c>
      <c r="F236" s="179" t="s">
        <v>62</v>
      </c>
      <c r="G236" s="179" t="s">
        <v>63</v>
      </c>
      <c r="H236" s="179"/>
      <c r="I236" s="179" t="s">
        <v>58</v>
      </c>
      <c r="J236" s="179" t="s">
        <v>59</v>
      </c>
      <c r="K236" s="179" t="s">
        <v>60</v>
      </c>
      <c r="L236" s="179" t="s">
        <v>61</v>
      </c>
      <c r="M236" s="179" t="s">
        <v>62</v>
      </c>
      <c r="N236" s="179" t="s">
        <v>63</v>
      </c>
      <c r="P236" s="211" t="s">
        <v>140</v>
      </c>
      <c r="Q236" s="194" t="s">
        <v>141</v>
      </c>
      <c r="R236" s="210" t="s">
        <v>148</v>
      </c>
      <c r="S236" s="212" t="s">
        <v>146</v>
      </c>
      <c r="T236" s="195" t="s">
        <v>140</v>
      </c>
      <c r="U236" s="196" t="s">
        <v>141</v>
      </c>
      <c r="V236" s="224" t="s">
        <v>146</v>
      </c>
      <c r="W236" s="331"/>
      <c r="X236" s="331"/>
      <c r="Z236" s="172">
        <f>SUM(Z11:Z212)</f>
        <v>531.900000000006</v>
      </c>
    </row>
    <row r="237" spans="1:29" ht="15.95" customHeight="1" x14ac:dyDescent="0.25">
      <c r="A237" s="23" t="s">
        <v>38</v>
      </c>
      <c r="B237" s="114">
        <f t="shared" ref="B237:C239" si="202">B5+B12+B19+B26+B33+B40+B47+B54+B61+B68+B75+B82+B89+B96+B103+B110+B117+B124+B131+B138+B145+B152+B159+B168+B177+B186+B195+B204+B213+B220+B227</f>
        <v>1969</v>
      </c>
      <c r="C237" s="114">
        <f t="shared" si="202"/>
        <v>115</v>
      </c>
      <c r="D237" s="114">
        <f t="shared" ref="D237:D244" si="203">B237+C237</f>
        <v>2084</v>
      </c>
      <c r="E237" s="139">
        <f>D237*43.13</f>
        <v>89882.92</v>
      </c>
      <c r="F237" s="139">
        <f>B237*43.13+C237*86.26</f>
        <v>94842.87</v>
      </c>
      <c r="G237" s="139">
        <f t="shared" ref="G237:G244" si="204">F237*104</f>
        <v>9863658.4800000004</v>
      </c>
      <c r="H237" s="139"/>
      <c r="I237" s="114">
        <f t="shared" ref="I237:J240" si="205">D5+D12+D26+D33+D40+D47+D54+D61+D68+D75+D82+D89+D96+D103+D110+D117+D124+D131+D138+D145+D152+D159+D168+D177+D186+D195+D204+D213+D220+D227+D19</f>
        <v>1967</v>
      </c>
      <c r="J237" s="114">
        <f t="shared" si="205"/>
        <v>119</v>
      </c>
      <c r="K237" s="114">
        <f t="shared" ref="K237:K242" si="206">I237+J237</f>
        <v>2086</v>
      </c>
      <c r="L237" s="139">
        <f>K237*43.13</f>
        <v>89969.180000000008</v>
      </c>
      <c r="M237" s="139">
        <f>I237*43.13+J237*86.26</f>
        <v>95101.650000000009</v>
      </c>
      <c r="N237" s="139">
        <f t="shared" ref="N237:N242" si="207">M237*104</f>
        <v>9890571.6000000015</v>
      </c>
      <c r="O237" s="124"/>
      <c r="P237" s="206">
        <f>SUM(Q204,Q195,Q186,Q177,Q168,Q159,Q152,Q145,Q138,Q131,Q124,Q117,Q110,Q103,Q96,Q89,Q82,Q75,Q68,Q61,Q54,Q47,Q40,Q33,Q26,Q19,Q12,Q5,Q213,Q220,Q227)</f>
        <v>6</v>
      </c>
      <c r="Q237" s="206">
        <f>SUM(R204,R195,R186,R177,R168,R159,R152,R145,R138,R131,R124,R117,R110,R103,R96,R89,R82,R75,R68,R61,R54,R47,R40,R33,R26,R19,R12,R5,R213,R220,R227)</f>
        <v>0</v>
      </c>
      <c r="R237" s="206">
        <f>SUM(S204,S195,S186,S177,S168,S159,S152,S145,S138,S131,S124,S117,S110,S103,S96,S89,S82,S75,S68,S61,S54,S47,S40,S33,S26,S19,S12,S5,S213,S220,S227)</f>
        <v>0</v>
      </c>
      <c r="S237" s="206">
        <f>SUM(S204,S195,S186,S177,S168,S159,S152,S145,S138,S131,S124,S117,S110,S103,S96,S89,S82,S75,S68,S61,S54,S47,S40,S33,S26,S19,S12,S5,S213,S220,S227)</f>
        <v>0</v>
      </c>
      <c r="T237" s="206">
        <f>SUM(T204,T195,T186,T177,T168,T159,T152,T145,T138,T131,T124,T117,T110,T103,T96,T89,T82,T75,T68,T61,T54,T47,T40,T33,T26,T19,T12,T5,T213,T220,T227)+T6+T13+T20+T27+T34+T41+T48+T55+T62+T69+T76+T83+T90+T97+T104+T111+T118+T125+T132+T139+T146+T153+T160+T169+T178+T187+T196+T205+T214+T221+T228</f>
        <v>24</v>
      </c>
      <c r="U237" s="206">
        <f>SUM(U204,U195,U186,U177,U168,U159,U152,U145,U138,U131,U124,U117,U110,U103,U96,U89,U82,U75,U68,U61,U54,U47,U40,U33,U26,U19,U12,U5,U213,U220,U228)</f>
        <v>0</v>
      </c>
      <c r="V237" s="206">
        <f>SUM(V204,V195,V186,V177,V168,V159,V152,V145,V138,V131,V124,V117,V110,V103,V96,V89,V82,V75,V68,V61,V54,V47,V40,V33,V26,V19,V12,V5,V213,V220,V228)</f>
        <v>0</v>
      </c>
      <c r="W237" s="228">
        <f>W11+W18+W25+W32+W39+W46+W53+W60+W67+W74+W81+W88+W95+W102+W109+W116+W123+W130+W137+W144+W151+W158+W167+W176+W185+W194+W203+W212+W219+W226+W233</f>
        <v>228619.90999999997</v>
      </c>
      <c r="X237" s="228">
        <f>X11+X18+X25+X32+X39+X46+X53+X60+X67+X74+X81+X88+X95+X102+X109+X116+X123+X130+X137+X144+X151+X158+X167+X176+X185+X194+X203+X212+X219+X226+X233</f>
        <v>229094.98</v>
      </c>
    </row>
    <row r="238" spans="1:29" ht="17.25" customHeight="1" x14ac:dyDescent="0.25">
      <c r="A238" s="23" t="s">
        <v>52</v>
      </c>
      <c r="B238" s="114">
        <f t="shared" si="202"/>
        <v>1979</v>
      </c>
      <c r="C238" s="114">
        <f t="shared" si="202"/>
        <v>109</v>
      </c>
      <c r="D238" s="114">
        <f t="shared" si="203"/>
        <v>2088</v>
      </c>
      <c r="E238" s="139">
        <f>D238*43.13</f>
        <v>90055.44</v>
      </c>
      <c r="F238" s="139">
        <f>B238*43.13+C238*86.26</f>
        <v>94756.61</v>
      </c>
      <c r="G238" s="139">
        <f t="shared" si="204"/>
        <v>9854687.4399999995</v>
      </c>
      <c r="H238" s="139"/>
      <c r="I238" s="114">
        <f t="shared" si="205"/>
        <v>1976</v>
      </c>
      <c r="J238" s="114">
        <f t="shared" si="205"/>
        <v>112</v>
      </c>
      <c r="K238" s="114">
        <f t="shared" si="206"/>
        <v>2088</v>
      </c>
      <c r="L238" s="139">
        <f t="shared" ref="L238" si="208">K238*43.13</f>
        <v>90055.44</v>
      </c>
      <c r="M238" s="139">
        <f>I238*43.13+J238*86.26</f>
        <v>94886</v>
      </c>
      <c r="N238" s="139">
        <f t="shared" si="207"/>
        <v>9868144</v>
      </c>
      <c r="O238" s="124"/>
      <c r="W238" s="124"/>
      <c r="AA238" s="8"/>
    </row>
    <row r="239" spans="1:29" x14ac:dyDescent="0.25">
      <c r="A239" s="23" t="s">
        <v>36</v>
      </c>
      <c r="B239" s="114">
        <f t="shared" si="202"/>
        <v>660</v>
      </c>
      <c r="C239" s="114">
        <f t="shared" si="202"/>
        <v>0</v>
      </c>
      <c r="D239" s="114">
        <f t="shared" si="203"/>
        <v>660</v>
      </c>
      <c r="E239" s="139">
        <f>D239*29.11</f>
        <v>19212.599999999999</v>
      </c>
      <c r="F239" s="139">
        <f>B239*29.11+C239*58.22</f>
        <v>19212.599999999999</v>
      </c>
      <c r="G239" s="139">
        <f t="shared" si="204"/>
        <v>1998110.4</v>
      </c>
      <c r="H239" s="139"/>
      <c r="I239" s="114">
        <f t="shared" si="205"/>
        <v>650</v>
      </c>
      <c r="J239" s="114">
        <f t="shared" si="205"/>
        <v>0</v>
      </c>
      <c r="K239" s="114">
        <f t="shared" si="206"/>
        <v>650</v>
      </c>
      <c r="L239" s="139">
        <f>K239*29.11</f>
        <v>18921.5</v>
      </c>
      <c r="M239" s="139">
        <f>I239*29.11+J239*58.22</f>
        <v>18921.5</v>
      </c>
      <c r="N239" s="139">
        <f t="shared" si="207"/>
        <v>1967836</v>
      </c>
      <c r="O239" s="124"/>
      <c r="W239" s="124"/>
    </row>
    <row r="240" spans="1:29" x14ac:dyDescent="0.25">
      <c r="A240" s="23" t="s">
        <v>53</v>
      </c>
      <c r="B240" s="114">
        <f>B8+B15+B22+B29+B36+B43+B50+B57+B64+B71+B78+B85+B92+B99+B106+B113+B120+B127+B134+B141+B148+B155+B162+B171+B180+B189+B198+B207+B216+B223+B230</f>
        <v>640</v>
      </c>
      <c r="C240" s="114">
        <f>C8+C15+C22+C29+C36+C43+C50+C57+C64+C71+C78+C85+C92+C99+C106+C113+C120+C127+C134+C141+C148+C155+C162+C171+C180+C189+C198+C207+C216+C223+C231</f>
        <v>0</v>
      </c>
      <c r="D240" s="114">
        <f t="shared" si="203"/>
        <v>640</v>
      </c>
      <c r="E240" s="139">
        <f>D240*29.11</f>
        <v>18630.400000000001</v>
      </c>
      <c r="F240" s="139">
        <f>B240*29.11+C240*58.22</f>
        <v>18630.400000000001</v>
      </c>
      <c r="G240" s="139">
        <f t="shared" si="204"/>
        <v>1937561.6000000001</v>
      </c>
      <c r="H240" s="139"/>
      <c r="I240" s="114">
        <f t="shared" si="205"/>
        <v>634</v>
      </c>
      <c r="J240" s="114">
        <f t="shared" si="205"/>
        <v>1</v>
      </c>
      <c r="K240" s="114">
        <f t="shared" si="206"/>
        <v>635</v>
      </c>
      <c r="L240" s="139">
        <f>K240*29.11</f>
        <v>18484.849999999999</v>
      </c>
      <c r="M240" s="139">
        <f>I240*29.11+J240*58.22</f>
        <v>18513.96</v>
      </c>
      <c r="N240" s="139">
        <f t="shared" si="207"/>
        <v>1925451.8399999999</v>
      </c>
      <c r="O240" s="124"/>
      <c r="W240" s="124"/>
      <c r="AA240" s="101"/>
      <c r="AB240" s="101"/>
      <c r="AC240" s="101"/>
    </row>
    <row r="241" spans="1:29" x14ac:dyDescent="0.25">
      <c r="A241" s="23" t="s">
        <v>122</v>
      </c>
      <c r="B241" s="114">
        <f>B9+B16+B23+B30+B37+B44+B51+B58+B65+B72+B79+B86+B93+B100+B107+B114+B121+B128+B135+B142+B149+B156+B163+B172+B181+B190+B199+B208+B217+B224+B231</f>
        <v>0</v>
      </c>
      <c r="C241" s="114">
        <f>C9+C16+C23+C30+C37+C44+C51+C58+C65+C72+C79+C86+C93+C100+C107+C114+C121+C128+C135+C142+C149+C156+C163+C172+C181+C190+C199+C208+C217+C224+C232</f>
        <v>0</v>
      </c>
      <c r="D241" s="114">
        <f t="shared" si="203"/>
        <v>0</v>
      </c>
      <c r="E241" s="139">
        <f>D241*25.4</f>
        <v>0</v>
      </c>
      <c r="F241" s="139">
        <f>B241*25.4+C241*50.8</f>
        <v>0</v>
      </c>
      <c r="G241" s="139">
        <f t="shared" si="204"/>
        <v>0</v>
      </c>
      <c r="H241" s="139"/>
      <c r="I241" s="114">
        <f>D9+D16+D30+D37+D44+D51+D58+D65+D72+D79+D86+D93+D100+D107+D114+D121+D128+D135+D142+D149+D156+D163+D172+D181+D190+D199+D208+D217+D224+D231+D23</f>
        <v>2</v>
      </c>
      <c r="J241" s="114">
        <f>E9+E16+E30+E37+E44+E51+E58+E65+E72+E79+E86+E93+E100+E107+E114+E121+E128+E135+E142+E149+E156+E163+E172+E181+E190+E199+E208+E217+E224+E231</f>
        <v>0</v>
      </c>
      <c r="K241" s="114">
        <f t="shared" si="206"/>
        <v>2</v>
      </c>
      <c r="L241" s="139">
        <f>K241*25.4</f>
        <v>50.8</v>
      </c>
      <c r="M241" s="139">
        <f>I241*25.4+J241*50.8</f>
        <v>50.8</v>
      </c>
      <c r="N241" s="139">
        <f t="shared" si="207"/>
        <v>5283.2</v>
      </c>
      <c r="O241" s="124"/>
      <c r="W241" s="124"/>
    </row>
    <row r="242" spans="1:29" x14ac:dyDescent="0.25">
      <c r="A242" s="23" t="s">
        <v>35</v>
      </c>
      <c r="B242" s="114">
        <f>B10+B17+B24+B31+B38+B45+B52+B59+B66+B73+B80+B87+B94+B101+B108+B115+B122+B129+B136+B143+B150+B157+B164+B173+B182+B191+B200+B209+B218+B225+B232</f>
        <v>20</v>
      </c>
      <c r="C242" s="114">
        <f>C10+C17+C24+C31+C38+C45+C52+C59+C66+C73+C80+C87+C94+C101+C108+C115+C122+C129+C136+C143+C150+C157+C164+C173+C182+C191+C200+C209+C218+C225+C232</f>
        <v>0</v>
      </c>
      <c r="D242" s="114">
        <f t="shared" si="203"/>
        <v>20</v>
      </c>
      <c r="E242" s="139">
        <f>D242*25.4</f>
        <v>508</v>
      </c>
      <c r="F242" s="139">
        <f>B242*25.4+C242*50.8</f>
        <v>508</v>
      </c>
      <c r="G242" s="139">
        <f t="shared" si="204"/>
        <v>52832</v>
      </c>
      <c r="H242" s="139"/>
      <c r="I242" s="114">
        <f>D10+D17+D31+D38+D45+D52+D59+D66+D73+D80+D87+D94+D101+D108+D115+D122+D129+D136+D143+D150+D157+D164+D173+D182+D191+D200+D209+D218+D225+D232+D24</f>
        <v>21</v>
      </c>
      <c r="J242" s="114">
        <f>E10+E17+E31+E38+E45+E52+E59+E66+E73+E80+E87+E94+E101+E108+E115+E122+E129+E136+E143+E150+E157+E164+E173+E182+E191+E200+E209+E218+E225+E232</f>
        <v>0</v>
      </c>
      <c r="K242" s="114">
        <f t="shared" si="206"/>
        <v>21</v>
      </c>
      <c r="L242" s="139">
        <f>K242*25.4</f>
        <v>533.4</v>
      </c>
      <c r="M242" s="139">
        <f>I242*25.4+J242*50.8</f>
        <v>533.4</v>
      </c>
      <c r="N242" s="139">
        <f t="shared" si="207"/>
        <v>55473.599999999999</v>
      </c>
      <c r="O242" s="124"/>
      <c r="P242" s="124"/>
      <c r="Q242" s="124"/>
      <c r="R242" s="124"/>
      <c r="T242" s="124"/>
      <c r="U242" s="124"/>
      <c r="W242" s="124"/>
      <c r="AA242" s="101"/>
      <c r="AB242" s="101"/>
      <c r="AC242" s="101"/>
    </row>
    <row r="243" spans="1:29" s="124" customFormat="1" x14ac:dyDescent="0.25">
      <c r="A243" s="23" t="s">
        <v>152</v>
      </c>
      <c r="B243" s="114">
        <f>B165+B174+B183+B192+B201+B210</f>
        <v>18</v>
      </c>
      <c r="C243" s="114">
        <f>C165+C174+C183+C192+C201+C210</f>
        <v>6</v>
      </c>
      <c r="D243" s="114">
        <f t="shared" si="203"/>
        <v>24</v>
      </c>
      <c r="E243" s="139">
        <f>D243*S1</f>
        <v>835.92</v>
      </c>
      <c r="F243" s="139">
        <f>B243*S1+C243*(S1*2)</f>
        <v>1044.8999999999999</v>
      </c>
      <c r="G243" s="139">
        <f t="shared" si="204"/>
        <v>108669.59999999999</v>
      </c>
      <c r="H243" s="139"/>
      <c r="I243" s="114">
        <f>D165+D174+D183+D192+D201+D210</f>
        <v>18</v>
      </c>
      <c r="J243" s="114">
        <f>E165+E174+E183+E192+E201+E210</f>
        <v>6</v>
      </c>
      <c r="K243" s="114">
        <f t="shared" ref="K243:K244" si="209">I243+J243</f>
        <v>24</v>
      </c>
      <c r="L243" s="139">
        <f>K243*S1</f>
        <v>835.92</v>
      </c>
      <c r="M243" s="139">
        <f>I243*S1+J243*(S1*2)</f>
        <v>1044.8999999999999</v>
      </c>
      <c r="N243" s="139">
        <f t="shared" ref="N243:N244" si="210">M243*104</f>
        <v>108669.59999999999</v>
      </c>
      <c r="AA243" s="101"/>
      <c r="AB243" s="101"/>
      <c r="AC243" s="101"/>
    </row>
    <row r="244" spans="1:29" s="124" customFormat="1" x14ac:dyDescent="0.25">
      <c r="A244" s="23" t="s">
        <v>151</v>
      </c>
      <c r="B244" s="114">
        <f>B166+B175+B184+B193+B202+B211</f>
        <v>12</v>
      </c>
      <c r="C244" s="114">
        <f>C166+C175+C184+C193+C202+C211</f>
        <v>0</v>
      </c>
      <c r="D244" s="114">
        <f t="shared" si="203"/>
        <v>12</v>
      </c>
      <c r="E244" s="139">
        <f>D244*Q1</f>
        <v>99.600000000000009</v>
      </c>
      <c r="F244" s="139">
        <f>B244*Q1+C244*(Q1*2)</f>
        <v>99.600000000000009</v>
      </c>
      <c r="G244" s="139">
        <f t="shared" si="204"/>
        <v>10358.400000000001</v>
      </c>
      <c r="H244" s="139"/>
      <c r="I244" s="114">
        <f>D166+D175+D184+D193+D202+D211</f>
        <v>12</v>
      </c>
      <c r="J244" s="114">
        <f>E166+E175+E184+E193+E202+E211</f>
        <v>0</v>
      </c>
      <c r="K244" s="114">
        <f t="shared" si="209"/>
        <v>12</v>
      </c>
      <c r="L244" s="139">
        <f>K244*Q1</f>
        <v>99.600000000000009</v>
      </c>
      <c r="M244" s="139">
        <f>I244*Q1+J244*(Q1*2)</f>
        <v>99.600000000000009</v>
      </c>
      <c r="N244" s="139">
        <f t="shared" si="210"/>
        <v>10358.400000000001</v>
      </c>
      <c r="AA244" s="101"/>
      <c r="AB244" s="101"/>
      <c r="AC244" s="101"/>
    </row>
    <row r="245" spans="1:29" s="124" customFormat="1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P245"/>
      <c r="Q245"/>
      <c r="R245"/>
      <c r="T245"/>
      <c r="U245"/>
    </row>
    <row r="246" spans="1:29" s="124" customFormat="1" x14ac:dyDescent="0.25">
      <c r="A246" s="178" t="s">
        <v>64</v>
      </c>
      <c r="B246" s="278">
        <f>SUM(B237:B245)</f>
        <v>5298</v>
      </c>
      <c r="C246" s="278">
        <f>SUM(C237:C245)</f>
        <v>230</v>
      </c>
      <c r="D246" s="278">
        <f>SUM(D237:D245)</f>
        <v>5528</v>
      </c>
      <c r="E246" s="278">
        <f>SUM(E237:E244)</f>
        <v>219224.88</v>
      </c>
      <c r="F246" s="278">
        <f>SUM(F237:F244)</f>
        <v>229094.97999999998</v>
      </c>
      <c r="G246" s="278">
        <f>SUM(G237:G244)</f>
        <v>23825877.920000002</v>
      </c>
      <c r="H246" s="278"/>
      <c r="I246" s="278">
        <f>SUM(I237:I244)</f>
        <v>5280</v>
      </c>
      <c r="J246" s="278">
        <f>SUM(J237:J244)</f>
        <v>238</v>
      </c>
      <c r="K246" s="278">
        <f>SUM(K237:K245)</f>
        <v>5518</v>
      </c>
      <c r="L246" s="278">
        <f>SUM(L237:L245)</f>
        <v>218950.69</v>
      </c>
      <c r="M246" s="278">
        <f>SUM(M237:M245)</f>
        <v>229151.81</v>
      </c>
      <c r="N246" s="278">
        <f>SUM(N237:N245)</f>
        <v>23831788.240000002</v>
      </c>
      <c r="P246"/>
      <c r="Q246"/>
      <c r="R246"/>
      <c r="T246"/>
      <c r="U246"/>
    </row>
    <row r="247" spans="1:29" x14ac:dyDescent="0.25">
      <c r="A247" s="124"/>
      <c r="B247" s="124"/>
      <c r="C247" s="124"/>
      <c r="D247" s="124"/>
      <c r="E247" s="124"/>
      <c r="F247" s="124"/>
      <c r="G247" s="124"/>
      <c r="I247" s="124"/>
      <c r="J247" s="124"/>
      <c r="K247" s="124"/>
      <c r="L247" s="124"/>
      <c r="M247" s="206"/>
      <c r="N247" s="124"/>
      <c r="O247" s="124"/>
      <c r="W247" s="124"/>
    </row>
    <row r="248" spans="1:29" ht="42" customHeight="1" thickBot="1" x14ac:dyDescent="0.3">
      <c r="B248" s="124" t="s">
        <v>65</v>
      </c>
      <c r="C248" s="124">
        <f>(B246)+(C246*2)</f>
        <v>5758</v>
      </c>
      <c r="D248" s="124"/>
      <c r="E248" s="124"/>
      <c r="F248" s="124" t="s">
        <v>65</v>
      </c>
      <c r="G248" s="124">
        <f>(I246)+(J246*2)</f>
        <v>5756</v>
      </c>
      <c r="I248" s="124"/>
      <c r="J248" s="197"/>
      <c r="K248" s="124"/>
      <c r="L248" s="124"/>
      <c r="M248" s="206"/>
      <c r="N248" s="124"/>
      <c r="O248" s="124"/>
      <c r="W248" s="124"/>
    </row>
    <row r="249" spans="1:29" x14ac:dyDescent="0.25">
      <c r="A249" s="24"/>
      <c r="B249" s="354" t="s">
        <v>55</v>
      </c>
      <c r="C249" s="355"/>
      <c r="D249" s="25" t="s">
        <v>65</v>
      </c>
      <c r="E249" s="26"/>
      <c r="F249" s="27" t="s">
        <v>61</v>
      </c>
      <c r="G249" s="27" t="s">
        <v>66</v>
      </c>
      <c r="H249" s="25"/>
      <c r="I249" s="28" t="s">
        <v>67</v>
      </c>
      <c r="J249" s="124"/>
      <c r="K249" s="124"/>
      <c r="L249" s="124"/>
      <c r="M249" s="124"/>
      <c r="N249" s="124"/>
      <c r="O249" s="124"/>
      <c r="W249" s="124"/>
    </row>
    <row r="250" spans="1:29" x14ac:dyDescent="0.25">
      <c r="A250" s="29"/>
      <c r="B250" s="30" t="s">
        <v>58</v>
      </c>
      <c r="C250" s="30" t="s">
        <v>68</v>
      </c>
      <c r="D250" s="31"/>
      <c r="E250" s="32"/>
      <c r="F250" s="30"/>
      <c r="G250" s="30"/>
      <c r="H250" s="31"/>
      <c r="I250" s="33"/>
      <c r="J250" s="124"/>
      <c r="K250" s="124"/>
      <c r="L250" s="124"/>
      <c r="M250" s="124"/>
      <c r="N250" s="124"/>
      <c r="O250" s="124"/>
      <c r="W250" s="124"/>
    </row>
    <row r="251" spans="1:29" ht="15" hidden="1" customHeight="1" x14ac:dyDescent="0.25">
      <c r="A251" s="34" t="s">
        <v>69</v>
      </c>
      <c r="B251" s="144" t="e">
        <f>+#REF!</f>
        <v>#REF!</v>
      </c>
      <c r="C251" s="144" t="e">
        <f>+#REF!</f>
        <v>#REF!</v>
      </c>
      <c r="D251" s="144" t="e">
        <f>+B251+2*C251</f>
        <v>#REF!</v>
      </c>
      <c r="E251" s="35" t="s">
        <v>69</v>
      </c>
      <c r="F251" s="36">
        <f>+E246</f>
        <v>219224.88</v>
      </c>
      <c r="G251" s="36">
        <f>+F246</f>
        <v>229094.97999999998</v>
      </c>
      <c r="H251" s="284"/>
      <c r="I251" s="37">
        <f>+G246</f>
        <v>23825877.920000002</v>
      </c>
      <c r="J251" s="124"/>
      <c r="K251" s="124"/>
      <c r="L251" s="124"/>
      <c r="M251" s="124"/>
      <c r="N251" s="124"/>
      <c r="O251" s="124"/>
      <c r="W251" s="205"/>
    </row>
    <row r="252" spans="1:29" ht="15.75" hidden="1" customHeight="1" thickBot="1" x14ac:dyDescent="0.3">
      <c r="A252" s="38" t="s">
        <v>70</v>
      </c>
      <c r="B252" s="177" t="e">
        <f>+#REF!</f>
        <v>#REF!</v>
      </c>
      <c r="C252" s="177" t="e">
        <f>+#REF!</f>
        <v>#REF!</v>
      </c>
      <c r="D252" s="144" t="e">
        <f>+B252+2*C252</f>
        <v>#REF!</v>
      </c>
      <c r="E252" s="38" t="s">
        <v>70</v>
      </c>
      <c r="F252" s="39" t="e">
        <f>+#REF!</f>
        <v>#REF!</v>
      </c>
      <c r="G252" s="39" t="e">
        <f>+#REF!</f>
        <v>#REF!</v>
      </c>
      <c r="H252" s="285"/>
      <c r="I252" s="40" t="e">
        <f>+#REF!</f>
        <v>#REF!</v>
      </c>
      <c r="J252" s="124"/>
      <c r="K252" s="124"/>
      <c r="L252" s="124"/>
      <c r="M252" s="124"/>
      <c r="N252" s="124"/>
      <c r="O252" s="124"/>
      <c r="W252" s="205"/>
    </row>
    <row r="253" spans="1:29" ht="15" hidden="1" customHeight="1" x14ac:dyDescent="0.25">
      <c r="C253" s="124"/>
      <c r="D253" s="124"/>
      <c r="E253" s="124"/>
      <c r="F253" s="124"/>
      <c r="G253" s="124"/>
      <c r="I253" s="124" t="s">
        <v>65</v>
      </c>
      <c r="J253" s="216">
        <f>(I246)+(J246*2)</f>
        <v>5756</v>
      </c>
      <c r="K253" s="124"/>
      <c r="L253" s="124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</row>
    <row r="254" spans="1:29" ht="15" hidden="1" customHeight="1" x14ac:dyDescent="0.25">
      <c r="C254" s="124"/>
      <c r="D254" s="124"/>
      <c r="E254" s="124"/>
      <c r="F254" s="124"/>
      <c r="G254" s="124"/>
      <c r="I254" s="124"/>
      <c r="J254" s="124"/>
      <c r="K254" s="124"/>
      <c r="L254" s="124"/>
      <c r="M254" s="124"/>
      <c r="N254" s="124"/>
      <c r="O254" s="124"/>
    </row>
    <row r="255" spans="1:29" x14ac:dyDescent="0.25">
      <c r="C255" s="124"/>
    </row>
  </sheetData>
  <dataConsolidate>
    <dataRefs count="1">
      <dataRef name="=suma($G$5:$G$9)" r:id="rId1"/>
    </dataRefs>
  </dataConsolidate>
  <mergeCells count="39">
    <mergeCell ref="A13:A17"/>
    <mergeCell ref="B249:C249"/>
    <mergeCell ref="B235:G235"/>
    <mergeCell ref="A125:A129"/>
    <mergeCell ref="A132:A136"/>
    <mergeCell ref="A154:A156"/>
    <mergeCell ref="A160:A166"/>
    <mergeCell ref="A169:A175"/>
    <mergeCell ref="A178:A184"/>
    <mergeCell ref="A187:A193"/>
    <mergeCell ref="A27:A31"/>
    <mergeCell ref="A20:A24"/>
    <mergeCell ref="A104:A108"/>
    <mergeCell ref="A205:A211"/>
    <mergeCell ref="A196:A202"/>
    <mergeCell ref="M3:M4"/>
    <mergeCell ref="N3:N4"/>
    <mergeCell ref="I235:N235"/>
    <mergeCell ref="B2:C2"/>
    <mergeCell ref="D2:E2"/>
    <mergeCell ref="B3:C3"/>
    <mergeCell ref="D3:E3"/>
    <mergeCell ref="H3:H4"/>
    <mergeCell ref="I3:I4"/>
    <mergeCell ref="K3:K4"/>
    <mergeCell ref="L3:L4"/>
    <mergeCell ref="J3:J4"/>
    <mergeCell ref="F3:F4"/>
    <mergeCell ref="G3:G4"/>
    <mergeCell ref="X235:X236"/>
    <mergeCell ref="W235:W236"/>
    <mergeCell ref="W3:W4"/>
    <mergeCell ref="P3:P4"/>
    <mergeCell ref="O3:O4"/>
    <mergeCell ref="Q3:S3"/>
    <mergeCell ref="T235:V235"/>
    <mergeCell ref="T3:V3"/>
    <mergeCell ref="X3:X4"/>
    <mergeCell ref="P235:S235"/>
  </mergeCells>
  <conditionalFormatting sqref="D33:E38 D204:E211">
    <cfRule type="expression" dxfId="47" priority="120">
      <formula>AND($B33&lt;&gt;$D33)</formula>
    </cfRule>
  </conditionalFormatting>
  <conditionalFormatting sqref="D33:E38">
    <cfRule type="expression" dxfId="46" priority="117">
      <formula>AND($B33&lt;&gt;$D33)</formula>
    </cfRule>
  </conditionalFormatting>
  <conditionalFormatting sqref="D186:E193">
    <cfRule type="expression" dxfId="45" priority="92">
      <formula>AND($B186&lt;&gt;$D186)</formula>
    </cfRule>
  </conditionalFormatting>
  <conditionalFormatting sqref="D186:E193">
    <cfRule type="expression" dxfId="44" priority="89">
      <formula>AND($B186&lt;&gt;$D186)</formula>
    </cfRule>
  </conditionalFormatting>
  <conditionalFormatting sqref="D26:E31">
    <cfRule type="expression" dxfId="43" priority="81">
      <formula>AND($B26&lt;&gt;$D26)</formula>
    </cfRule>
  </conditionalFormatting>
  <conditionalFormatting sqref="D75:E80">
    <cfRule type="expression" dxfId="42" priority="77">
      <formula>AND($B75&lt;&gt;$D75)</formula>
    </cfRule>
  </conditionalFormatting>
  <conditionalFormatting sqref="D131:E136">
    <cfRule type="expression" dxfId="41" priority="41">
      <formula>AND($B131&lt;&gt;$D131)</formula>
    </cfRule>
  </conditionalFormatting>
  <conditionalFormatting sqref="D19:E24">
    <cfRule type="expression" dxfId="40" priority="72">
      <formula>AND($B19&lt;&gt;$D19)</formula>
    </cfRule>
  </conditionalFormatting>
  <conditionalFormatting sqref="D124:E129">
    <cfRule type="expression" dxfId="39" priority="43">
      <formula>AND($B124&lt;&gt;$D124)</formula>
    </cfRule>
  </conditionalFormatting>
  <conditionalFormatting sqref="D124:E129">
    <cfRule type="expression" dxfId="38" priority="42">
      <formula>AND($B124&lt;&gt;$D124)</formula>
    </cfRule>
  </conditionalFormatting>
  <conditionalFormatting sqref="D68:D73">
    <cfRule type="expression" dxfId="37" priority="66">
      <formula>AND($B68&lt;&gt;$D68)</formula>
    </cfRule>
  </conditionalFormatting>
  <conditionalFormatting sqref="E68:E73">
    <cfRule type="expression" dxfId="36" priority="65">
      <formula>AND($C68&lt;&gt;$E68)</formula>
    </cfRule>
  </conditionalFormatting>
  <conditionalFormatting sqref="D117:E122">
    <cfRule type="expression" dxfId="35" priority="57">
      <formula>AND($B117&lt;&gt;$D117)</formula>
    </cfRule>
  </conditionalFormatting>
  <conditionalFormatting sqref="D117:E122">
    <cfRule type="expression" dxfId="34" priority="56">
      <formula>AND($B117&lt;&gt;$D117)</formula>
    </cfRule>
  </conditionalFormatting>
  <conditionalFormatting sqref="D131:E136">
    <cfRule type="expression" dxfId="33" priority="40">
      <formula>AND($B131&lt;&gt;$D131)</formula>
    </cfRule>
  </conditionalFormatting>
  <conditionalFormatting sqref="D5:E10">
    <cfRule type="expression" dxfId="32" priority="39">
      <formula>AND($B5&lt;&gt;$D5)</formula>
    </cfRule>
  </conditionalFormatting>
  <conditionalFormatting sqref="D12:E17">
    <cfRule type="expression" dxfId="31" priority="38">
      <formula>AND($B12&lt;&gt;$D12)</formula>
    </cfRule>
  </conditionalFormatting>
  <conditionalFormatting sqref="D40:D45">
    <cfRule type="expression" dxfId="30" priority="37">
      <formula>AND($B40&lt;&gt;$D40)</formula>
    </cfRule>
  </conditionalFormatting>
  <conditionalFormatting sqref="E40:E45">
    <cfRule type="expression" dxfId="29" priority="36">
      <formula>AND($C40&lt;&gt;$E40)</formula>
    </cfRule>
  </conditionalFormatting>
  <conditionalFormatting sqref="D47:D52">
    <cfRule type="expression" dxfId="28" priority="35">
      <formula>AND($B47&lt;&gt;$D47)</formula>
    </cfRule>
  </conditionalFormatting>
  <conditionalFormatting sqref="E47:E52">
    <cfRule type="expression" dxfId="27" priority="34">
      <formula>AND($C47&lt;&gt;$E47)</formula>
    </cfRule>
  </conditionalFormatting>
  <conditionalFormatting sqref="D54:D59">
    <cfRule type="expression" dxfId="26" priority="33">
      <formula>AND($B54&lt;&gt;$D54)</formula>
    </cfRule>
  </conditionalFormatting>
  <conditionalFormatting sqref="E54:E59">
    <cfRule type="expression" dxfId="25" priority="32">
      <formula>AND($C54&lt;&gt;$E54)</formula>
    </cfRule>
  </conditionalFormatting>
  <conditionalFormatting sqref="D61:D66">
    <cfRule type="expression" dxfId="24" priority="31">
      <formula>AND($B61&lt;&gt;$D61)</formula>
    </cfRule>
  </conditionalFormatting>
  <conditionalFormatting sqref="E61:E66">
    <cfRule type="expression" dxfId="23" priority="30">
      <formula>AND($C61&lt;&gt;$E61)</formula>
    </cfRule>
  </conditionalFormatting>
  <conditionalFormatting sqref="D89:E94">
    <cfRule type="expression" dxfId="22" priority="29">
      <formula>AND($B89&lt;&gt;$D89)</formula>
    </cfRule>
  </conditionalFormatting>
  <conditionalFormatting sqref="D96:E101">
    <cfRule type="expression" dxfId="21" priority="28">
      <formula>AND($B96&lt;&gt;$D96)</formula>
    </cfRule>
  </conditionalFormatting>
  <conditionalFormatting sqref="D96:E101">
    <cfRule type="expression" dxfId="20" priority="27">
      <formula>AND($B96&lt;&gt;$D96)</formula>
    </cfRule>
  </conditionalFormatting>
  <conditionalFormatting sqref="D103:E108">
    <cfRule type="expression" dxfId="19" priority="26">
      <formula>AND($B103&lt;&gt;$D103)</formula>
    </cfRule>
  </conditionalFormatting>
  <conditionalFormatting sqref="D103:E108">
    <cfRule type="expression" dxfId="18" priority="25">
      <formula>AND($B103&lt;&gt;$D103)</formula>
    </cfRule>
  </conditionalFormatting>
  <conditionalFormatting sqref="D110:E115">
    <cfRule type="expression" dxfId="17" priority="24">
      <formula>AND($B110&lt;&gt;$D110)</formula>
    </cfRule>
  </conditionalFormatting>
  <conditionalFormatting sqref="D110:E115">
    <cfRule type="expression" dxfId="16" priority="23">
      <formula>AND($B110&lt;&gt;$D110)</formula>
    </cfRule>
  </conditionalFormatting>
  <conditionalFormatting sqref="D138:E143">
    <cfRule type="expression" dxfId="15" priority="22">
      <formula>AND($B138&lt;&gt;$D138)</formula>
    </cfRule>
  </conditionalFormatting>
  <conditionalFormatting sqref="D159:E166">
    <cfRule type="expression" dxfId="14" priority="19">
      <formula>AND($B159&lt;&gt;$D159)</formula>
    </cfRule>
  </conditionalFormatting>
  <conditionalFormatting sqref="D177:E184">
    <cfRule type="expression" dxfId="13" priority="18">
      <formula>AND($B177&lt;&gt;$D177)</formula>
    </cfRule>
  </conditionalFormatting>
  <conditionalFormatting sqref="D195:E202">
    <cfRule type="expression" dxfId="12" priority="17">
      <formula>AND($B195&lt;&gt;$D195)</formula>
    </cfRule>
  </conditionalFormatting>
  <conditionalFormatting sqref="D213:E218">
    <cfRule type="expression" dxfId="11" priority="15">
      <formula>AND($B213&lt;&gt;$D213)</formula>
    </cfRule>
  </conditionalFormatting>
  <conditionalFormatting sqref="D213:E218">
    <cfRule type="expression" dxfId="10" priority="14">
      <formula>AND($B213&lt;&gt;$D213)</formula>
    </cfRule>
  </conditionalFormatting>
  <conditionalFormatting sqref="D220:E225">
    <cfRule type="expression" dxfId="9" priority="13">
      <formula>AND($B220&lt;&gt;$D220)</formula>
    </cfRule>
  </conditionalFormatting>
  <conditionalFormatting sqref="D220:E225">
    <cfRule type="expression" dxfId="8" priority="12">
      <formula>AND($B220&lt;&gt;$D220)</formula>
    </cfRule>
  </conditionalFormatting>
  <conditionalFormatting sqref="D82:E87">
    <cfRule type="expression" dxfId="7" priority="9">
      <formula>AND($B82&lt;&gt;$D82)</formula>
    </cfRule>
  </conditionalFormatting>
  <conditionalFormatting sqref="D227:E232">
    <cfRule type="expression" dxfId="6" priority="8">
      <formula>AND($B227&lt;&gt;$D227)</formula>
    </cfRule>
  </conditionalFormatting>
  <conditionalFormatting sqref="D227:E232">
    <cfRule type="expression" dxfId="5" priority="7">
      <formula>AND($B227&lt;&gt;$D227)</formula>
    </cfRule>
  </conditionalFormatting>
  <conditionalFormatting sqref="D145:E150">
    <cfRule type="expression" dxfId="4" priority="5">
      <formula>AND($B145&lt;&gt;$D145)</formula>
    </cfRule>
  </conditionalFormatting>
  <conditionalFormatting sqref="D145:E150">
    <cfRule type="expression" dxfId="3" priority="4">
      <formula>AND($B145&lt;&gt;$D145)</formula>
    </cfRule>
  </conditionalFormatting>
  <conditionalFormatting sqref="D152:D157">
    <cfRule type="expression" dxfId="2" priority="3">
      <formula>AND($B152&lt;&gt;$D152)</formula>
    </cfRule>
  </conditionalFormatting>
  <conditionalFormatting sqref="E152:E157">
    <cfRule type="expression" dxfId="1" priority="2">
      <formula>AND($C152&lt;&gt;$E152)</formula>
    </cfRule>
  </conditionalFormatting>
  <conditionalFormatting sqref="D168:E175">
    <cfRule type="expression" dxfId="0" priority="1">
      <formula>AND($B168&lt;&gt;$D168)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BW79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H61" sqref="BH61"/>
    </sheetView>
  </sheetViews>
  <sheetFormatPr baseColWidth="10" defaultColWidth="5.140625" defaultRowHeight="15" x14ac:dyDescent="0.25"/>
  <cols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</cols>
  <sheetData>
    <row r="1" spans="1:60" x14ac:dyDescent="0.25">
      <c r="C1" s="8"/>
      <c r="D1" s="357">
        <v>46054</v>
      </c>
      <c r="E1" s="357"/>
      <c r="F1" s="357">
        <v>46055</v>
      </c>
      <c r="G1" s="357"/>
      <c r="H1" s="357">
        <v>46056</v>
      </c>
      <c r="I1" s="357"/>
      <c r="J1" s="357">
        <v>46057</v>
      </c>
      <c r="K1" s="357"/>
      <c r="L1" s="357">
        <v>46058</v>
      </c>
      <c r="M1" s="357"/>
      <c r="N1" s="357">
        <v>46059</v>
      </c>
      <c r="O1" s="357"/>
      <c r="P1" s="357">
        <v>46060</v>
      </c>
      <c r="Q1" s="357"/>
      <c r="R1" s="357">
        <v>46061</v>
      </c>
      <c r="S1" s="357"/>
      <c r="T1" s="357">
        <v>46062</v>
      </c>
      <c r="U1" s="357"/>
      <c r="V1" s="357">
        <v>46063</v>
      </c>
      <c r="W1" s="357"/>
      <c r="X1" s="357">
        <v>46064</v>
      </c>
      <c r="Y1" s="357"/>
      <c r="Z1" s="357">
        <v>46065</v>
      </c>
      <c r="AA1" s="357"/>
      <c r="AB1" s="357">
        <v>46066</v>
      </c>
      <c r="AC1" s="357"/>
      <c r="AD1" s="357">
        <v>46067</v>
      </c>
      <c r="AE1" s="357"/>
      <c r="AF1" s="357">
        <v>46068</v>
      </c>
      <c r="AG1" s="357"/>
      <c r="AH1" s="357">
        <v>46069</v>
      </c>
      <c r="AI1" s="357"/>
      <c r="AJ1" s="357">
        <v>46070</v>
      </c>
      <c r="AK1" s="357"/>
      <c r="AL1" s="357">
        <v>46071</v>
      </c>
      <c r="AM1" s="357"/>
      <c r="AN1" s="357">
        <v>46072</v>
      </c>
      <c r="AO1" s="357"/>
      <c r="AP1" s="357">
        <v>46073</v>
      </c>
      <c r="AQ1" s="357"/>
      <c r="AR1" s="357">
        <v>46074</v>
      </c>
      <c r="AS1" s="357"/>
      <c r="AT1" s="357">
        <v>46075</v>
      </c>
      <c r="AU1" s="357"/>
      <c r="AV1" s="357">
        <v>46076</v>
      </c>
      <c r="AW1" s="357"/>
      <c r="AX1" s="357">
        <v>46077</v>
      </c>
      <c r="AY1" s="357"/>
      <c r="AZ1" s="357">
        <v>46078</v>
      </c>
      <c r="BA1" s="357"/>
      <c r="BB1" s="357">
        <v>46079</v>
      </c>
      <c r="BC1" s="357"/>
      <c r="BD1" s="357">
        <v>46080</v>
      </c>
      <c r="BE1" s="357"/>
      <c r="BF1" s="357">
        <v>46081</v>
      </c>
      <c r="BG1" s="357"/>
    </row>
    <row r="2" spans="1:60" ht="15.75" thickBot="1" x14ac:dyDescent="0.3">
      <c r="C2" s="8"/>
      <c r="D2" s="44" t="s">
        <v>71</v>
      </c>
      <c r="E2" s="45" t="s">
        <v>72</v>
      </c>
      <c r="F2" s="44" t="s">
        <v>71</v>
      </c>
      <c r="G2" s="45" t="s">
        <v>72</v>
      </c>
      <c r="H2" s="46" t="s">
        <v>71</v>
      </c>
      <c r="I2" s="47" t="s">
        <v>72</v>
      </c>
      <c r="J2" s="46" t="s">
        <v>71</v>
      </c>
      <c r="K2" s="47" t="s">
        <v>72</v>
      </c>
      <c r="L2" s="46" t="s">
        <v>71</v>
      </c>
      <c r="M2" s="47" t="s">
        <v>72</v>
      </c>
      <c r="N2" s="46" t="s">
        <v>71</v>
      </c>
      <c r="O2" s="48" t="s">
        <v>72</v>
      </c>
      <c r="P2" s="49" t="s">
        <v>71</v>
      </c>
      <c r="Q2" s="50" t="s">
        <v>72</v>
      </c>
      <c r="R2" s="51" t="s">
        <v>71</v>
      </c>
      <c r="S2" s="47" t="s">
        <v>72</v>
      </c>
      <c r="T2" s="46" t="s">
        <v>71</v>
      </c>
      <c r="U2" s="47" t="s">
        <v>72</v>
      </c>
      <c r="V2" s="46" t="s">
        <v>71</v>
      </c>
      <c r="W2" s="47" t="s">
        <v>72</v>
      </c>
      <c r="X2" s="46" t="s">
        <v>71</v>
      </c>
      <c r="Y2" s="47" t="s">
        <v>72</v>
      </c>
      <c r="Z2" s="46" t="s">
        <v>71</v>
      </c>
      <c r="AA2" s="47" t="s">
        <v>72</v>
      </c>
      <c r="AB2" s="46" t="s">
        <v>71</v>
      </c>
      <c r="AC2" s="47" t="s">
        <v>72</v>
      </c>
      <c r="AD2" s="46" t="s">
        <v>71</v>
      </c>
      <c r="AE2" s="47" t="s">
        <v>72</v>
      </c>
      <c r="AF2" s="46" t="s">
        <v>71</v>
      </c>
      <c r="AG2" s="47" t="s">
        <v>72</v>
      </c>
      <c r="AH2" s="46" t="s">
        <v>71</v>
      </c>
      <c r="AI2" s="47" t="s">
        <v>72</v>
      </c>
      <c r="AJ2" s="46" t="s">
        <v>71</v>
      </c>
      <c r="AK2" s="47" t="s">
        <v>72</v>
      </c>
      <c r="AL2" s="46" t="s">
        <v>71</v>
      </c>
      <c r="AM2" s="47" t="s">
        <v>72</v>
      </c>
      <c r="AN2" s="46" t="s">
        <v>71</v>
      </c>
      <c r="AO2" s="47" t="s">
        <v>72</v>
      </c>
      <c r="AP2" s="46" t="s">
        <v>71</v>
      </c>
      <c r="AQ2" s="47" t="s">
        <v>72</v>
      </c>
      <c r="AR2" s="46" t="s">
        <v>71</v>
      </c>
      <c r="AS2" s="47" t="s">
        <v>72</v>
      </c>
      <c r="AT2" s="46" t="s">
        <v>71</v>
      </c>
      <c r="AU2" s="47" t="s">
        <v>72</v>
      </c>
      <c r="AV2" s="46" t="s">
        <v>71</v>
      </c>
      <c r="AW2" s="47" t="s">
        <v>72</v>
      </c>
      <c r="AX2" s="51" t="s">
        <v>71</v>
      </c>
      <c r="AY2" s="52" t="s">
        <v>72</v>
      </c>
      <c r="AZ2" s="52" t="s">
        <v>71</v>
      </c>
      <c r="BA2" s="52" t="s">
        <v>72</v>
      </c>
      <c r="BB2" s="52" t="s">
        <v>71</v>
      </c>
      <c r="BC2" s="52" t="s">
        <v>72</v>
      </c>
      <c r="BD2" s="52" t="s">
        <v>71</v>
      </c>
      <c r="BE2" s="52" t="s">
        <v>72</v>
      </c>
      <c r="BF2" s="52" t="s">
        <v>71</v>
      </c>
      <c r="BG2" s="52" t="s">
        <v>72</v>
      </c>
    </row>
    <row r="3" spans="1:60" ht="15.75" thickBot="1" x14ac:dyDescent="0.3">
      <c r="A3" s="65" t="s">
        <v>73</v>
      </c>
      <c r="B3" s="66"/>
      <c r="C3" s="8"/>
      <c r="D3" s="136">
        <v>0</v>
      </c>
      <c r="E3" s="303">
        <v>0</v>
      </c>
      <c r="F3" s="156">
        <v>10</v>
      </c>
      <c r="G3" s="156">
        <v>0</v>
      </c>
      <c r="H3" s="156">
        <v>10</v>
      </c>
      <c r="I3" s="156">
        <v>0</v>
      </c>
      <c r="J3" s="156">
        <v>9</v>
      </c>
      <c r="K3" s="156">
        <v>0</v>
      </c>
      <c r="L3" s="156">
        <v>10</v>
      </c>
      <c r="M3" s="156">
        <v>0</v>
      </c>
      <c r="N3" s="156">
        <v>10</v>
      </c>
      <c r="O3" s="156">
        <v>0</v>
      </c>
      <c r="P3" s="135">
        <v>0</v>
      </c>
      <c r="Q3" s="135">
        <v>0</v>
      </c>
      <c r="R3" s="136">
        <v>0</v>
      </c>
      <c r="S3" s="136">
        <v>0</v>
      </c>
      <c r="T3" s="156">
        <v>10</v>
      </c>
      <c r="U3" s="156">
        <v>0</v>
      </c>
      <c r="V3" s="156">
        <v>10</v>
      </c>
      <c r="W3" s="156">
        <v>0</v>
      </c>
      <c r="X3" s="156">
        <v>10</v>
      </c>
      <c r="Y3" s="156">
        <v>0</v>
      </c>
      <c r="Z3" s="156">
        <v>10</v>
      </c>
      <c r="AA3" s="156">
        <v>0</v>
      </c>
      <c r="AB3" s="156">
        <v>10</v>
      </c>
      <c r="AC3" s="156">
        <v>0</v>
      </c>
      <c r="AD3" s="135">
        <v>0</v>
      </c>
      <c r="AE3" s="315">
        <v>0</v>
      </c>
      <c r="AF3" s="136">
        <v>0</v>
      </c>
      <c r="AG3" s="136">
        <v>0</v>
      </c>
      <c r="AH3" s="156">
        <v>10</v>
      </c>
      <c r="AI3" s="156">
        <v>0</v>
      </c>
      <c r="AJ3" s="156">
        <v>10</v>
      </c>
      <c r="AK3" s="156">
        <v>0</v>
      </c>
      <c r="AL3" s="156">
        <v>10</v>
      </c>
      <c r="AM3" s="294">
        <v>0</v>
      </c>
      <c r="AN3" s="156">
        <v>10</v>
      </c>
      <c r="AO3" s="294">
        <v>0</v>
      </c>
      <c r="AP3" s="156">
        <v>10</v>
      </c>
      <c r="AQ3" s="156">
        <v>0</v>
      </c>
      <c r="AR3" s="135">
        <v>0</v>
      </c>
      <c r="AS3" s="315">
        <v>0</v>
      </c>
      <c r="AT3" s="136">
        <v>0</v>
      </c>
      <c r="AU3" s="303">
        <v>0</v>
      </c>
      <c r="AV3" s="156">
        <v>10</v>
      </c>
      <c r="AW3" s="294">
        <v>0</v>
      </c>
      <c r="AX3" s="156">
        <v>10</v>
      </c>
      <c r="AY3" s="294">
        <v>0</v>
      </c>
      <c r="AZ3" s="156">
        <v>10</v>
      </c>
      <c r="BA3" s="294">
        <v>0</v>
      </c>
      <c r="BB3" s="156">
        <v>10</v>
      </c>
      <c r="BC3" s="156">
        <v>0</v>
      </c>
      <c r="BD3" s="156">
        <v>10</v>
      </c>
      <c r="BE3" s="156">
        <v>0</v>
      </c>
      <c r="BF3" s="135">
        <v>0</v>
      </c>
      <c r="BG3" s="315">
        <v>0</v>
      </c>
    </row>
    <row r="4" spans="1:60" s="124" customFormat="1" x14ac:dyDescent="0.25">
      <c r="A4" s="65" t="s">
        <v>123</v>
      </c>
      <c r="B4" s="155"/>
      <c r="C4" s="8"/>
      <c r="D4" s="136">
        <v>0</v>
      </c>
      <c r="E4" s="303">
        <v>0</v>
      </c>
      <c r="F4" s="156">
        <v>0</v>
      </c>
      <c r="G4" s="156">
        <v>0</v>
      </c>
      <c r="H4" s="156">
        <v>0</v>
      </c>
      <c r="I4" s="156">
        <v>0</v>
      </c>
      <c r="J4" s="156">
        <v>0</v>
      </c>
      <c r="K4" s="156">
        <v>0</v>
      </c>
      <c r="L4" s="156">
        <v>0</v>
      </c>
      <c r="M4" s="156">
        <v>0</v>
      </c>
      <c r="N4" s="156">
        <v>0</v>
      </c>
      <c r="O4" s="156">
        <v>0</v>
      </c>
      <c r="P4" s="135">
        <v>0</v>
      </c>
      <c r="Q4" s="135">
        <v>0</v>
      </c>
      <c r="R4" s="136">
        <v>0</v>
      </c>
      <c r="S4" s="136">
        <v>0</v>
      </c>
      <c r="T4" s="156">
        <v>0</v>
      </c>
      <c r="U4" s="156">
        <v>0</v>
      </c>
      <c r="V4" s="156">
        <v>0</v>
      </c>
      <c r="W4" s="156">
        <v>0</v>
      </c>
      <c r="X4" s="156">
        <v>0</v>
      </c>
      <c r="Y4" s="156">
        <v>0</v>
      </c>
      <c r="Z4" s="156">
        <v>0</v>
      </c>
      <c r="AA4" s="156">
        <v>0</v>
      </c>
      <c r="AB4" s="156">
        <v>0</v>
      </c>
      <c r="AC4" s="156">
        <v>0</v>
      </c>
      <c r="AD4" s="135">
        <v>0</v>
      </c>
      <c r="AE4" s="315">
        <v>0</v>
      </c>
      <c r="AF4" s="136">
        <v>0</v>
      </c>
      <c r="AG4" s="136">
        <v>0</v>
      </c>
      <c r="AH4" s="156">
        <v>0</v>
      </c>
      <c r="AI4" s="156">
        <v>0</v>
      </c>
      <c r="AJ4" s="156">
        <v>0</v>
      </c>
      <c r="AK4" s="156">
        <v>0</v>
      </c>
      <c r="AL4" s="156">
        <v>0</v>
      </c>
      <c r="AM4" s="294">
        <v>0</v>
      </c>
      <c r="AN4" s="156">
        <v>0</v>
      </c>
      <c r="AO4" s="294">
        <v>0</v>
      </c>
      <c r="AP4" s="156">
        <v>0</v>
      </c>
      <c r="AQ4" s="156">
        <v>0</v>
      </c>
      <c r="AR4" s="135">
        <v>0</v>
      </c>
      <c r="AS4" s="315">
        <v>0</v>
      </c>
      <c r="AT4" s="136">
        <v>0</v>
      </c>
      <c r="AU4" s="303">
        <v>0</v>
      </c>
      <c r="AV4" s="156">
        <v>0</v>
      </c>
      <c r="AW4" s="294">
        <v>0</v>
      </c>
      <c r="AX4" s="156">
        <v>0</v>
      </c>
      <c r="AY4" s="294">
        <v>0</v>
      </c>
      <c r="AZ4" s="156">
        <v>0</v>
      </c>
      <c r="BA4" s="294">
        <v>0</v>
      </c>
      <c r="BB4" s="156">
        <v>0</v>
      </c>
      <c r="BC4" s="156">
        <v>0</v>
      </c>
      <c r="BD4" s="156">
        <v>0</v>
      </c>
      <c r="BE4" s="156">
        <v>0</v>
      </c>
      <c r="BF4" s="135">
        <v>0</v>
      </c>
      <c r="BG4" s="315">
        <v>0</v>
      </c>
    </row>
    <row r="5" spans="1:60" x14ac:dyDescent="0.25">
      <c r="A5" s="67" t="s">
        <v>74</v>
      </c>
      <c r="B5" s="68"/>
      <c r="C5" s="8"/>
      <c r="D5" s="136">
        <v>0</v>
      </c>
      <c r="E5" s="303">
        <v>0</v>
      </c>
      <c r="F5" s="156">
        <v>4</v>
      </c>
      <c r="G5" s="156">
        <v>6</v>
      </c>
      <c r="H5" s="156">
        <v>10</v>
      </c>
      <c r="I5" s="156">
        <v>0</v>
      </c>
      <c r="J5" s="156">
        <v>10</v>
      </c>
      <c r="K5" s="156">
        <v>0</v>
      </c>
      <c r="L5" s="156">
        <v>10</v>
      </c>
      <c r="M5" s="156">
        <v>0</v>
      </c>
      <c r="N5" s="156">
        <v>10</v>
      </c>
      <c r="O5" s="156">
        <v>0</v>
      </c>
      <c r="P5" s="135">
        <v>0</v>
      </c>
      <c r="Q5" s="135">
        <v>0</v>
      </c>
      <c r="R5" s="136">
        <v>0</v>
      </c>
      <c r="S5" s="136">
        <v>0</v>
      </c>
      <c r="T5" s="156">
        <v>10</v>
      </c>
      <c r="U5" s="156">
        <v>0</v>
      </c>
      <c r="V5" s="156">
        <v>10</v>
      </c>
      <c r="W5" s="156">
        <v>0</v>
      </c>
      <c r="X5" s="156">
        <v>10</v>
      </c>
      <c r="Y5" s="156">
        <v>0</v>
      </c>
      <c r="Z5" s="156">
        <v>10</v>
      </c>
      <c r="AA5" s="156">
        <v>0</v>
      </c>
      <c r="AB5" s="156">
        <v>10</v>
      </c>
      <c r="AC5" s="156">
        <v>0</v>
      </c>
      <c r="AD5" s="135">
        <v>0</v>
      </c>
      <c r="AE5" s="315">
        <v>0</v>
      </c>
      <c r="AF5" s="136">
        <v>0</v>
      </c>
      <c r="AG5" s="136">
        <v>0</v>
      </c>
      <c r="AH5" s="156">
        <v>10</v>
      </c>
      <c r="AI5" s="156">
        <v>0</v>
      </c>
      <c r="AJ5" s="156">
        <v>10</v>
      </c>
      <c r="AK5" s="156">
        <v>0</v>
      </c>
      <c r="AL5" s="156">
        <v>3</v>
      </c>
      <c r="AM5" s="294">
        <v>7</v>
      </c>
      <c r="AN5" s="156">
        <v>10</v>
      </c>
      <c r="AO5" s="294">
        <v>0</v>
      </c>
      <c r="AP5" s="156">
        <v>10</v>
      </c>
      <c r="AQ5" s="156">
        <v>0</v>
      </c>
      <c r="AR5" s="135">
        <v>0</v>
      </c>
      <c r="AS5" s="315">
        <v>0</v>
      </c>
      <c r="AT5" s="136">
        <v>0</v>
      </c>
      <c r="AU5" s="303">
        <v>0</v>
      </c>
      <c r="AV5" s="156">
        <v>10</v>
      </c>
      <c r="AW5" s="294">
        <v>0</v>
      </c>
      <c r="AX5" s="156">
        <v>10</v>
      </c>
      <c r="AY5" s="294">
        <v>0</v>
      </c>
      <c r="AZ5" s="156">
        <v>10</v>
      </c>
      <c r="BA5" s="294">
        <v>0</v>
      </c>
      <c r="BB5" s="156">
        <v>10</v>
      </c>
      <c r="BC5" s="156">
        <v>0</v>
      </c>
      <c r="BD5" s="156">
        <v>10</v>
      </c>
      <c r="BE5" s="156">
        <v>0</v>
      </c>
      <c r="BF5" s="135">
        <v>0</v>
      </c>
      <c r="BG5" s="315">
        <v>0</v>
      </c>
    </row>
    <row r="6" spans="1:60" x14ac:dyDescent="0.25">
      <c r="A6" s="67" t="s">
        <v>75</v>
      </c>
      <c r="B6" s="68"/>
      <c r="C6" s="8"/>
      <c r="D6" s="136">
        <v>0</v>
      </c>
      <c r="E6" s="303">
        <v>0</v>
      </c>
      <c r="F6" s="156">
        <v>10</v>
      </c>
      <c r="G6" s="156">
        <v>0</v>
      </c>
      <c r="H6" s="156">
        <v>10</v>
      </c>
      <c r="I6" s="156">
        <v>0</v>
      </c>
      <c r="J6" s="156">
        <v>8</v>
      </c>
      <c r="K6" s="156">
        <v>1</v>
      </c>
      <c r="L6" s="156">
        <v>10</v>
      </c>
      <c r="M6" s="156">
        <v>0</v>
      </c>
      <c r="N6" s="156">
        <v>10</v>
      </c>
      <c r="O6" s="156">
        <v>0</v>
      </c>
      <c r="P6" s="135">
        <v>0</v>
      </c>
      <c r="Q6" s="135">
        <v>0</v>
      </c>
      <c r="R6" s="136">
        <v>0</v>
      </c>
      <c r="S6" s="136">
        <v>0</v>
      </c>
      <c r="T6" s="156">
        <v>10</v>
      </c>
      <c r="U6" s="156">
        <v>0</v>
      </c>
      <c r="V6" s="156">
        <v>10</v>
      </c>
      <c r="W6" s="156">
        <v>0</v>
      </c>
      <c r="X6" s="156">
        <v>10</v>
      </c>
      <c r="Y6" s="156">
        <v>0</v>
      </c>
      <c r="Z6" s="156">
        <v>10</v>
      </c>
      <c r="AA6" s="156">
        <v>0</v>
      </c>
      <c r="AB6" s="156">
        <v>10</v>
      </c>
      <c r="AC6" s="156">
        <v>0</v>
      </c>
      <c r="AD6" s="135">
        <v>0</v>
      </c>
      <c r="AE6" s="315">
        <v>0</v>
      </c>
      <c r="AF6" s="136">
        <v>0</v>
      </c>
      <c r="AG6" s="136">
        <v>0</v>
      </c>
      <c r="AH6" s="156">
        <v>10</v>
      </c>
      <c r="AI6" s="156">
        <v>0</v>
      </c>
      <c r="AJ6" s="156">
        <v>10</v>
      </c>
      <c r="AK6" s="156">
        <v>0</v>
      </c>
      <c r="AL6" s="156">
        <v>10</v>
      </c>
      <c r="AM6" s="294">
        <v>0</v>
      </c>
      <c r="AN6" s="156">
        <v>10</v>
      </c>
      <c r="AO6" s="294">
        <v>0</v>
      </c>
      <c r="AP6" s="156">
        <v>10</v>
      </c>
      <c r="AQ6" s="156">
        <v>0</v>
      </c>
      <c r="AR6" s="135">
        <v>0</v>
      </c>
      <c r="AS6" s="315">
        <v>0</v>
      </c>
      <c r="AT6" s="136">
        <v>0</v>
      </c>
      <c r="AU6" s="303">
        <v>0</v>
      </c>
      <c r="AV6" s="156">
        <v>10</v>
      </c>
      <c r="AW6" s="294">
        <v>0</v>
      </c>
      <c r="AX6" s="156">
        <v>10</v>
      </c>
      <c r="AY6" s="294">
        <v>0</v>
      </c>
      <c r="AZ6" s="156">
        <v>10</v>
      </c>
      <c r="BA6" s="294">
        <v>0</v>
      </c>
      <c r="BB6" s="156">
        <v>10</v>
      </c>
      <c r="BC6" s="156">
        <v>0</v>
      </c>
      <c r="BD6" s="156">
        <v>10</v>
      </c>
      <c r="BE6" s="156">
        <v>0</v>
      </c>
      <c r="BF6" s="135">
        <v>0</v>
      </c>
      <c r="BG6" s="315">
        <v>0</v>
      </c>
    </row>
    <row r="7" spans="1:60" x14ac:dyDescent="0.25">
      <c r="A7" s="67" t="s">
        <v>76</v>
      </c>
      <c r="B7" s="68"/>
      <c r="C7" s="8"/>
      <c r="D7" s="136">
        <v>0</v>
      </c>
      <c r="E7" s="303">
        <v>0</v>
      </c>
      <c r="F7" s="156">
        <v>0</v>
      </c>
      <c r="G7" s="156">
        <v>0</v>
      </c>
      <c r="H7" s="156">
        <v>0</v>
      </c>
      <c r="I7" s="156">
        <v>0</v>
      </c>
      <c r="J7" s="156">
        <v>0</v>
      </c>
      <c r="K7" s="156">
        <v>0</v>
      </c>
      <c r="L7" s="156">
        <v>0</v>
      </c>
      <c r="M7" s="156">
        <v>0</v>
      </c>
      <c r="N7" s="156">
        <v>0</v>
      </c>
      <c r="O7" s="156">
        <v>0</v>
      </c>
      <c r="P7" s="135">
        <v>0</v>
      </c>
      <c r="Q7" s="135">
        <v>0</v>
      </c>
      <c r="R7" s="136">
        <v>0</v>
      </c>
      <c r="S7" s="136">
        <v>0</v>
      </c>
      <c r="T7" s="156">
        <v>0</v>
      </c>
      <c r="U7" s="156">
        <v>0</v>
      </c>
      <c r="V7" s="156">
        <v>0</v>
      </c>
      <c r="W7" s="156">
        <v>0</v>
      </c>
      <c r="X7" s="156">
        <v>0</v>
      </c>
      <c r="Y7" s="156">
        <v>0</v>
      </c>
      <c r="Z7" s="156">
        <v>0</v>
      </c>
      <c r="AA7" s="156">
        <v>0</v>
      </c>
      <c r="AB7" s="156">
        <v>0</v>
      </c>
      <c r="AC7" s="156">
        <v>0</v>
      </c>
      <c r="AD7" s="135">
        <v>0</v>
      </c>
      <c r="AE7" s="315">
        <v>0</v>
      </c>
      <c r="AF7" s="136">
        <v>0</v>
      </c>
      <c r="AG7" s="136">
        <v>0</v>
      </c>
      <c r="AH7" s="156">
        <v>0</v>
      </c>
      <c r="AI7" s="156">
        <v>0</v>
      </c>
      <c r="AJ7" s="156">
        <v>0</v>
      </c>
      <c r="AK7" s="156">
        <v>0</v>
      </c>
      <c r="AL7" s="156">
        <v>0</v>
      </c>
      <c r="AM7" s="294">
        <v>0</v>
      </c>
      <c r="AN7" s="156">
        <v>0</v>
      </c>
      <c r="AO7" s="294">
        <v>0</v>
      </c>
      <c r="AP7" s="156">
        <v>0</v>
      </c>
      <c r="AQ7" s="156">
        <v>0</v>
      </c>
      <c r="AR7" s="135">
        <v>0</v>
      </c>
      <c r="AS7" s="315">
        <v>0</v>
      </c>
      <c r="AT7" s="136">
        <v>0</v>
      </c>
      <c r="AU7" s="303">
        <v>0</v>
      </c>
      <c r="AV7" s="156">
        <v>0</v>
      </c>
      <c r="AW7" s="294">
        <v>0</v>
      </c>
      <c r="AX7" s="156">
        <v>0</v>
      </c>
      <c r="AY7" s="294">
        <v>0</v>
      </c>
      <c r="AZ7" s="156">
        <v>0</v>
      </c>
      <c r="BA7" s="294">
        <v>0</v>
      </c>
      <c r="BB7" s="156">
        <v>0</v>
      </c>
      <c r="BC7" s="156">
        <v>0</v>
      </c>
      <c r="BD7" s="156">
        <v>0</v>
      </c>
      <c r="BE7" s="156">
        <v>0</v>
      </c>
      <c r="BF7" s="135">
        <v>0</v>
      </c>
      <c r="BG7" s="315">
        <v>0</v>
      </c>
    </row>
    <row r="8" spans="1:60" ht="15.75" thickBot="1" x14ac:dyDescent="0.3">
      <c r="A8" s="67" t="s">
        <v>77</v>
      </c>
      <c r="B8" s="69"/>
      <c r="C8" s="8"/>
      <c r="D8" s="136">
        <v>0</v>
      </c>
      <c r="E8" s="303">
        <v>0</v>
      </c>
      <c r="F8" s="156">
        <v>7</v>
      </c>
      <c r="G8" s="156">
        <v>3</v>
      </c>
      <c r="H8" s="156">
        <v>10</v>
      </c>
      <c r="I8" s="156">
        <v>0</v>
      </c>
      <c r="J8" s="156">
        <v>10</v>
      </c>
      <c r="K8" s="156">
        <v>0</v>
      </c>
      <c r="L8" s="156">
        <v>10</v>
      </c>
      <c r="M8" s="156">
        <v>0</v>
      </c>
      <c r="N8" s="156">
        <v>10</v>
      </c>
      <c r="O8" s="156">
        <v>0</v>
      </c>
      <c r="P8" s="135">
        <v>0</v>
      </c>
      <c r="Q8" s="135">
        <v>0</v>
      </c>
      <c r="R8" s="136">
        <v>0</v>
      </c>
      <c r="S8" s="136">
        <v>0</v>
      </c>
      <c r="T8" s="156">
        <v>10</v>
      </c>
      <c r="U8" s="156">
        <v>0</v>
      </c>
      <c r="V8" s="156">
        <v>10</v>
      </c>
      <c r="W8" s="156">
        <v>0</v>
      </c>
      <c r="X8" s="156">
        <v>10</v>
      </c>
      <c r="Y8" s="156">
        <v>0</v>
      </c>
      <c r="Z8" s="156">
        <v>10</v>
      </c>
      <c r="AA8" s="156">
        <v>0</v>
      </c>
      <c r="AB8" s="156">
        <v>10</v>
      </c>
      <c r="AC8" s="156">
        <v>0</v>
      </c>
      <c r="AD8" s="135">
        <v>0</v>
      </c>
      <c r="AE8" s="315">
        <v>0</v>
      </c>
      <c r="AF8" s="136">
        <v>0</v>
      </c>
      <c r="AG8" s="136">
        <v>0</v>
      </c>
      <c r="AH8" s="156">
        <v>10</v>
      </c>
      <c r="AI8" s="156">
        <v>0</v>
      </c>
      <c r="AJ8" s="156">
        <v>10</v>
      </c>
      <c r="AK8" s="156">
        <v>0</v>
      </c>
      <c r="AL8" s="156">
        <v>2</v>
      </c>
      <c r="AM8" s="294">
        <v>8</v>
      </c>
      <c r="AN8" s="156">
        <v>10</v>
      </c>
      <c r="AO8" s="294">
        <v>0</v>
      </c>
      <c r="AP8" s="156">
        <v>10</v>
      </c>
      <c r="AQ8" s="156">
        <v>0</v>
      </c>
      <c r="AR8" s="135">
        <v>0</v>
      </c>
      <c r="AS8" s="315">
        <v>0</v>
      </c>
      <c r="AT8" s="136">
        <v>0</v>
      </c>
      <c r="AU8" s="303">
        <v>0</v>
      </c>
      <c r="AV8" s="156">
        <v>10</v>
      </c>
      <c r="AW8" s="294">
        <v>0</v>
      </c>
      <c r="AX8" s="156">
        <v>10</v>
      </c>
      <c r="AY8" s="294">
        <v>0</v>
      </c>
      <c r="AZ8" s="156">
        <v>10</v>
      </c>
      <c r="BA8" s="294">
        <v>0</v>
      </c>
      <c r="BB8" s="156">
        <v>10</v>
      </c>
      <c r="BC8" s="156">
        <v>0</v>
      </c>
      <c r="BD8" s="156">
        <v>10</v>
      </c>
      <c r="BE8" s="156">
        <v>0</v>
      </c>
      <c r="BF8" s="135">
        <v>0</v>
      </c>
      <c r="BG8" s="315">
        <v>0</v>
      </c>
    </row>
    <row r="9" spans="1:60" x14ac:dyDescent="0.25">
      <c r="A9" s="53"/>
      <c r="B9" s="53"/>
      <c r="C9" s="8"/>
      <c r="D9" s="296"/>
      <c r="E9" s="296"/>
      <c r="F9" s="296" t="s">
        <v>144</v>
      </c>
      <c r="G9" s="296" t="s">
        <v>144</v>
      </c>
      <c r="H9" s="296" t="s">
        <v>144</v>
      </c>
      <c r="I9" s="296" t="s">
        <v>144</v>
      </c>
      <c r="J9" s="296" t="s">
        <v>144</v>
      </c>
      <c r="K9" s="296" t="s">
        <v>144</v>
      </c>
      <c r="L9" s="296"/>
      <c r="M9" s="296"/>
      <c r="N9" s="296"/>
      <c r="O9" s="296"/>
      <c r="P9" s="296"/>
      <c r="Q9" s="296"/>
      <c r="R9" s="296"/>
      <c r="S9" s="296"/>
      <c r="T9" s="296" t="s">
        <v>144</v>
      </c>
      <c r="U9" s="296" t="s">
        <v>144</v>
      </c>
      <c r="V9" s="296" t="s">
        <v>144</v>
      </c>
      <c r="W9" s="296" t="s">
        <v>144</v>
      </c>
      <c r="X9" s="296"/>
      <c r="Y9" s="296"/>
      <c r="Z9" s="296"/>
      <c r="AA9" s="296"/>
      <c r="AB9" s="296" t="s">
        <v>144</v>
      </c>
      <c r="AC9" s="296" t="s">
        <v>144</v>
      </c>
      <c r="AD9" s="296" t="s">
        <v>144</v>
      </c>
      <c r="AE9" s="296" t="s">
        <v>144</v>
      </c>
      <c r="AF9" s="296" t="s">
        <v>144</v>
      </c>
      <c r="AG9" s="296" t="s">
        <v>144</v>
      </c>
      <c r="AH9" s="296" t="s">
        <v>144</v>
      </c>
      <c r="AI9" s="296" t="s">
        <v>144</v>
      </c>
      <c r="AJ9" s="296"/>
      <c r="AK9" s="296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  <c r="AX9" s="296"/>
      <c r="AY9" s="296"/>
      <c r="AZ9" s="296" t="s">
        <v>144</v>
      </c>
      <c r="BA9" s="296" t="s">
        <v>144</v>
      </c>
      <c r="BB9" s="296" t="s">
        <v>144</v>
      </c>
      <c r="BC9" s="296" t="s">
        <v>144</v>
      </c>
      <c r="BD9" s="296" t="s">
        <v>144</v>
      </c>
      <c r="BE9" s="296" t="s">
        <v>144</v>
      </c>
      <c r="BF9" s="296"/>
      <c r="BG9" s="296"/>
    </row>
    <row r="10" spans="1:60" x14ac:dyDescent="0.25">
      <c r="A10" s="70" t="s">
        <v>73</v>
      </c>
      <c r="B10" s="71"/>
      <c r="C10" s="8"/>
      <c r="D10" s="136">
        <v>0</v>
      </c>
      <c r="E10" s="303">
        <v>0</v>
      </c>
      <c r="F10" s="156">
        <v>16</v>
      </c>
      <c r="G10" s="156">
        <v>0</v>
      </c>
      <c r="H10" s="156">
        <v>16</v>
      </c>
      <c r="I10" s="156">
        <v>0</v>
      </c>
      <c r="J10" s="156">
        <v>14</v>
      </c>
      <c r="K10" s="156">
        <v>0</v>
      </c>
      <c r="L10" s="156">
        <v>16</v>
      </c>
      <c r="M10" s="156">
        <v>0</v>
      </c>
      <c r="N10" s="156">
        <v>16</v>
      </c>
      <c r="O10" s="156">
        <v>0</v>
      </c>
      <c r="P10" s="135">
        <v>0</v>
      </c>
      <c r="Q10" s="135">
        <v>0</v>
      </c>
      <c r="R10" s="136">
        <v>0</v>
      </c>
      <c r="S10" s="136">
        <v>0</v>
      </c>
      <c r="T10" s="156">
        <v>16</v>
      </c>
      <c r="U10" s="156">
        <v>0</v>
      </c>
      <c r="V10" s="156">
        <v>16</v>
      </c>
      <c r="W10" s="156">
        <v>0</v>
      </c>
      <c r="X10" s="156">
        <v>16</v>
      </c>
      <c r="Y10" s="156">
        <v>0</v>
      </c>
      <c r="Z10" s="156">
        <v>15</v>
      </c>
      <c r="AA10" s="156">
        <v>0</v>
      </c>
      <c r="AB10" s="156">
        <v>16</v>
      </c>
      <c r="AC10" s="156">
        <v>0</v>
      </c>
      <c r="AD10" s="135">
        <v>0</v>
      </c>
      <c r="AE10" s="315">
        <v>0</v>
      </c>
      <c r="AF10" s="136">
        <v>0</v>
      </c>
      <c r="AG10" s="136">
        <v>0</v>
      </c>
      <c r="AH10" s="156">
        <v>16</v>
      </c>
      <c r="AI10" s="156">
        <v>0</v>
      </c>
      <c r="AJ10" s="156">
        <v>15</v>
      </c>
      <c r="AK10" s="156">
        <v>0</v>
      </c>
      <c r="AL10" s="156">
        <v>15</v>
      </c>
      <c r="AM10" s="294">
        <v>0</v>
      </c>
      <c r="AN10" s="156">
        <v>16</v>
      </c>
      <c r="AO10" s="294">
        <v>0</v>
      </c>
      <c r="AP10" s="156">
        <v>14</v>
      </c>
      <c r="AQ10" s="156">
        <v>0</v>
      </c>
      <c r="AR10" s="135">
        <v>0</v>
      </c>
      <c r="AS10" s="315">
        <v>0</v>
      </c>
      <c r="AT10" s="136">
        <v>0</v>
      </c>
      <c r="AU10" s="303">
        <v>0</v>
      </c>
      <c r="AV10" s="156">
        <v>16</v>
      </c>
      <c r="AW10" s="294">
        <v>0</v>
      </c>
      <c r="AX10" s="156">
        <v>16</v>
      </c>
      <c r="AY10" s="294">
        <v>0</v>
      </c>
      <c r="AZ10" s="156">
        <v>16</v>
      </c>
      <c r="BA10" s="294">
        <v>0</v>
      </c>
      <c r="BB10" s="156">
        <v>16</v>
      </c>
      <c r="BC10" s="156">
        <v>0</v>
      </c>
      <c r="BD10" s="156">
        <v>16</v>
      </c>
      <c r="BE10" s="156">
        <v>0</v>
      </c>
      <c r="BF10" s="135">
        <v>0</v>
      </c>
      <c r="BG10" s="315">
        <v>0</v>
      </c>
    </row>
    <row r="11" spans="1:60" s="124" customFormat="1" x14ac:dyDescent="0.25">
      <c r="A11" s="70" t="s">
        <v>123</v>
      </c>
      <c r="B11" s="71"/>
      <c r="C11" s="8"/>
      <c r="D11" s="136">
        <v>0</v>
      </c>
      <c r="E11" s="303">
        <v>0</v>
      </c>
      <c r="F11" s="156">
        <v>0</v>
      </c>
      <c r="G11" s="156">
        <v>0</v>
      </c>
      <c r="H11" s="156">
        <v>0</v>
      </c>
      <c r="I11" s="156">
        <v>0</v>
      </c>
      <c r="J11" s="156">
        <v>0</v>
      </c>
      <c r="K11" s="156">
        <v>0</v>
      </c>
      <c r="L11" s="156">
        <v>0</v>
      </c>
      <c r="M11" s="156">
        <v>0</v>
      </c>
      <c r="N11" s="156">
        <v>0</v>
      </c>
      <c r="O11" s="156">
        <v>0</v>
      </c>
      <c r="P11" s="135">
        <v>0</v>
      </c>
      <c r="Q11" s="135">
        <v>0</v>
      </c>
      <c r="R11" s="136">
        <v>0</v>
      </c>
      <c r="S11" s="136">
        <v>0</v>
      </c>
      <c r="T11" s="156">
        <v>0</v>
      </c>
      <c r="U11" s="156">
        <v>0</v>
      </c>
      <c r="V11" s="156">
        <v>0</v>
      </c>
      <c r="W11" s="156">
        <v>0</v>
      </c>
      <c r="X11" s="156">
        <v>0</v>
      </c>
      <c r="Y11" s="156">
        <v>0</v>
      </c>
      <c r="Z11" s="156">
        <v>0</v>
      </c>
      <c r="AA11" s="156">
        <v>0</v>
      </c>
      <c r="AB11" s="156">
        <v>0</v>
      </c>
      <c r="AC11" s="156">
        <v>0</v>
      </c>
      <c r="AD11" s="135">
        <v>0</v>
      </c>
      <c r="AE11" s="315">
        <v>0</v>
      </c>
      <c r="AF11" s="136">
        <v>0</v>
      </c>
      <c r="AG11" s="136">
        <v>0</v>
      </c>
      <c r="AH11" s="156">
        <v>0</v>
      </c>
      <c r="AI11" s="156">
        <v>0</v>
      </c>
      <c r="AJ11" s="156">
        <v>0</v>
      </c>
      <c r="AK11" s="156">
        <v>0</v>
      </c>
      <c r="AL11" s="156">
        <v>0</v>
      </c>
      <c r="AM11" s="294">
        <v>0</v>
      </c>
      <c r="AN11" s="156">
        <v>0</v>
      </c>
      <c r="AO11" s="294">
        <v>0</v>
      </c>
      <c r="AP11" s="156">
        <v>0</v>
      </c>
      <c r="AQ11" s="156">
        <v>0</v>
      </c>
      <c r="AR11" s="135">
        <v>0</v>
      </c>
      <c r="AS11" s="315">
        <v>0</v>
      </c>
      <c r="AT11" s="136">
        <v>0</v>
      </c>
      <c r="AU11" s="303">
        <v>0</v>
      </c>
      <c r="AV11" s="156">
        <v>0</v>
      </c>
      <c r="AW11" s="294">
        <v>0</v>
      </c>
      <c r="AX11" s="156">
        <v>0</v>
      </c>
      <c r="AY11" s="294">
        <v>0</v>
      </c>
      <c r="AZ11" s="156">
        <v>0</v>
      </c>
      <c r="BA11" s="294">
        <v>0</v>
      </c>
      <c r="BB11" s="156">
        <v>0</v>
      </c>
      <c r="BC11" s="156">
        <v>0</v>
      </c>
      <c r="BD11" s="156">
        <v>0</v>
      </c>
      <c r="BE11" s="156">
        <v>0</v>
      </c>
      <c r="BF11" s="135">
        <v>0</v>
      </c>
      <c r="BG11" s="315">
        <v>0</v>
      </c>
    </row>
    <row r="12" spans="1:60" x14ac:dyDescent="0.25">
      <c r="A12" s="72" t="s">
        <v>74</v>
      </c>
      <c r="B12" s="73"/>
      <c r="C12" s="8"/>
      <c r="D12" s="136">
        <v>51</v>
      </c>
      <c r="E12" s="303">
        <v>3</v>
      </c>
      <c r="F12" s="156">
        <v>59</v>
      </c>
      <c r="G12" s="156">
        <v>2</v>
      </c>
      <c r="H12" s="156">
        <v>60</v>
      </c>
      <c r="I12" s="156">
        <v>1</v>
      </c>
      <c r="J12" s="156">
        <v>58</v>
      </c>
      <c r="K12" s="156">
        <v>3</v>
      </c>
      <c r="L12" s="156">
        <v>59</v>
      </c>
      <c r="M12" s="156">
        <v>2</v>
      </c>
      <c r="N12" s="156">
        <v>59</v>
      </c>
      <c r="O12" s="156">
        <v>2</v>
      </c>
      <c r="P12" s="135">
        <v>69</v>
      </c>
      <c r="Q12" s="135">
        <v>3</v>
      </c>
      <c r="R12" s="136">
        <v>51</v>
      </c>
      <c r="S12" s="136">
        <v>3</v>
      </c>
      <c r="T12" s="156">
        <v>60</v>
      </c>
      <c r="U12" s="156">
        <v>1</v>
      </c>
      <c r="V12" s="156">
        <v>60</v>
      </c>
      <c r="W12" s="156">
        <v>1</v>
      </c>
      <c r="X12" s="156">
        <v>60</v>
      </c>
      <c r="Y12" s="156">
        <v>1</v>
      </c>
      <c r="Z12" s="156">
        <v>61</v>
      </c>
      <c r="AA12" s="156">
        <v>1</v>
      </c>
      <c r="AB12" s="156">
        <v>59</v>
      </c>
      <c r="AC12" s="156">
        <v>2</v>
      </c>
      <c r="AD12" s="135">
        <v>69</v>
      </c>
      <c r="AE12" s="315">
        <v>3</v>
      </c>
      <c r="AF12" s="136">
        <v>46</v>
      </c>
      <c r="AG12" s="136">
        <v>8</v>
      </c>
      <c r="AH12" s="156">
        <v>60</v>
      </c>
      <c r="AI12" s="156">
        <v>1</v>
      </c>
      <c r="AJ12" s="156">
        <v>61</v>
      </c>
      <c r="AK12" s="156">
        <v>1</v>
      </c>
      <c r="AL12" s="156">
        <v>46</v>
      </c>
      <c r="AM12" s="294">
        <v>15</v>
      </c>
      <c r="AN12" s="156">
        <v>55</v>
      </c>
      <c r="AO12" s="294">
        <v>6</v>
      </c>
      <c r="AP12" s="156">
        <v>60</v>
      </c>
      <c r="AQ12" s="156">
        <v>1</v>
      </c>
      <c r="AR12" s="135">
        <v>69</v>
      </c>
      <c r="AS12" s="315">
        <v>3</v>
      </c>
      <c r="AT12" s="136">
        <v>42</v>
      </c>
      <c r="AU12" s="303">
        <v>12</v>
      </c>
      <c r="AV12" s="156">
        <v>60</v>
      </c>
      <c r="AW12" s="294">
        <v>1</v>
      </c>
      <c r="AX12" s="156">
        <v>60</v>
      </c>
      <c r="AY12" s="294">
        <v>1</v>
      </c>
      <c r="AZ12" s="156">
        <v>60</v>
      </c>
      <c r="BA12" s="294">
        <v>1</v>
      </c>
      <c r="BB12" s="156">
        <v>60</v>
      </c>
      <c r="BC12" s="156">
        <v>1</v>
      </c>
      <c r="BD12" s="156">
        <v>60</v>
      </c>
      <c r="BE12" s="156">
        <v>1</v>
      </c>
      <c r="BF12" s="135">
        <v>70</v>
      </c>
      <c r="BG12" s="315">
        <v>2</v>
      </c>
    </row>
    <row r="13" spans="1:60" x14ac:dyDescent="0.25">
      <c r="A13" s="72" t="s">
        <v>75</v>
      </c>
      <c r="B13" s="73"/>
      <c r="C13" s="8"/>
      <c r="D13" s="136">
        <v>0</v>
      </c>
      <c r="E13" s="303">
        <v>0</v>
      </c>
      <c r="F13" s="156">
        <v>16</v>
      </c>
      <c r="G13" s="156">
        <v>0</v>
      </c>
      <c r="H13" s="156">
        <v>16</v>
      </c>
      <c r="I13" s="156">
        <v>0</v>
      </c>
      <c r="J13" s="156">
        <v>14</v>
      </c>
      <c r="K13" s="156">
        <v>0</v>
      </c>
      <c r="L13" s="156">
        <v>16</v>
      </c>
      <c r="M13" s="156">
        <v>0</v>
      </c>
      <c r="N13" s="156">
        <v>16</v>
      </c>
      <c r="O13" s="156">
        <v>0</v>
      </c>
      <c r="P13" s="135">
        <v>0</v>
      </c>
      <c r="Q13" s="135">
        <v>0</v>
      </c>
      <c r="R13" s="136">
        <v>0</v>
      </c>
      <c r="S13" s="136">
        <v>0</v>
      </c>
      <c r="T13" s="156">
        <v>16</v>
      </c>
      <c r="U13" s="156">
        <v>0</v>
      </c>
      <c r="V13" s="156">
        <v>16</v>
      </c>
      <c r="W13" s="156">
        <v>0</v>
      </c>
      <c r="X13" s="156">
        <v>16</v>
      </c>
      <c r="Y13" s="156">
        <v>0</v>
      </c>
      <c r="Z13" s="156">
        <v>16</v>
      </c>
      <c r="AA13" s="156">
        <v>0</v>
      </c>
      <c r="AB13" s="156">
        <v>16</v>
      </c>
      <c r="AC13" s="156">
        <v>0</v>
      </c>
      <c r="AD13" s="135">
        <v>0</v>
      </c>
      <c r="AE13" s="315">
        <v>0</v>
      </c>
      <c r="AF13" s="136">
        <v>0</v>
      </c>
      <c r="AG13" s="136">
        <v>0</v>
      </c>
      <c r="AH13" s="156">
        <v>16</v>
      </c>
      <c r="AI13" s="156">
        <v>0</v>
      </c>
      <c r="AJ13" s="156">
        <v>16</v>
      </c>
      <c r="AK13" s="156">
        <v>0</v>
      </c>
      <c r="AL13" s="156">
        <v>16</v>
      </c>
      <c r="AM13" s="294">
        <v>0</v>
      </c>
      <c r="AN13" s="156">
        <v>16</v>
      </c>
      <c r="AO13" s="294">
        <v>0</v>
      </c>
      <c r="AP13" s="156">
        <v>16</v>
      </c>
      <c r="AQ13" s="156">
        <v>0</v>
      </c>
      <c r="AR13" s="135">
        <v>0</v>
      </c>
      <c r="AS13" s="315">
        <v>0</v>
      </c>
      <c r="AT13" s="136">
        <v>0</v>
      </c>
      <c r="AU13" s="303">
        <v>0</v>
      </c>
      <c r="AV13" s="156">
        <v>16</v>
      </c>
      <c r="AW13" s="294">
        <v>0</v>
      </c>
      <c r="AX13" s="156">
        <v>16</v>
      </c>
      <c r="AY13" s="294">
        <v>0</v>
      </c>
      <c r="AZ13" s="156">
        <v>16</v>
      </c>
      <c r="BA13" s="294">
        <v>0</v>
      </c>
      <c r="BB13" s="156">
        <v>16</v>
      </c>
      <c r="BC13" s="156">
        <v>0</v>
      </c>
      <c r="BD13" s="156">
        <v>16</v>
      </c>
      <c r="BE13" s="156">
        <v>0</v>
      </c>
      <c r="BF13" s="135">
        <v>0</v>
      </c>
      <c r="BG13" s="315">
        <v>0</v>
      </c>
    </row>
    <row r="14" spans="1:60" ht="15.75" thickBot="1" x14ac:dyDescent="0.3">
      <c r="A14" s="74" t="s">
        <v>76</v>
      </c>
      <c r="B14" s="75"/>
      <c r="C14" s="8"/>
      <c r="D14" s="136">
        <v>0</v>
      </c>
      <c r="E14" s="303">
        <v>0</v>
      </c>
      <c r="F14" s="156">
        <v>1</v>
      </c>
      <c r="G14" s="156">
        <v>0</v>
      </c>
      <c r="H14" s="156">
        <v>1</v>
      </c>
      <c r="I14" s="156">
        <v>0</v>
      </c>
      <c r="J14" s="156">
        <v>1</v>
      </c>
      <c r="K14" s="156">
        <v>0</v>
      </c>
      <c r="L14" s="156">
        <v>1</v>
      </c>
      <c r="M14" s="156">
        <v>0</v>
      </c>
      <c r="N14" s="156">
        <v>1</v>
      </c>
      <c r="O14" s="156">
        <v>0</v>
      </c>
      <c r="P14" s="135">
        <v>0</v>
      </c>
      <c r="Q14" s="135">
        <v>0</v>
      </c>
      <c r="R14" s="136">
        <v>0</v>
      </c>
      <c r="S14" s="136">
        <v>0</v>
      </c>
      <c r="T14" s="156">
        <v>1</v>
      </c>
      <c r="U14" s="156">
        <v>0</v>
      </c>
      <c r="V14" s="156">
        <v>1</v>
      </c>
      <c r="W14" s="156">
        <v>0</v>
      </c>
      <c r="X14" s="156">
        <v>1</v>
      </c>
      <c r="Y14" s="156">
        <v>0</v>
      </c>
      <c r="Z14" s="156">
        <v>1</v>
      </c>
      <c r="AA14" s="156">
        <v>0</v>
      </c>
      <c r="AB14" s="156">
        <v>1</v>
      </c>
      <c r="AC14" s="156">
        <v>0</v>
      </c>
      <c r="AD14" s="135">
        <v>0</v>
      </c>
      <c r="AE14" s="315">
        <v>0</v>
      </c>
      <c r="AF14" s="136">
        <v>0</v>
      </c>
      <c r="AG14" s="136">
        <v>0</v>
      </c>
      <c r="AH14" s="156">
        <v>1</v>
      </c>
      <c r="AI14" s="156">
        <v>0</v>
      </c>
      <c r="AJ14" s="156">
        <v>1</v>
      </c>
      <c r="AK14" s="156">
        <v>0</v>
      </c>
      <c r="AL14" s="156">
        <v>1</v>
      </c>
      <c r="AM14" s="294">
        <v>0</v>
      </c>
      <c r="AN14" s="156">
        <v>1</v>
      </c>
      <c r="AO14" s="294">
        <v>0</v>
      </c>
      <c r="AP14" s="156">
        <v>1</v>
      </c>
      <c r="AQ14" s="156">
        <v>0</v>
      </c>
      <c r="AR14" s="135">
        <v>0</v>
      </c>
      <c r="AS14" s="315">
        <v>0</v>
      </c>
      <c r="AT14" s="136">
        <v>0</v>
      </c>
      <c r="AU14" s="303">
        <v>0</v>
      </c>
      <c r="AV14" s="156">
        <v>1</v>
      </c>
      <c r="AW14" s="294">
        <v>0</v>
      </c>
      <c r="AX14" s="156">
        <v>1</v>
      </c>
      <c r="AY14" s="294">
        <v>0</v>
      </c>
      <c r="AZ14" s="156">
        <v>1</v>
      </c>
      <c r="BA14" s="294">
        <v>0</v>
      </c>
      <c r="BB14" s="156">
        <v>1</v>
      </c>
      <c r="BC14" s="156">
        <v>0</v>
      </c>
      <c r="BD14" s="156">
        <v>1</v>
      </c>
      <c r="BE14" s="156">
        <v>0</v>
      </c>
      <c r="BF14" s="135">
        <v>0</v>
      </c>
      <c r="BG14" s="315">
        <v>0</v>
      </c>
    </row>
    <row r="15" spans="1:60" x14ac:dyDescent="0.25">
      <c r="A15" s="255" t="s">
        <v>77</v>
      </c>
      <c r="B15" s="255"/>
      <c r="C15" s="8"/>
      <c r="D15" s="136">
        <v>57</v>
      </c>
      <c r="E15" s="303">
        <v>0</v>
      </c>
      <c r="F15" s="156">
        <v>56</v>
      </c>
      <c r="G15" s="156">
        <v>5</v>
      </c>
      <c r="H15" s="156">
        <v>59</v>
      </c>
      <c r="I15" s="156">
        <v>2</v>
      </c>
      <c r="J15" s="156">
        <v>58</v>
      </c>
      <c r="K15" s="156">
        <v>3</v>
      </c>
      <c r="L15" s="156">
        <v>59</v>
      </c>
      <c r="M15" s="156">
        <v>2</v>
      </c>
      <c r="N15" s="156">
        <v>58</v>
      </c>
      <c r="O15" s="156">
        <v>3</v>
      </c>
      <c r="P15" s="135">
        <v>75</v>
      </c>
      <c r="Q15" s="135">
        <v>0</v>
      </c>
      <c r="R15" s="136">
        <v>57</v>
      </c>
      <c r="S15" s="136">
        <v>0</v>
      </c>
      <c r="T15" s="156">
        <v>59</v>
      </c>
      <c r="U15" s="156">
        <v>2</v>
      </c>
      <c r="V15" s="156">
        <v>59</v>
      </c>
      <c r="W15" s="156">
        <v>2</v>
      </c>
      <c r="X15" s="156">
        <v>59</v>
      </c>
      <c r="Y15" s="156">
        <v>2</v>
      </c>
      <c r="Z15" s="156">
        <v>59</v>
      </c>
      <c r="AA15" s="156">
        <v>2</v>
      </c>
      <c r="AB15" s="156">
        <v>58</v>
      </c>
      <c r="AC15" s="156">
        <v>3</v>
      </c>
      <c r="AD15" s="135">
        <v>75</v>
      </c>
      <c r="AE15" s="315">
        <v>0</v>
      </c>
      <c r="AF15" s="136">
        <v>52</v>
      </c>
      <c r="AG15" s="136">
        <v>5</v>
      </c>
      <c r="AH15" s="156">
        <v>59</v>
      </c>
      <c r="AI15" s="156">
        <v>2</v>
      </c>
      <c r="AJ15" s="156">
        <v>59</v>
      </c>
      <c r="AK15" s="156">
        <v>2</v>
      </c>
      <c r="AL15" s="156">
        <v>41</v>
      </c>
      <c r="AM15" s="294">
        <v>20</v>
      </c>
      <c r="AN15" s="156">
        <v>48</v>
      </c>
      <c r="AO15" s="294">
        <v>13</v>
      </c>
      <c r="AP15" s="156">
        <v>59</v>
      </c>
      <c r="AQ15" s="156">
        <v>2</v>
      </c>
      <c r="AR15" s="135">
        <v>75</v>
      </c>
      <c r="AS15" s="315">
        <v>0</v>
      </c>
      <c r="AT15" s="136">
        <v>48</v>
      </c>
      <c r="AU15" s="303">
        <v>9</v>
      </c>
      <c r="AV15" s="156">
        <v>59</v>
      </c>
      <c r="AW15" s="294">
        <v>2</v>
      </c>
      <c r="AX15" s="156">
        <v>59</v>
      </c>
      <c r="AY15" s="294">
        <v>2</v>
      </c>
      <c r="AZ15" s="156">
        <v>59</v>
      </c>
      <c r="BA15" s="294">
        <v>2</v>
      </c>
      <c r="BB15" s="156">
        <v>59</v>
      </c>
      <c r="BC15" s="156">
        <v>2</v>
      </c>
      <c r="BD15" s="156">
        <v>59</v>
      </c>
      <c r="BE15" s="156">
        <v>2</v>
      </c>
      <c r="BF15" s="135">
        <v>75</v>
      </c>
      <c r="BG15" s="315">
        <v>0</v>
      </c>
    </row>
    <row r="16" spans="1:60" s="124" customFormat="1" x14ac:dyDescent="0.25">
      <c r="A16" s="319" t="s">
        <v>186</v>
      </c>
      <c r="B16" s="31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156">
        <v>3</v>
      </c>
      <c r="AW16" s="156">
        <v>1</v>
      </c>
      <c r="AX16" s="156">
        <v>3</v>
      </c>
      <c r="AY16" s="156">
        <v>1</v>
      </c>
      <c r="AZ16" s="156">
        <v>3</v>
      </c>
      <c r="BA16" s="156">
        <v>1</v>
      </c>
      <c r="BB16" s="156">
        <v>3</v>
      </c>
      <c r="BC16" s="156">
        <v>1</v>
      </c>
      <c r="BD16" s="156">
        <v>3</v>
      </c>
      <c r="BE16" s="156">
        <v>1</v>
      </c>
      <c r="BF16" s="135">
        <v>3</v>
      </c>
      <c r="BG16" s="135">
        <v>1</v>
      </c>
      <c r="BH16" s="8"/>
    </row>
    <row r="17" spans="1:60 16299:16299" s="124" customFormat="1" x14ac:dyDescent="0.25">
      <c r="A17" s="319" t="s">
        <v>187</v>
      </c>
      <c r="B17" s="31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156">
        <v>2</v>
      </c>
      <c r="AW17" s="156">
        <v>0</v>
      </c>
      <c r="AX17" s="156">
        <v>2</v>
      </c>
      <c r="AY17" s="156">
        <v>0</v>
      </c>
      <c r="AZ17" s="156">
        <v>2</v>
      </c>
      <c r="BA17" s="156">
        <v>0</v>
      </c>
      <c r="BB17" s="156">
        <v>2</v>
      </c>
      <c r="BC17" s="156">
        <v>0</v>
      </c>
      <c r="BD17" s="156">
        <v>2</v>
      </c>
      <c r="BE17" s="156">
        <v>0</v>
      </c>
      <c r="BF17" s="135">
        <v>2</v>
      </c>
      <c r="BG17" s="135">
        <v>0</v>
      </c>
      <c r="BH17" s="8"/>
    </row>
    <row r="18" spans="1:60 16299:16299" s="124" customFormat="1" x14ac:dyDescent="0.25">
      <c r="A18" s="299"/>
      <c r="B18" s="299"/>
      <c r="C18" s="8"/>
      <c r="D18" s="296"/>
      <c r="E18" s="296"/>
      <c r="F18" s="296" t="s">
        <v>144</v>
      </c>
      <c r="G18" s="296" t="s">
        <v>144</v>
      </c>
      <c r="H18" s="296" t="s">
        <v>144</v>
      </c>
      <c r="I18" s="296" t="s">
        <v>144</v>
      </c>
      <c r="J18" s="296" t="s">
        <v>144</v>
      </c>
      <c r="K18" s="296" t="s">
        <v>144</v>
      </c>
      <c r="L18" s="296"/>
      <c r="M18" s="296"/>
      <c r="N18" s="296"/>
      <c r="O18" s="296"/>
      <c r="P18" s="296"/>
      <c r="Q18" s="296"/>
      <c r="R18" s="296"/>
      <c r="S18" s="296"/>
      <c r="T18" s="296" t="s">
        <v>144</v>
      </c>
      <c r="U18" s="296" t="s">
        <v>144</v>
      </c>
      <c r="V18" s="296" t="s">
        <v>144</v>
      </c>
      <c r="W18" s="296" t="s">
        <v>144</v>
      </c>
      <c r="X18" s="296"/>
      <c r="Y18" s="296"/>
      <c r="Z18" s="296"/>
      <c r="AA18" s="296"/>
      <c r="AB18" s="296" t="s">
        <v>144</v>
      </c>
      <c r="AC18" s="296" t="s">
        <v>144</v>
      </c>
      <c r="AD18" s="296" t="s">
        <v>144</v>
      </c>
      <c r="AE18" s="296" t="s">
        <v>144</v>
      </c>
      <c r="AF18" s="296" t="s">
        <v>144</v>
      </c>
      <c r="AG18" s="296" t="s">
        <v>144</v>
      </c>
      <c r="AH18" s="296" t="s">
        <v>144</v>
      </c>
      <c r="AI18" s="296" t="s">
        <v>144</v>
      </c>
      <c r="AJ18" s="296"/>
      <c r="AK18" s="296"/>
      <c r="AL18" s="296"/>
      <c r="AM18" s="296"/>
      <c r="AN18" s="296"/>
      <c r="AO18" s="296"/>
      <c r="AP18" s="296"/>
      <c r="AQ18" s="296"/>
      <c r="AR18" s="296"/>
      <c r="AS18" s="296"/>
      <c r="AT18" s="296"/>
      <c r="AU18" s="296"/>
      <c r="AV18" s="296"/>
      <c r="AW18" s="296"/>
      <c r="AX18" s="296"/>
      <c r="AY18" s="296"/>
      <c r="AZ18" s="296"/>
      <c r="BA18" s="296"/>
      <c r="BB18" s="296"/>
      <c r="BC18" s="296"/>
      <c r="BD18" s="296"/>
      <c r="BE18" s="296"/>
      <c r="BF18" s="296"/>
      <c r="BG18" s="296"/>
    </row>
    <row r="19" spans="1:60 16299:16299" x14ac:dyDescent="0.25">
      <c r="A19" s="67" t="s">
        <v>73</v>
      </c>
      <c r="B19" s="68"/>
      <c r="C19" s="8"/>
      <c r="D19" s="297">
        <v>0</v>
      </c>
      <c r="E19" s="304">
        <v>0</v>
      </c>
      <c r="F19" s="156">
        <v>7</v>
      </c>
      <c r="G19" s="156">
        <v>0</v>
      </c>
      <c r="H19" s="279">
        <v>7</v>
      </c>
      <c r="I19" s="279">
        <v>0</v>
      </c>
      <c r="J19" s="279">
        <v>7</v>
      </c>
      <c r="K19" s="279">
        <v>0</v>
      </c>
      <c r="L19" s="279">
        <v>7</v>
      </c>
      <c r="M19" s="279">
        <v>0</v>
      </c>
      <c r="N19" s="279">
        <v>7</v>
      </c>
      <c r="O19" s="279">
        <v>0</v>
      </c>
      <c r="P19" s="306">
        <v>0</v>
      </c>
      <c r="Q19" s="306">
        <v>0</v>
      </c>
      <c r="R19" s="297">
        <v>0</v>
      </c>
      <c r="S19" s="297">
        <v>0</v>
      </c>
      <c r="T19" s="156">
        <v>7</v>
      </c>
      <c r="U19" s="156">
        <v>0</v>
      </c>
      <c r="V19" s="279">
        <v>7</v>
      </c>
      <c r="W19" s="279">
        <v>0</v>
      </c>
      <c r="X19" s="279">
        <v>7</v>
      </c>
      <c r="Y19" s="279">
        <v>0</v>
      </c>
      <c r="Z19" s="279">
        <v>7</v>
      </c>
      <c r="AA19" s="279">
        <v>0</v>
      </c>
      <c r="AB19" s="279">
        <v>7</v>
      </c>
      <c r="AC19" s="279">
        <v>0</v>
      </c>
      <c r="AD19" s="302">
        <v>0</v>
      </c>
      <c r="AE19" s="316">
        <v>0</v>
      </c>
      <c r="AF19" s="317">
        <v>0</v>
      </c>
      <c r="AG19" s="317">
        <v>0</v>
      </c>
      <c r="AH19" s="156">
        <v>7</v>
      </c>
      <c r="AI19" s="295">
        <v>0</v>
      </c>
      <c r="AJ19" s="295">
        <v>7</v>
      </c>
      <c r="AK19" s="156">
        <v>0</v>
      </c>
      <c r="AL19" s="156">
        <v>7</v>
      </c>
      <c r="AM19" s="294">
        <v>0</v>
      </c>
      <c r="AN19" s="156">
        <v>7</v>
      </c>
      <c r="AO19" s="294">
        <v>0</v>
      </c>
      <c r="AP19" s="279">
        <v>7</v>
      </c>
      <c r="AQ19" s="307">
        <v>0</v>
      </c>
      <c r="AR19" s="302">
        <v>0</v>
      </c>
      <c r="AS19" s="316">
        <v>0</v>
      </c>
      <c r="AT19" s="136">
        <v>0</v>
      </c>
      <c r="AU19" s="303">
        <v>0</v>
      </c>
      <c r="AV19" s="156">
        <v>7</v>
      </c>
      <c r="AW19" s="294">
        <v>0</v>
      </c>
      <c r="AX19" s="156">
        <v>7</v>
      </c>
      <c r="AY19" s="294">
        <v>0</v>
      </c>
      <c r="AZ19" s="156">
        <v>7</v>
      </c>
      <c r="BA19" s="294">
        <v>0</v>
      </c>
      <c r="BB19" s="279">
        <v>7</v>
      </c>
      <c r="BC19" s="279">
        <v>0</v>
      </c>
      <c r="BD19" s="279">
        <v>7</v>
      </c>
      <c r="BE19" s="307">
        <v>0</v>
      </c>
      <c r="BF19" s="302">
        <v>0</v>
      </c>
      <c r="BG19" s="316">
        <v>0</v>
      </c>
    </row>
    <row r="20" spans="1:60 16299:16299" s="124" customFormat="1" x14ac:dyDescent="0.25">
      <c r="A20" s="67" t="s">
        <v>123</v>
      </c>
      <c r="B20" s="68"/>
      <c r="C20" s="8"/>
      <c r="D20" s="297">
        <v>0</v>
      </c>
      <c r="E20" s="304">
        <v>0</v>
      </c>
      <c r="F20" s="156">
        <v>0</v>
      </c>
      <c r="G20" s="156">
        <v>0</v>
      </c>
      <c r="H20" s="279">
        <v>0</v>
      </c>
      <c r="I20" s="279">
        <v>0</v>
      </c>
      <c r="J20" s="279">
        <v>0</v>
      </c>
      <c r="K20" s="279">
        <v>0</v>
      </c>
      <c r="L20" s="279">
        <v>0</v>
      </c>
      <c r="M20" s="279">
        <v>0</v>
      </c>
      <c r="N20" s="279">
        <v>0</v>
      </c>
      <c r="O20" s="279">
        <v>0</v>
      </c>
      <c r="P20" s="306">
        <v>0</v>
      </c>
      <c r="Q20" s="306">
        <v>0</v>
      </c>
      <c r="R20" s="297">
        <v>0</v>
      </c>
      <c r="S20" s="297">
        <v>0</v>
      </c>
      <c r="T20" s="156">
        <v>0</v>
      </c>
      <c r="U20" s="156">
        <v>0</v>
      </c>
      <c r="V20" s="279">
        <v>0</v>
      </c>
      <c r="W20" s="279">
        <v>0</v>
      </c>
      <c r="X20" s="279">
        <v>0</v>
      </c>
      <c r="Y20" s="279">
        <v>0</v>
      </c>
      <c r="Z20" s="279">
        <v>0</v>
      </c>
      <c r="AA20" s="279">
        <v>0</v>
      </c>
      <c r="AB20" s="279">
        <v>0</v>
      </c>
      <c r="AC20" s="279">
        <v>0</v>
      </c>
      <c r="AD20" s="302">
        <v>0</v>
      </c>
      <c r="AE20" s="316">
        <v>0</v>
      </c>
      <c r="AF20" s="317">
        <v>0</v>
      </c>
      <c r="AG20" s="317">
        <v>0</v>
      </c>
      <c r="AH20" s="156">
        <v>0</v>
      </c>
      <c r="AI20" s="295">
        <v>0</v>
      </c>
      <c r="AJ20" s="295">
        <v>0</v>
      </c>
      <c r="AK20" s="156">
        <v>0</v>
      </c>
      <c r="AL20" s="156">
        <v>0</v>
      </c>
      <c r="AM20" s="294">
        <v>0</v>
      </c>
      <c r="AN20" s="156">
        <v>0</v>
      </c>
      <c r="AO20" s="294">
        <v>0</v>
      </c>
      <c r="AP20" s="279">
        <v>0</v>
      </c>
      <c r="AQ20" s="307">
        <v>0</v>
      </c>
      <c r="AR20" s="302">
        <v>0</v>
      </c>
      <c r="AS20" s="316">
        <v>0</v>
      </c>
      <c r="AT20" s="136">
        <v>0</v>
      </c>
      <c r="AU20" s="303">
        <v>0</v>
      </c>
      <c r="AV20" s="156">
        <v>0</v>
      </c>
      <c r="AW20" s="294">
        <v>0</v>
      </c>
      <c r="AX20" s="156">
        <v>0</v>
      </c>
      <c r="AY20" s="294">
        <v>0</v>
      </c>
      <c r="AZ20" s="156">
        <v>0</v>
      </c>
      <c r="BA20" s="294">
        <v>0</v>
      </c>
      <c r="BB20" s="279">
        <v>0</v>
      </c>
      <c r="BC20" s="279">
        <v>0</v>
      </c>
      <c r="BD20" s="279">
        <v>0</v>
      </c>
      <c r="BE20" s="307">
        <v>0</v>
      </c>
      <c r="BF20" s="302">
        <v>0</v>
      </c>
      <c r="BG20" s="316">
        <v>0</v>
      </c>
    </row>
    <row r="21" spans="1:60 16299:16299" x14ac:dyDescent="0.25">
      <c r="A21" s="67" t="s">
        <v>74</v>
      </c>
      <c r="B21" s="68"/>
      <c r="C21" s="8"/>
      <c r="D21" s="297">
        <v>0</v>
      </c>
      <c r="E21" s="304">
        <v>0</v>
      </c>
      <c r="F21" s="156">
        <v>8</v>
      </c>
      <c r="G21" s="156">
        <v>0</v>
      </c>
      <c r="H21" s="279">
        <v>8</v>
      </c>
      <c r="I21" s="279">
        <v>0</v>
      </c>
      <c r="J21" s="279">
        <v>8</v>
      </c>
      <c r="K21" s="279">
        <v>0</v>
      </c>
      <c r="L21" s="279">
        <v>8</v>
      </c>
      <c r="M21" s="279">
        <v>0</v>
      </c>
      <c r="N21" s="279">
        <v>8</v>
      </c>
      <c r="O21" s="279">
        <v>0</v>
      </c>
      <c r="P21" s="306">
        <v>0</v>
      </c>
      <c r="Q21" s="306">
        <v>0</v>
      </c>
      <c r="R21" s="297">
        <v>0</v>
      </c>
      <c r="S21" s="297">
        <v>0</v>
      </c>
      <c r="T21" s="156">
        <v>8</v>
      </c>
      <c r="U21" s="156">
        <v>0</v>
      </c>
      <c r="V21" s="279">
        <v>8</v>
      </c>
      <c r="W21" s="279">
        <v>0</v>
      </c>
      <c r="X21" s="279">
        <v>8</v>
      </c>
      <c r="Y21" s="279">
        <v>0</v>
      </c>
      <c r="Z21" s="279">
        <v>8</v>
      </c>
      <c r="AA21" s="279">
        <v>0</v>
      </c>
      <c r="AB21" s="279">
        <v>8</v>
      </c>
      <c r="AC21" s="279">
        <v>0</v>
      </c>
      <c r="AD21" s="302">
        <v>0</v>
      </c>
      <c r="AE21" s="316">
        <v>0</v>
      </c>
      <c r="AF21" s="317">
        <v>0</v>
      </c>
      <c r="AG21" s="317">
        <v>0</v>
      </c>
      <c r="AH21" s="156">
        <v>8</v>
      </c>
      <c r="AI21" s="295">
        <v>0</v>
      </c>
      <c r="AJ21" s="295">
        <v>8</v>
      </c>
      <c r="AK21" s="156">
        <v>0</v>
      </c>
      <c r="AL21" s="156">
        <v>1</v>
      </c>
      <c r="AM21" s="294">
        <v>7</v>
      </c>
      <c r="AN21" s="156">
        <v>1</v>
      </c>
      <c r="AO21" s="294">
        <v>7</v>
      </c>
      <c r="AP21" s="279">
        <v>8</v>
      </c>
      <c r="AQ21" s="307">
        <v>0</v>
      </c>
      <c r="AR21" s="302">
        <v>0</v>
      </c>
      <c r="AS21" s="316">
        <v>0</v>
      </c>
      <c r="AT21" s="136">
        <v>0</v>
      </c>
      <c r="AU21" s="303">
        <v>0</v>
      </c>
      <c r="AV21" s="156">
        <v>6</v>
      </c>
      <c r="AW21" s="294">
        <v>2</v>
      </c>
      <c r="AX21" s="156">
        <v>6</v>
      </c>
      <c r="AY21" s="294">
        <v>2</v>
      </c>
      <c r="AZ21" s="156">
        <v>6</v>
      </c>
      <c r="BA21" s="294">
        <v>2</v>
      </c>
      <c r="BB21" s="279">
        <v>6</v>
      </c>
      <c r="BC21" s="279">
        <v>2</v>
      </c>
      <c r="BD21" s="279">
        <v>6</v>
      </c>
      <c r="BE21" s="307">
        <v>2</v>
      </c>
      <c r="BF21" s="302">
        <v>0</v>
      </c>
      <c r="BG21" s="316">
        <v>0</v>
      </c>
    </row>
    <row r="22" spans="1:60 16299:16299" x14ac:dyDescent="0.25">
      <c r="A22" s="67" t="s">
        <v>75</v>
      </c>
      <c r="B22" s="68"/>
      <c r="C22" s="8"/>
      <c r="D22" s="297">
        <v>0</v>
      </c>
      <c r="E22" s="304">
        <v>0</v>
      </c>
      <c r="F22" s="156">
        <v>6</v>
      </c>
      <c r="G22" s="156">
        <v>0</v>
      </c>
      <c r="H22" s="279">
        <v>6</v>
      </c>
      <c r="I22" s="279">
        <v>0</v>
      </c>
      <c r="J22" s="279">
        <v>6</v>
      </c>
      <c r="K22" s="279">
        <v>0</v>
      </c>
      <c r="L22" s="279">
        <v>6</v>
      </c>
      <c r="M22" s="279">
        <v>0</v>
      </c>
      <c r="N22" s="279">
        <v>6</v>
      </c>
      <c r="O22" s="279">
        <v>0</v>
      </c>
      <c r="P22" s="306">
        <v>0</v>
      </c>
      <c r="Q22" s="306">
        <v>0</v>
      </c>
      <c r="R22" s="297">
        <v>0</v>
      </c>
      <c r="S22" s="297">
        <v>0</v>
      </c>
      <c r="T22" s="156">
        <v>6</v>
      </c>
      <c r="U22" s="156">
        <v>0</v>
      </c>
      <c r="V22" s="279">
        <v>6</v>
      </c>
      <c r="W22" s="279">
        <v>0</v>
      </c>
      <c r="X22" s="279">
        <v>6</v>
      </c>
      <c r="Y22" s="279">
        <v>0</v>
      </c>
      <c r="Z22" s="279">
        <v>5</v>
      </c>
      <c r="AA22" s="279">
        <v>0</v>
      </c>
      <c r="AB22" s="279">
        <v>6</v>
      </c>
      <c r="AC22" s="279">
        <v>0</v>
      </c>
      <c r="AD22" s="302">
        <v>0</v>
      </c>
      <c r="AE22" s="316">
        <v>0</v>
      </c>
      <c r="AF22" s="317">
        <v>0</v>
      </c>
      <c r="AG22" s="317">
        <v>0</v>
      </c>
      <c r="AH22" s="156">
        <v>6</v>
      </c>
      <c r="AI22" s="295">
        <v>0</v>
      </c>
      <c r="AJ22" s="295">
        <v>6</v>
      </c>
      <c r="AK22" s="156">
        <v>0</v>
      </c>
      <c r="AL22" s="156">
        <v>6</v>
      </c>
      <c r="AM22" s="294">
        <v>0</v>
      </c>
      <c r="AN22" s="156">
        <v>6</v>
      </c>
      <c r="AO22" s="294">
        <v>0</v>
      </c>
      <c r="AP22" s="279">
        <v>5</v>
      </c>
      <c r="AQ22" s="307">
        <v>0</v>
      </c>
      <c r="AR22" s="302">
        <v>0</v>
      </c>
      <c r="AS22" s="316">
        <v>0</v>
      </c>
      <c r="AT22" s="136">
        <v>0</v>
      </c>
      <c r="AU22" s="303">
        <v>0</v>
      </c>
      <c r="AV22" s="156">
        <v>6</v>
      </c>
      <c r="AW22" s="294">
        <v>0</v>
      </c>
      <c r="AX22" s="156">
        <v>6</v>
      </c>
      <c r="AY22" s="294">
        <v>0</v>
      </c>
      <c r="AZ22" s="156">
        <v>6</v>
      </c>
      <c r="BA22" s="294">
        <v>0</v>
      </c>
      <c r="BB22" s="279">
        <v>6</v>
      </c>
      <c r="BC22" s="279">
        <v>0</v>
      </c>
      <c r="BD22" s="279">
        <v>6</v>
      </c>
      <c r="BE22" s="307">
        <v>0</v>
      </c>
      <c r="BF22" s="302">
        <v>0</v>
      </c>
      <c r="BG22" s="316">
        <v>0</v>
      </c>
    </row>
    <row r="23" spans="1:60 16299:16299" x14ac:dyDescent="0.25">
      <c r="A23" s="67" t="s">
        <v>76</v>
      </c>
      <c r="B23" s="68"/>
      <c r="C23" s="8"/>
      <c r="D23" s="297">
        <v>0</v>
      </c>
      <c r="E23" s="304">
        <v>0</v>
      </c>
      <c r="F23" s="156">
        <v>0</v>
      </c>
      <c r="G23" s="156">
        <v>0</v>
      </c>
      <c r="H23" s="279">
        <v>0</v>
      </c>
      <c r="I23" s="279">
        <v>0</v>
      </c>
      <c r="J23" s="279">
        <v>0</v>
      </c>
      <c r="K23" s="279">
        <v>0</v>
      </c>
      <c r="L23" s="279">
        <v>0</v>
      </c>
      <c r="M23" s="279">
        <v>0</v>
      </c>
      <c r="N23" s="279">
        <v>0</v>
      </c>
      <c r="O23" s="279">
        <v>0</v>
      </c>
      <c r="P23" s="306">
        <v>0</v>
      </c>
      <c r="Q23" s="306">
        <v>0</v>
      </c>
      <c r="R23" s="297">
        <v>0</v>
      </c>
      <c r="S23" s="297">
        <v>0</v>
      </c>
      <c r="T23" s="156">
        <v>0</v>
      </c>
      <c r="U23" s="156">
        <v>0</v>
      </c>
      <c r="V23" s="279">
        <v>0</v>
      </c>
      <c r="W23" s="279">
        <v>0</v>
      </c>
      <c r="X23" s="279">
        <v>0</v>
      </c>
      <c r="Y23" s="279">
        <v>0</v>
      </c>
      <c r="Z23" s="279">
        <v>1</v>
      </c>
      <c r="AA23" s="279">
        <v>0</v>
      </c>
      <c r="AB23" s="279">
        <v>0</v>
      </c>
      <c r="AC23" s="279">
        <v>0</v>
      </c>
      <c r="AD23" s="302">
        <v>0</v>
      </c>
      <c r="AE23" s="316">
        <v>0</v>
      </c>
      <c r="AF23" s="317">
        <v>0</v>
      </c>
      <c r="AG23" s="317">
        <v>0</v>
      </c>
      <c r="AH23" s="156">
        <v>0</v>
      </c>
      <c r="AI23" s="295">
        <v>0</v>
      </c>
      <c r="AJ23" s="295">
        <v>0</v>
      </c>
      <c r="AK23" s="156">
        <v>0</v>
      </c>
      <c r="AL23" s="156">
        <v>0</v>
      </c>
      <c r="AM23" s="294">
        <v>0</v>
      </c>
      <c r="AN23" s="156">
        <v>0</v>
      </c>
      <c r="AO23" s="294">
        <v>0</v>
      </c>
      <c r="AP23" s="279">
        <v>0</v>
      </c>
      <c r="AQ23" s="307">
        <v>0</v>
      </c>
      <c r="AR23" s="302">
        <v>0</v>
      </c>
      <c r="AS23" s="316">
        <v>0</v>
      </c>
      <c r="AT23" s="136">
        <v>0</v>
      </c>
      <c r="AU23" s="303">
        <v>0</v>
      </c>
      <c r="AV23" s="156">
        <v>0</v>
      </c>
      <c r="AW23" s="294">
        <v>0</v>
      </c>
      <c r="AX23" s="156">
        <v>0</v>
      </c>
      <c r="AY23" s="294">
        <v>0</v>
      </c>
      <c r="AZ23" s="156">
        <v>0</v>
      </c>
      <c r="BA23" s="294">
        <v>0</v>
      </c>
      <c r="BB23" s="279">
        <v>0</v>
      </c>
      <c r="BC23" s="279">
        <v>0</v>
      </c>
      <c r="BD23" s="279">
        <v>0</v>
      </c>
      <c r="BE23" s="307">
        <v>0</v>
      </c>
      <c r="BF23" s="302">
        <v>0</v>
      </c>
      <c r="BG23" s="316">
        <v>0</v>
      </c>
    </row>
    <row r="24" spans="1:60 16299:16299" x14ac:dyDescent="0.25">
      <c r="A24" s="67" t="s">
        <v>77</v>
      </c>
      <c r="B24" s="76"/>
      <c r="C24" s="8"/>
      <c r="D24" s="297">
        <v>0</v>
      </c>
      <c r="E24" s="304">
        <v>0</v>
      </c>
      <c r="F24" s="156">
        <v>7</v>
      </c>
      <c r="G24" s="156">
        <v>0</v>
      </c>
      <c r="H24" s="279">
        <v>7</v>
      </c>
      <c r="I24" s="279">
        <v>0</v>
      </c>
      <c r="J24" s="279">
        <v>7</v>
      </c>
      <c r="K24" s="279">
        <v>0</v>
      </c>
      <c r="L24" s="279">
        <v>7</v>
      </c>
      <c r="M24" s="279">
        <v>0</v>
      </c>
      <c r="N24" s="279">
        <v>7</v>
      </c>
      <c r="O24" s="279">
        <v>0</v>
      </c>
      <c r="P24" s="306">
        <v>0</v>
      </c>
      <c r="Q24" s="306">
        <v>0</v>
      </c>
      <c r="R24" s="297">
        <v>0</v>
      </c>
      <c r="S24" s="297">
        <v>0</v>
      </c>
      <c r="T24" s="156">
        <v>7</v>
      </c>
      <c r="U24" s="156">
        <v>0</v>
      </c>
      <c r="V24" s="279">
        <v>7</v>
      </c>
      <c r="W24" s="279">
        <v>0</v>
      </c>
      <c r="X24" s="279">
        <v>7</v>
      </c>
      <c r="Y24" s="279">
        <v>0</v>
      </c>
      <c r="Z24" s="279">
        <v>7</v>
      </c>
      <c r="AA24" s="279">
        <v>0</v>
      </c>
      <c r="AB24" s="279">
        <v>7</v>
      </c>
      <c r="AC24" s="279">
        <v>0</v>
      </c>
      <c r="AD24" s="302">
        <v>0</v>
      </c>
      <c r="AE24" s="316">
        <v>0</v>
      </c>
      <c r="AF24" s="317">
        <v>0</v>
      </c>
      <c r="AG24" s="317">
        <v>0</v>
      </c>
      <c r="AH24" s="156">
        <v>7</v>
      </c>
      <c r="AI24" s="295">
        <v>0</v>
      </c>
      <c r="AJ24" s="295">
        <v>7</v>
      </c>
      <c r="AK24" s="156">
        <v>0</v>
      </c>
      <c r="AL24" s="156">
        <v>6</v>
      </c>
      <c r="AM24" s="294">
        <v>1</v>
      </c>
      <c r="AN24" s="156">
        <v>6</v>
      </c>
      <c r="AO24" s="294">
        <v>1</v>
      </c>
      <c r="AP24" s="279">
        <v>7</v>
      </c>
      <c r="AQ24" s="307">
        <v>0</v>
      </c>
      <c r="AR24" s="302">
        <v>0</v>
      </c>
      <c r="AS24" s="316">
        <v>0</v>
      </c>
      <c r="AT24" s="136">
        <v>0</v>
      </c>
      <c r="AU24" s="303">
        <v>0</v>
      </c>
      <c r="AV24" s="156">
        <v>5</v>
      </c>
      <c r="AW24" s="294">
        <v>2</v>
      </c>
      <c r="AX24" s="156">
        <v>5</v>
      </c>
      <c r="AY24" s="294">
        <v>2</v>
      </c>
      <c r="AZ24" s="156">
        <v>5</v>
      </c>
      <c r="BA24" s="294">
        <v>2</v>
      </c>
      <c r="BB24" s="279">
        <v>5</v>
      </c>
      <c r="BC24" s="279">
        <v>2</v>
      </c>
      <c r="BD24" s="279">
        <v>5</v>
      </c>
      <c r="BE24" s="307">
        <v>2</v>
      </c>
      <c r="BF24" s="302">
        <v>0</v>
      </c>
      <c r="BG24" s="316">
        <v>0</v>
      </c>
    </row>
    <row r="25" spans="1:60 16299:16299" ht="15.75" thickBot="1" x14ac:dyDescent="0.3">
      <c r="C25" s="8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4"/>
      <c r="AZ25" s="124"/>
      <c r="BA25" s="124"/>
      <c r="BB25" s="124"/>
      <c r="BC25" s="124"/>
      <c r="BD25" s="124"/>
      <c r="BE25" s="124"/>
      <c r="BF25" s="124"/>
      <c r="BG25" s="124"/>
    </row>
    <row r="26" spans="1:60 16299:16299" ht="15.75" thickBot="1" x14ac:dyDescent="0.3">
      <c r="C26" s="8"/>
      <c r="D26" s="63">
        <f t="shared" ref="D26:AE26" si="0">SUM(D3:D24)</f>
        <v>108</v>
      </c>
      <c r="E26" s="63">
        <f t="shared" si="0"/>
        <v>3</v>
      </c>
      <c r="F26" s="137">
        <f t="shared" si="0"/>
        <v>207</v>
      </c>
      <c r="G26" s="137">
        <f t="shared" si="0"/>
        <v>16</v>
      </c>
      <c r="H26" s="137">
        <f t="shared" si="0"/>
        <v>220</v>
      </c>
      <c r="I26" s="137">
        <f t="shared" si="0"/>
        <v>3</v>
      </c>
      <c r="J26" s="137">
        <f t="shared" si="0"/>
        <v>210</v>
      </c>
      <c r="K26" s="137">
        <f t="shared" si="0"/>
        <v>7</v>
      </c>
      <c r="L26" s="137">
        <f t="shared" si="0"/>
        <v>219</v>
      </c>
      <c r="M26" s="137">
        <f t="shared" si="0"/>
        <v>4</v>
      </c>
      <c r="N26" s="137">
        <f t="shared" ref="N26:Q26" si="1">SUM(N3:N24)</f>
        <v>218</v>
      </c>
      <c r="O26" s="137">
        <f t="shared" si="1"/>
        <v>5</v>
      </c>
      <c r="P26" s="173">
        <f t="shared" si="1"/>
        <v>144</v>
      </c>
      <c r="Q26" s="173">
        <f t="shared" si="1"/>
        <v>3</v>
      </c>
      <c r="R26" s="63">
        <f t="shared" ref="R26:S26" si="2">SUM(R3:R24)</f>
        <v>108</v>
      </c>
      <c r="S26" s="63">
        <f t="shared" si="2"/>
        <v>3</v>
      </c>
      <c r="T26" s="137">
        <f t="shared" si="0"/>
        <v>220</v>
      </c>
      <c r="U26" s="137">
        <f t="shared" si="0"/>
        <v>3</v>
      </c>
      <c r="V26" s="137">
        <f t="shared" si="0"/>
        <v>220</v>
      </c>
      <c r="W26" s="137">
        <f t="shared" si="0"/>
        <v>3</v>
      </c>
      <c r="X26" s="137">
        <f t="shared" si="0"/>
        <v>220</v>
      </c>
      <c r="Y26" s="137">
        <f t="shared" si="0"/>
        <v>3</v>
      </c>
      <c r="Z26" s="137">
        <f t="shared" si="0"/>
        <v>220</v>
      </c>
      <c r="AA26" s="137">
        <f t="shared" si="0"/>
        <v>3</v>
      </c>
      <c r="AB26" s="137">
        <f t="shared" si="0"/>
        <v>218</v>
      </c>
      <c r="AC26" s="137">
        <f t="shared" si="0"/>
        <v>5</v>
      </c>
      <c r="AD26" s="173">
        <f t="shared" si="0"/>
        <v>144</v>
      </c>
      <c r="AE26" s="173">
        <f t="shared" si="0"/>
        <v>3</v>
      </c>
      <c r="AF26" s="63">
        <f t="shared" ref="AF26:AK26" si="3">SUM(AF3:AF24)</f>
        <v>98</v>
      </c>
      <c r="AG26" s="63">
        <f t="shared" si="3"/>
        <v>13</v>
      </c>
      <c r="AH26" s="137">
        <f t="shared" si="3"/>
        <v>220</v>
      </c>
      <c r="AI26" s="137">
        <f t="shared" si="3"/>
        <v>3</v>
      </c>
      <c r="AJ26" s="137">
        <f t="shared" si="3"/>
        <v>220</v>
      </c>
      <c r="AK26" s="137">
        <f t="shared" si="3"/>
        <v>3</v>
      </c>
      <c r="AL26" s="137">
        <f t="shared" ref="AL26:BC26" si="4">SUM(AL3:AL24)</f>
        <v>164</v>
      </c>
      <c r="AM26" s="137">
        <f t="shared" si="4"/>
        <v>58</v>
      </c>
      <c r="AN26" s="137">
        <f t="shared" si="4"/>
        <v>196</v>
      </c>
      <c r="AO26" s="137">
        <f t="shared" si="4"/>
        <v>27</v>
      </c>
      <c r="AP26" s="137">
        <f t="shared" ref="AP26:AS26" si="5">SUM(AP3:AP24)</f>
        <v>217</v>
      </c>
      <c r="AQ26" s="137">
        <f t="shared" si="5"/>
        <v>3</v>
      </c>
      <c r="AR26" s="173">
        <f t="shared" si="5"/>
        <v>144</v>
      </c>
      <c r="AS26" s="173">
        <f t="shared" si="5"/>
        <v>3</v>
      </c>
      <c r="AT26" s="63">
        <f t="shared" ref="AT26:AW26" si="6">SUM(AT3:AT24)</f>
        <v>90</v>
      </c>
      <c r="AU26" s="63">
        <f t="shared" si="6"/>
        <v>21</v>
      </c>
      <c r="AV26" s="137">
        <f t="shared" si="6"/>
        <v>221</v>
      </c>
      <c r="AW26" s="137">
        <f t="shared" si="6"/>
        <v>8</v>
      </c>
      <c r="AX26" s="137">
        <f t="shared" si="4"/>
        <v>221</v>
      </c>
      <c r="AY26" s="137">
        <f t="shared" si="4"/>
        <v>8</v>
      </c>
      <c r="AZ26" s="137">
        <f t="shared" ref="AZ26:BA26" si="7">SUM(AZ3:AZ24)</f>
        <v>221</v>
      </c>
      <c r="BA26" s="137">
        <f t="shared" si="7"/>
        <v>8</v>
      </c>
      <c r="BB26" s="137">
        <f t="shared" si="4"/>
        <v>221</v>
      </c>
      <c r="BC26" s="137">
        <f t="shared" si="4"/>
        <v>8</v>
      </c>
      <c r="BD26" s="137">
        <v>221</v>
      </c>
      <c r="BE26" s="137">
        <v>8</v>
      </c>
      <c r="BF26" s="173">
        <f t="shared" ref="BF26:BG26" si="8">SUM(BF3:BF24)</f>
        <v>150</v>
      </c>
      <c r="BG26" s="173">
        <f t="shared" si="8"/>
        <v>3</v>
      </c>
      <c r="XBW26" s="64"/>
    </row>
    <row r="27" spans="1:60 16299:16299" x14ac:dyDescent="0.25">
      <c r="C27" s="8"/>
      <c r="L27" s="124"/>
      <c r="Z27" s="124"/>
      <c r="AA27" s="124"/>
      <c r="AB27" s="124"/>
      <c r="AC27" s="124"/>
      <c r="AG27" s="124"/>
      <c r="AH27" s="124"/>
      <c r="AI27" s="124"/>
      <c r="AR27" s="54"/>
      <c r="AS27" s="54"/>
      <c r="AT27" s="54"/>
      <c r="AU27" s="54"/>
      <c r="AV27" s="54"/>
      <c r="AW27" s="54"/>
      <c r="AX27" s="54"/>
      <c r="AY27" s="54"/>
      <c r="AZ27" s="54"/>
    </row>
    <row r="28" spans="1:60 16299:16299" ht="18" x14ac:dyDescent="0.25">
      <c r="C28" s="8"/>
      <c r="L28" s="124"/>
      <c r="Z28" s="55"/>
      <c r="AR28" s="54"/>
      <c r="AS28" s="54"/>
      <c r="AT28" s="54"/>
      <c r="AU28" s="54"/>
      <c r="AV28" s="54"/>
      <c r="AW28" s="54"/>
      <c r="AX28" s="54"/>
      <c r="AY28" s="54"/>
      <c r="AZ28" s="54"/>
    </row>
    <row r="29" spans="1:60 16299:16299" x14ac:dyDescent="0.25">
      <c r="C29" s="8"/>
      <c r="F29" s="124"/>
      <c r="G29" s="124"/>
      <c r="H29" s="124"/>
      <c r="I29" s="124"/>
      <c r="J29" s="8"/>
      <c r="K29" s="8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Z29" s="124"/>
      <c r="BA29" s="124"/>
      <c r="BB29" s="124"/>
      <c r="BC29" s="124"/>
      <c r="BD29" s="124"/>
      <c r="BE29" s="124"/>
      <c r="BF29" s="124"/>
      <c r="BG29" s="124"/>
    </row>
    <row r="30" spans="1:60 16299:16299" x14ac:dyDescent="0.25">
      <c r="C30" s="8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Z30" s="124"/>
      <c r="BA30" s="124"/>
      <c r="BB30" s="124"/>
      <c r="BC30" s="124"/>
      <c r="BD30" s="124"/>
      <c r="BE30" s="124"/>
      <c r="BF30" s="124"/>
      <c r="BG30" s="124"/>
    </row>
    <row r="31" spans="1:60 16299:16299" x14ac:dyDescent="0.25">
      <c r="C31" s="8"/>
      <c r="L31" s="124"/>
      <c r="AZ31" s="124"/>
      <c r="BA31" s="124"/>
      <c r="BB31" s="124"/>
      <c r="BC31" s="124"/>
      <c r="BD31" s="124"/>
      <c r="BE31" s="124"/>
      <c r="BF31" s="124"/>
      <c r="BG31" s="124"/>
    </row>
    <row r="32" spans="1:60 16299:16299" x14ac:dyDescent="0.25">
      <c r="A32" s="56" t="s">
        <v>78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</row>
    <row r="33" spans="1:59" x14ac:dyDescent="0.25">
      <c r="A33" t="s">
        <v>79</v>
      </c>
      <c r="C33" s="8"/>
      <c r="D33" s="57">
        <f t="shared" ref="D33:AI33" si="9">D5+D12+D21</f>
        <v>51</v>
      </c>
      <c r="E33" s="57">
        <f t="shared" si="9"/>
        <v>3</v>
      </c>
      <c r="F33" s="57">
        <f t="shared" si="9"/>
        <v>71</v>
      </c>
      <c r="G33" s="57">
        <f t="shared" si="9"/>
        <v>8</v>
      </c>
      <c r="H33" s="57">
        <f t="shared" si="9"/>
        <v>78</v>
      </c>
      <c r="I33" s="57">
        <f t="shared" si="9"/>
        <v>1</v>
      </c>
      <c r="J33" s="57">
        <f t="shared" si="9"/>
        <v>76</v>
      </c>
      <c r="K33" s="57">
        <f t="shared" si="9"/>
        <v>3</v>
      </c>
      <c r="L33" s="150">
        <f t="shared" si="9"/>
        <v>77</v>
      </c>
      <c r="M33" s="57">
        <f t="shared" si="9"/>
        <v>2</v>
      </c>
      <c r="N33" s="271">
        <f t="shared" si="9"/>
        <v>77</v>
      </c>
      <c r="O33" s="271">
        <f t="shared" si="9"/>
        <v>2</v>
      </c>
      <c r="P33" s="272">
        <f t="shared" si="9"/>
        <v>69</v>
      </c>
      <c r="Q33" s="272">
        <f t="shared" si="9"/>
        <v>3</v>
      </c>
      <c r="R33" s="252">
        <f t="shared" si="9"/>
        <v>51</v>
      </c>
      <c r="S33" s="252">
        <f t="shared" si="9"/>
        <v>3</v>
      </c>
      <c r="T33" s="57">
        <f t="shared" si="9"/>
        <v>78</v>
      </c>
      <c r="U33" s="57">
        <f t="shared" si="9"/>
        <v>1</v>
      </c>
      <c r="V33" s="260">
        <f t="shared" si="9"/>
        <v>78</v>
      </c>
      <c r="W33" s="260">
        <f t="shared" si="9"/>
        <v>1</v>
      </c>
      <c r="X33" s="261">
        <f t="shared" si="9"/>
        <v>78</v>
      </c>
      <c r="Y33" s="261">
        <f t="shared" si="9"/>
        <v>1</v>
      </c>
      <c r="Z33" s="262">
        <f t="shared" si="9"/>
        <v>79</v>
      </c>
      <c r="AA33" s="262">
        <f t="shared" si="9"/>
        <v>1</v>
      </c>
      <c r="AB33" s="263">
        <f t="shared" si="9"/>
        <v>77</v>
      </c>
      <c r="AC33" s="263">
        <f t="shared" si="9"/>
        <v>2</v>
      </c>
      <c r="AD33" s="57">
        <f t="shared" si="9"/>
        <v>69</v>
      </c>
      <c r="AE33" s="57">
        <f t="shared" si="9"/>
        <v>3</v>
      </c>
      <c r="AF33" s="57">
        <f t="shared" si="9"/>
        <v>46</v>
      </c>
      <c r="AG33" s="242">
        <f t="shared" si="9"/>
        <v>8</v>
      </c>
      <c r="AH33" s="57">
        <f t="shared" si="9"/>
        <v>78</v>
      </c>
      <c r="AI33" s="57">
        <f t="shared" si="9"/>
        <v>1</v>
      </c>
      <c r="AJ33" s="256">
        <f t="shared" ref="AJ33:BG33" si="10">AJ5+AJ12+AJ21</f>
        <v>79</v>
      </c>
      <c r="AK33" s="256">
        <f t="shared" si="10"/>
        <v>1</v>
      </c>
      <c r="AL33" s="274">
        <f t="shared" si="10"/>
        <v>50</v>
      </c>
      <c r="AM33" s="274">
        <f t="shared" si="10"/>
        <v>29</v>
      </c>
      <c r="AN33" s="265">
        <f t="shared" si="10"/>
        <v>66</v>
      </c>
      <c r="AO33" s="265">
        <f t="shared" si="10"/>
        <v>13</v>
      </c>
      <c r="AP33" s="274">
        <f t="shared" si="10"/>
        <v>78</v>
      </c>
      <c r="AQ33" s="274">
        <f t="shared" si="10"/>
        <v>1</v>
      </c>
      <c r="AR33" s="266">
        <f t="shared" si="10"/>
        <v>69</v>
      </c>
      <c r="AS33" s="266">
        <f t="shared" si="10"/>
        <v>3</v>
      </c>
      <c r="AT33" s="267">
        <f t="shared" si="10"/>
        <v>42</v>
      </c>
      <c r="AU33" s="267">
        <f t="shared" si="10"/>
        <v>12</v>
      </c>
      <c r="AV33" s="268">
        <f t="shared" si="10"/>
        <v>76</v>
      </c>
      <c r="AW33" s="268">
        <f t="shared" si="10"/>
        <v>3</v>
      </c>
      <c r="AX33" s="269">
        <f t="shared" si="10"/>
        <v>76</v>
      </c>
      <c r="AY33" s="269">
        <f t="shared" si="10"/>
        <v>3</v>
      </c>
      <c r="AZ33" s="57">
        <f t="shared" si="10"/>
        <v>76</v>
      </c>
      <c r="BA33" s="244">
        <f t="shared" si="10"/>
        <v>3</v>
      </c>
      <c r="BB33" s="115">
        <f t="shared" si="10"/>
        <v>76</v>
      </c>
      <c r="BC33" s="245">
        <f t="shared" si="10"/>
        <v>3</v>
      </c>
      <c r="BD33" s="257">
        <f t="shared" si="10"/>
        <v>76</v>
      </c>
      <c r="BE33" s="257">
        <f t="shared" si="10"/>
        <v>3</v>
      </c>
      <c r="BF33" s="174">
        <f t="shared" si="10"/>
        <v>70</v>
      </c>
      <c r="BG33" s="174">
        <f t="shared" si="10"/>
        <v>2</v>
      </c>
    </row>
    <row r="34" spans="1:59" x14ac:dyDescent="0.25">
      <c r="A34" t="s">
        <v>80</v>
      </c>
      <c r="C34" s="8"/>
      <c r="D34" s="57">
        <f t="shared" ref="D34:AI34" si="11">D8+D15+D24</f>
        <v>57</v>
      </c>
      <c r="E34" s="57">
        <f t="shared" si="11"/>
        <v>0</v>
      </c>
      <c r="F34" s="57">
        <f t="shared" si="11"/>
        <v>70</v>
      </c>
      <c r="G34" s="57">
        <f t="shared" si="11"/>
        <v>8</v>
      </c>
      <c r="H34" s="57">
        <f t="shared" si="11"/>
        <v>76</v>
      </c>
      <c r="I34" s="57">
        <f t="shared" si="11"/>
        <v>2</v>
      </c>
      <c r="J34" s="57">
        <f t="shared" si="11"/>
        <v>75</v>
      </c>
      <c r="K34" s="57">
        <f t="shared" si="11"/>
        <v>3</v>
      </c>
      <c r="L34" s="150">
        <f t="shared" si="11"/>
        <v>76</v>
      </c>
      <c r="M34" s="57">
        <f t="shared" si="11"/>
        <v>2</v>
      </c>
      <c r="N34" s="271">
        <f t="shared" si="11"/>
        <v>75</v>
      </c>
      <c r="O34" s="271">
        <f t="shared" si="11"/>
        <v>3</v>
      </c>
      <c r="P34" s="272">
        <f t="shared" si="11"/>
        <v>75</v>
      </c>
      <c r="Q34" s="272">
        <f t="shared" si="11"/>
        <v>0</v>
      </c>
      <c r="R34" s="252">
        <f t="shared" si="11"/>
        <v>57</v>
      </c>
      <c r="S34" s="252">
        <f t="shared" si="11"/>
        <v>0</v>
      </c>
      <c r="T34" s="57">
        <f t="shared" si="11"/>
        <v>76</v>
      </c>
      <c r="U34" s="57">
        <f t="shared" si="11"/>
        <v>2</v>
      </c>
      <c r="V34" s="260">
        <f t="shared" si="11"/>
        <v>76</v>
      </c>
      <c r="W34" s="260">
        <f t="shared" si="11"/>
        <v>2</v>
      </c>
      <c r="X34" s="261">
        <f t="shared" si="11"/>
        <v>76</v>
      </c>
      <c r="Y34" s="261">
        <f t="shared" si="11"/>
        <v>2</v>
      </c>
      <c r="Z34" s="262">
        <f t="shared" si="11"/>
        <v>76</v>
      </c>
      <c r="AA34" s="262">
        <f t="shared" si="11"/>
        <v>2</v>
      </c>
      <c r="AB34" s="263">
        <f t="shared" si="11"/>
        <v>75</v>
      </c>
      <c r="AC34" s="263">
        <f t="shared" si="11"/>
        <v>3</v>
      </c>
      <c r="AD34" s="57">
        <f t="shared" si="11"/>
        <v>75</v>
      </c>
      <c r="AE34" s="241">
        <f t="shared" si="11"/>
        <v>0</v>
      </c>
      <c r="AF34" s="242">
        <f t="shared" si="11"/>
        <v>52</v>
      </c>
      <c r="AG34" s="242">
        <f t="shared" si="11"/>
        <v>5</v>
      </c>
      <c r="AH34" s="57">
        <f t="shared" si="11"/>
        <v>76</v>
      </c>
      <c r="AI34" s="57">
        <f t="shared" si="11"/>
        <v>2</v>
      </c>
      <c r="AJ34" s="256">
        <f t="shared" ref="AJ34:BG34" si="12">AJ8+AJ15+AJ24</f>
        <v>76</v>
      </c>
      <c r="AK34" s="256">
        <f t="shared" si="12"/>
        <v>2</v>
      </c>
      <c r="AL34" s="274">
        <f t="shared" si="12"/>
        <v>49</v>
      </c>
      <c r="AM34" s="274">
        <f t="shared" si="12"/>
        <v>29</v>
      </c>
      <c r="AN34" s="265">
        <f t="shared" si="12"/>
        <v>64</v>
      </c>
      <c r="AO34" s="265">
        <f t="shared" si="12"/>
        <v>14</v>
      </c>
      <c r="AP34" s="274">
        <f t="shared" si="12"/>
        <v>76</v>
      </c>
      <c r="AQ34" s="274">
        <f t="shared" si="12"/>
        <v>2</v>
      </c>
      <c r="AR34" s="266">
        <f t="shared" si="12"/>
        <v>75</v>
      </c>
      <c r="AS34" s="266">
        <f t="shared" si="12"/>
        <v>0</v>
      </c>
      <c r="AT34" s="267">
        <f t="shared" si="12"/>
        <v>48</v>
      </c>
      <c r="AU34" s="267">
        <f t="shared" si="12"/>
        <v>9</v>
      </c>
      <c r="AV34" s="268">
        <f t="shared" si="12"/>
        <v>74</v>
      </c>
      <c r="AW34" s="268">
        <f t="shared" si="12"/>
        <v>4</v>
      </c>
      <c r="AX34" s="269">
        <f t="shared" si="12"/>
        <v>74</v>
      </c>
      <c r="AY34" s="269">
        <f t="shared" si="12"/>
        <v>4</v>
      </c>
      <c r="AZ34" s="244">
        <f t="shared" si="12"/>
        <v>74</v>
      </c>
      <c r="BA34" s="244">
        <f t="shared" si="12"/>
        <v>4</v>
      </c>
      <c r="BB34" s="245">
        <f t="shared" si="12"/>
        <v>74</v>
      </c>
      <c r="BC34" s="245">
        <f t="shared" si="12"/>
        <v>4</v>
      </c>
      <c r="BD34" s="257">
        <f t="shared" si="12"/>
        <v>74</v>
      </c>
      <c r="BE34" s="257">
        <f t="shared" si="12"/>
        <v>4</v>
      </c>
      <c r="BF34" s="174">
        <f t="shared" si="12"/>
        <v>75</v>
      </c>
      <c r="BG34" s="174">
        <f t="shared" si="12"/>
        <v>0</v>
      </c>
    </row>
    <row r="35" spans="1:59" x14ac:dyDescent="0.25">
      <c r="A35" t="s">
        <v>81</v>
      </c>
      <c r="C35" s="8"/>
      <c r="D35" s="57">
        <f t="shared" ref="D35:AI35" si="13">D3+D10+D19</f>
        <v>0</v>
      </c>
      <c r="E35" s="57">
        <f t="shared" si="13"/>
        <v>0</v>
      </c>
      <c r="F35" s="57">
        <f t="shared" si="13"/>
        <v>33</v>
      </c>
      <c r="G35" s="57">
        <f t="shared" si="13"/>
        <v>0</v>
      </c>
      <c r="H35" s="57">
        <f t="shared" si="13"/>
        <v>33</v>
      </c>
      <c r="I35" s="57">
        <f t="shared" si="13"/>
        <v>0</v>
      </c>
      <c r="J35" s="57">
        <f t="shared" si="13"/>
        <v>30</v>
      </c>
      <c r="K35" s="57">
        <f t="shared" si="13"/>
        <v>0</v>
      </c>
      <c r="L35" s="150">
        <f t="shared" si="13"/>
        <v>33</v>
      </c>
      <c r="M35" s="57">
        <f t="shared" si="13"/>
        <v>0</v>
      </c>
      <c r="N35" s="271">
        <f t="shared" si="13"/>
        <v>33</v>
      </c>
      <c r="O35" s="271">
        <f t="shared" si="13"/>
        <v>0</v>
      </c>
      <c r="P35" s="272">
        <f t="shared" si="13"/>
        <v>0</v>
      </c>
      <c r="Q35" s="272">
        <f t="shared" si="13"/>
        <v>0</v>
      </c>
      <c r="R35" s="252">
        <f t="shared" si="13"/>
        <v>0</v>
      </c>
      <c r="S35" s="252">
        <f t="shared" si="13"/>
        <v>0</v>
      </c>
      <c r="T35" s="57">
        <f t="shared" si="13"/>
        <v>33</v>
      </c>
      <c r="U35" s="57">
        <f t="shared" si="13"/>
        <v>0</v>
      </c>
      <c r="V35" s="260">
        <f t="shared" si="13"/>
        <v>33</v>
      </c>
      <c r="W35" s="260">
        <f t="shared" si="13"/>
        <v>0</v>
      </c>
      <c r="X35" s="261">
        <f t="shared" si="13"/>
        <v>33</v>
      </c>
      <c r="Y35" s="261">
        <f t="shared" si="13"/>
        <v>0</v>
      </c>
      <c r="Z35" s="262">
        <f t="shared" si="13"/>
        <v>32</v>
      </c>
      <c r="AA35" s="262">
        <f t="shared" si="13"/>
        <v>0</v>
      </c>
      <c r="AB35" s="263">
        <f t="shared" si="13"/>
        <v>33</v>
      </c>
      <c r="AC35" s="263">
        <f t="shared" si="13"/>
        <v>0</v>
      </c>
      <c r="AD35" s="57">
        <f t="shared" si="13"/>
        <v>0</v>
      </c>
      <c r="AE35" s="241">
        <f t="shared" si="13"/>
        <v>0</v>
      </c>
      <c r="AF35" s="57">
        <f t="shared" si="13"/>
        <v>0</v>
      </c>
      <c r="AG35" s="242">
        <f t="shared" si="13"/>
        <v>0</v>
      </c>
      <c r="AH35" s="57">
        <f t="shared" si="13"/>
        <v>33</v>
      </c>
      <c r="AI35" s="57">
        <f t="shared" si="13"/>
        <v>0</v>
      </c>
      <c r="AJ35" s="256">
        <f t="shared" ref="AJ35:BG35" si="14">AJ3+AJ10+AJ19</f>
        <v>32</v>
      </c>
      <c r="AK35" s="256">
        <f t="shared" si="14"/>
        <v>0</v>
      </c>
      <c r="AL35" s="274">
        <f t="shared" si="14"/>
        <v>32</v>
      </c>
      <c r="AM35" s="274">
        <f t="shared" si="14"/>
        <v>0</v>
      </c>
      <c r="AN35" s="265">
        <f t="shared" si="14"/>
        <v>33</v>
      </c>
      <c r="AO35" s="265">
        <f t="shared" si="14"/>
        <v>0</v>
      </c>
      <c r="AP35" s="274">
        <f t="shared" si="14"/>
        <v>31</v>
      </c>
      <c r="AQ35" s="274">
        <f t="shared" si="14"/>
        <v>0</v>
      </c>
      <c r="AR35" s="266">
        <f t="shared" si="14"/>
        <v>0</v>
      </c>
      <c r="AS35" s="266">
        <f t="shared" si="14"/>
        <v>0</v>
      </c>
      <c r="AT35" s="267">
        <f t="shared" si="14"/>
        <v>0</v>
      </c>
      <c r="AU35" s="267">
        <f t="shared" si="14"/>
        <v>0</v>
      </c>
      <c r="AV35" s="268">
        <f t="shared" si="14"/>
        <v>33</v>
      </c>
      <c r="AW35" s="268">
        <f t="shared" si="14"/>
        <v>0</v>
      </c>
      <c r="AX35" s="269">
        <f t="shared" si="14"/>
        <v>33</v>
      </c>
      <c r="AY35" s="269">
        <f t="shared" si="14"/>
        <v>0</v>
      </c>
      <c r="AZ35" s="57">
        <f t="shared" si="14"/>
        <v>33</v>
      </c>
      <c r="BA35" s="244">
        <f t="shared" si="14"/>
        <v>0</v>
      </c>
      <c r="BB35" s="245">
        <f t="shared" si="14"/>
        <v>33</v>
      </c>
      <c r="BC35" s="245">
        <f t="shared" si="14"/>
        <v>0</v>
      </c>
      <c r="BD35" s="257">
        <f t="shared" si="14"/>
        <v>33</v>
      </c>
      <c r="BE35" s="257">
        <f t="shared" si="14"/>
        <v>0</v>
      </c>
      <c r="BF35" s="246">
        <f t="shared" si="14"/>
        <v>0</v>
      </c>
      <c r="BG35" s="174">
        <f t="shared" si="14"/>
        <v>0</v>
      </c>
    </row>
    <row r="36" spans="1:59" x14ac:dyDescent="0.25">
      <c r="A36" t="s">
        <v>82</v>
      </c>
      <c r="C36" s="8"/>
      <c r="D36" s="57">
        <f t="shared" ref="D36:AI36" si="15">D6+D13+D22</f>
        <v>0</v>
      </c>
      <c r="E36" s="57">
        <f t="shared" si="15"/>
        <v>0</v>
      </c>
      <c r="F36" s="57">
        <f t="shared" si="15"/>
        <v>32</v>
      </c>
      <c r="G36" s="57">
        <f t="shared" si="15"/>
        <v>0</v>
      </c>
      <c r="H36" s="57">
        <f t="shared" si="15"/>
        <v>32</v>
      </c>
      <c r="I36" s="57">
        <f t="shared" si="15"/>
        <v>0</v>
      </c>
      <c r="J36" s="57">
        <f t="shared" si="15"/>
        <v>28</v>
      </c>
      <c r="K36" s="57">
        <f t="shared" si="15"/>
        <v>1</v>
      </c>
      <c r="L36" s="150">
        <f t="shared" si="15"/>
        <v>32</v>
      </c>
      <c r="M36" s="57">
        <f t="shared" si="15"/>
        <v>0</v>
      </c>
      <c r="N36" s="271">
        <f t="shared" si="15"/>
        <v>32</v>
      </c>
      <c r="O36" s="271">
        <f t="shared" si="15"/>
        <v>0</v>
      </c>
      <c r="P36" s="272">
        <f t="shared" si="15"/>
        <v>0</v>
      </c>
      <c r="Q36" s="272">
        <f t="shared" si="15"/>
        <v>0</v>
      </c>
      <c r="R36" s="252">
        <f t="shared" si="15"/>
        <v>0</v>
      </c>
      <c r="S36" s="252">
        <f t="shared" si="15"/>
        <v>0</v>
      </c>
      <c r="T36" s="57">
        <f t="shared" si="15"/>
        <v>32</v>
      </c>
      <c r="U36" s="57">
        <f t="shared" si="15"/>
        <v>0</v>
      </c>
      <c r="V36" s="260">
        <f t="shared" si="15"/>
        <v>32</v>
      </c>
      <c r="W36" s="260">
        <f t="shared" si="15"/>
        <v>0</v>
      </c>
      <c r="X36" s="261">
        <f t="shared" si="15"/>
        <v>32</v>
      </c>
      <c r="Y36" s="261">
        <f t="shared" si="15"/>
        <v>0</v>
      </c>
      <c r="Z36" s="262">
        <f t="shared" si="15"/>
        <v>31</v>
      </c>
      <c r="AA36" s="262">
        <f t="shared" si="15"/>
        <v>0</v>
      </c>
      <c r="AB36" s="263">
        <f t="shared" si="15"/>
        <v>32</v>
      </c>
      <c r="AC36" s="263">
        <f t="shared" si="15"/>
        <v>0</v>
      </c>
      <c r="AD36" s="57">
        <f t="shared" si="15"/>
        <v>0</v>
      </c>
      <c r="AE36" s="241">
        <f t="shared" si="15"/>
        <v>0</v>
      </c>
      <c r="AF36" s="57">
        <f t="shared" si="15"/>
        <v>0</v>
      </c>
      <c r="AG36" s="242">
        <f t="shared" si="15"/>
        <v>0</v>
      </c>
      <c r="AH36" s="57">
        <f t="shared" si="15"/>
        <v>32</v>
      </c>
      <c r="AI36" s="57">
        <f t="shared" si="15"/>
        <v>0</v>
      </c>
      <c r="AJ36" s="256">
        <f t="shared" ref="AJ36:BG36" si="16">AJ6+AJ13+AJ22</f>
        <v>32</v>
      </c>
      <c r="AK36" s="256">
        <f t="shared" si="16"/>
        <v>0</v>
      </c>
      <c r="AL36" s="274">
        <f t="shared" si="16"/>
        <v>32</v>
      </c>
      <c r="AM36" s="274">
        <f t="shared" si="16"/>
        <v>0</v>
      </c>
      <c r="AN36" s="265">
        <f t="shared" si="16"/>
        <v>32</v>
      </c>
      <c r="AO36" s="265">
        <f t="shared" si="16"/>
        <v>0</v>
      </c>
      <c r="AP36" s="274">
        <f t="shared" si="16"/>
        <v>31</v>
      </c>
      <c r="AQ36" s="274">
        <f t="shared" si="16"/>
        <v>0</v>
      </c>
      <c r="AR36" s="266">
        <f t="shared" si="16"/>
        <v>0</v>
      </c>
      <c r="AS36" s="266">
        <f t="shared" si="16"/>
        <v>0</v>
      </c>
      <c r="AT36" s="267">
        <f t="shared" si="16"/>
        <v>0</v>
      </c>
      <c r="AU36" s="267">
        <f t="shared" si="16"/>
        <v>0</v>
      </c>
      <c r="AV36" s="268">
        <f t="shared" si="16"/>
        <v>32</v>
      </c>
      <c r="AW36" s="268">
        <f t="shared" si="16"/>
        <v>0</v>
      </c>
      <c r="AX36" s="269">
        <f t="shared" si="16"/>
        <v>32</v>
      </c>
      <c r="AY36" s="269">
        <f t="shared" si="16"/>
        <v>0</v>
      </c>
      <c r="AZ36" s="57">
        <f t="shared" si="16"/>
        <v>32</v>
      </c>
      <c r="BA36" s="244">
        <f t="shared" si="16"/>
        <v>0</v>
      </c>
      <c r="BB36" s="115">
        <f t="shared" si="16"/>
        <v>32</v>
      </c>
      <c r="BC36" s="245">
        <f t="shared" si="16"/>
        <v>0</v>
      </c>
      <c r="BD36" s="257">
        <f t="shared" si="16"/>
        <v>32</v>
      </c>
      <c r="BE36" s="257">
        <f t="shared" si="16"/>
        <v>0</v>
      </c>
      <c r="BF36" s="174">
        <f t="shared" si="16"/>
        <v>0</v>
      </c>
      <c r="BG36" s="174">
        <f t="shared" si="16"/>
        <v>0</v>
      </c>
    </row>
    <row r="37" spans="1:59" s="124" customFormat="1" x14ac:dyDescent="0.25">
      <c r="A37" s="124" t="s">
        <v>122</v>
      </c>
      <c r="C37" s="8"/>
      <c r="D37" s="154">
        <f t="shared" ref="D37:AI37" si="17">D4+D11+D20</f>
        <v>0</v>
      </c>
      <c r="E37" s="154">
        <f t="shared" si="17"/>
        <v>0</v>
      </c>
      <c r="F37" s="154">
        <f t="shared" si="17"/>
        <v>0</v>
      </c>
      <c r="G37" s="154">
        <f t="shared" si="17"/>
        <v>0</v>
      </c>
      <c r="H37" s="154">
        <f t="shared" si="17"/>
        <v>0</v>
      </c>
      <c r="I37" s="154">
        <f t="shared" si="17"/>
        <v>0</v>
      </c>
      <c r="J37" s="154">
        <f t="shared" si="17"/>
        <v>0</v>
      </c>
      <c r="K37" s="154">
        <f t="shared" si="17"/>
        <v>0</v>
      </c>
      <c r="L37" s="154">
        <f t="shared" si="17"/>
        <v>0</v>
      </c>
      <c r="M37" s="154">
        <f t="shared" si="17"/>
        <v>0</v>
      </c>
      <c r="N37" s="271">
        <f t="shared" si="17"/>
        <v>0</v>
      </c>
      <c r="O37" s="271">
        <f t="shared" si="17"/>
        <v>0</v>
      </c>
      <c r="P37" s="272">
        <f t="shared" si="17"/>
        <v>0</v>
      </c>
      <c r="Q37" s="272">
        <f t="shared" si="17"/>
        <v>0</v>
      </c>
      <c r="R37" s="252">
        <f t="shared" si="17"/>
        <v>0</v>
      </c>
      <c r="S37" s="252">
        <f t="shared" si="17"/>
        <v>0</v>
      </c>
      <c r="T37" s="154">
        <f t="shared" si="17"/>
        <v>0</v>
      </c>
      <c r="U37" s="154">
        <f t="shared" si="17"/>
        <v>0</v>
      </c>
      <c r="V37" s="260">
        <f t="shared" si="17"/>
        <v>0</v>
      </c>
      <c r="W37" s="260">
        <f t="shared" si="17"/>
        <v>0</v>
      </c>
      <c r="X37" s="261">
        <f t="shared" si="17"/>
        <v>0</v>
      </c>
      <c r="Y37" s="261">
        <f t="shared" si="17"/>
        <v>0</v>
      </c>
      <c r="Z37" s="262">
        <f t="shared" si="17"/>
        <v>0</v>
      </c>
      <c r="AA37" s="262">
        <f t="shared" si="17"/>
        <v>0</v>
      </c>
      <c r="AB37" s="263">
        <f t="shared" si="17"/>
        <v>0</v>
      </c>
      <c r="AC37" s="263">
        <f t="shared" si="17"/>
        <v>0</v>
      </c>
      <c r="AD37" s="154">
        <f t="shared" si="17"/>
        <v>0</v>
      </c>
      <c r="AE37" s="241">
        <f t="shared" si="17"/>
        <v>0</v>
      </c>
      <c r="AF37" s="154">
        <f t="shared" si="17"/>
        <v>0</v>
      </c>
      <c r="AG37" s="242">
        <f t="shared" si="17"/>
        <v>0</v>
      </c>
      <c r="AH37" s="154">
        <f t="shared" si="17"/>
        <v>0</v>
      </c>
      <c r="AI37" s="154">
        <f t="shared" si="17"/>
        <v>0</v>
      </c>
      <c r="AJ37" s="256">
        <f t="shared" ref="AJ37:BG37" si="18">AJ4+AJ11+AJ20</f>
        <v>0</v>
      </c>
      <c r="AK37" s="256">
        <f t="shared" si="18"/>
        <v>0</v>
      </c>
      <c r="AL37" s="274">
        <f t="shared" si="18"/>
        <v>0</v>
      </c>
      <c r="AM37" s="274">
        <f t="shared" si="18"/>
        <v>0</v>
      </c>
      <c r="AN37" s="265">
        <f t="shared" si="18"/>
        <v>0</v>
      </c>
      <c r="AO37" s="265">
        <f t="shared" si="18"/>
        <v>0</v>
      </c>
      <c r="AP37" s="274">
        <f t="shared" si="18"/>
        <v>0</v>
      </c>
      <c r="AQ37" s="274">
        <f t="shared" si="18"/>
        <v>0</v>
      </c>
      <c r="AR37" s="266">
        <f t="shared" si="18"/>
        <v>0</v>
      </c>
      <c r="AS37" s="266">
        <f t="shared" si="18"/>
        <v>0</v>
      </c>
      <c r="AT37" s="267">
        <f t="shared" si="18"/>
        <v>0</v>
      </c>
      <c r="AU37" s="267">
        <f t="shared" si="18"/>
        <v>0</v>
      </c>
      <c r="AV37" s="268">
        <f t="shared" si="18"/>
        <v>0</v>
      </c>
      <c r="AW37" s="268">
        <f t="shared" si="18"/>
        <v>0</v>
      </c>
      <c r="AX37" s="269">
        <f t="shared" si="18"/>
        <v>0</v>
      </c>
      <c r="AY37" s="269">
        <f t="shared" si="18"/>
        <v>0</v>
      </c>
      <c r="AZ37" s="154">
        <f t="shared" si="18"/>
        <v>0</v>
      </c>
      <c r="BA37" s="244">
        <f t="shared" si="18"/>
        <v>0</v>
      </c>
      <c r="BB37" s="154">
        <f t="shared" si="18"/>
        <v>0</v>
      </c>
      <c r="BC37" s="245">
        <f t="shared" si="18"/>
        <v>0</v>
      </c>
      <c r="BD37" s="257">
        <f t="shared" si="18"/>
        <v>0</v>
      </c>
      <c r="BE37" s="257">
        <f t="shared" si="18"/>
        <v>0</v>
      </c>
      <c r="BF37" s="174">
        <f t="shared" si="18"/>
        <v>0</v>
      </c>
      <c r="BG37" s="174">
        <f t="shared" si="18"/>
        <v>0</v>
      </c>
    </row>
    <row r="38" spans="1:59" x14ac:dyDescent="0.25">
      <c r="A38" t="s">
        <v>35</v>
      </c>
      <c r="C38" s="8"/>
      <c r="D38" s="57">
        <f t="shared" ref="D38:AI38" si="19">D7+D14+D23</f>
        <v>0</v>
      </c>
      <c r="E38" s="57">
        <f t="shared" si="19"/>
        <v>0</v>
      </c>
      <c r="F38" s="57">
        <f t="shared" si="19"/>
        <v>1</v>
      </c>
      <c r="G38" s="57">
        <f t="shared" si="19"/>
        <v>0</v>
      </c>
      <c r="H38" s="57">
        <f t="shared" si="19"/>
        <v>1</v>
      </c>
      <c r="I38" s="57">
        <f t="shared" si="19"/>
        <v>0</v>
      </c>
      <c r="J38" s="57">
        <f t="shared" si="19"/>
        <v>1</v>
      </c>
      <c r="K38" s="57">
        <f t="shared" si="19"/>
        <v>0</v>
      </c>
      <c r="L38" s="150">
        <f t="shared" si="19"/>
        <v>1</v>
      </c>
      <c r="M38" s="57">
        <f t="shared" si="19"/>
        <v>0</v>
      </c>
      <c r="N38" s="271">
        <f t="shared" si="19"/>
        <v>1</v>
      </c>
      <c r="O38" s="271">
        <f t="shared" si="19"/>
        <v>0</v>
      </c>
      <c r="P38" s="272">
        <f t="shared" si="19"/>
        <v>0</v>
      </c>
      <c r="Q38" s="272">
        <f t="shared" si="19"/>
        <v>0</v>
      </c>
      <c r="R38" s="252">
        <f t="shared" si="19"/>
        <v>0</v>
      </c>
      <c r="S38" s="252">
        <f t="shared" si="19"/>
        <v>0</v>
      </c>
      <c r="T38" s="57">
        <f t="shared" si="19"/>
        <v>1</v>
      </c>
      <c r="U38" s="57">
        <f t="shared" si="19"/>
        <v>0</v>
      </c>
      <c r="V38" s="260">
        <f t="shared" si="19"/>
        <v>1</v>
      </c>
      <c r="W38" s="260">
        <f t="shared" si="19"/>
        <v>0</v>
      </c>
      <c r="X38" s="261">
        <f t="shared" si="19"/>
        <v>1</v>
      </c>
      <c r="Y38" s="261">
        <f t="shared" si="19"/>
        <v>0</v>
      </c>
      <c r="Z38" s="262">
        <f t="shared" si="19"/>
        <v>2</v>
      </c>
      <c r="AA38" s="262">
        <f t="shared" si="19"/>
        <v>0</v>
      </c>
      <c r="AB38" s="263">
        <f t="shared" si="19"/>
        <v>1</v>
      </c>
      <c r="AC38" s="263">
        <f t="shared" si="19"/>
        <v>0</v>
      </c>
      <c r="AD38" s="57">
        <f t="shared" si="19"/>
        <v>0</v>
      </c>
      <c r="AE38" s="241">
        <f t="shared" si="19"/>
        <v>0</v>
      </c>
      <c r="AF38" s="242">
        <f t="shared" si="19"/>
        <v>0</v>
      </c>
      <c r="AG38" s="242">
        <f t="shared" si="19"/>
        <v>0</v>
      </c>
      <c r="AH38" s="57">
        <f t="shared" si="19"/>
        <v>1</v>
      </c>
      <c r="AI38" s="57">
        <f t="shared" si="19"/>
        <v>0</v>
      </c>
      <c r="AJ38" s="256">
        <f t="shared" ref="AJ38:BG38" si="20">AJ7+AJ14+AJ23</f>
        <v>1</v>
      </c>
      <c r="AK38" s="256">
        <f t="shared" si="20"/>
        <v>0</v>
      </c>
      <c r="AL38" s="274">
        <f t="shared" si="20"/>
        <v>1</v>
      </c>
      <c r="AM38" s="274">
        <f t="shared" si="20"/>
        <v>0</v>
      </c>
      <c r="AN38" s="265">
        <f t="shared" si="20"/>
        <v>1</v>
      </c>
      <c r="AO38" s="265">
        <f t="shared" si="20"/>
        <v>0</v>
      </c>
      <c r="AP38" s="274">
        <f t="shared" si="20"/>
        <v>1</v>
      </c>
      <c r="AQ38" s="274">
        <f t="shared" si="20"/>
        <v>0</v>
      </c>
      <c r="AR38" s="266">
        <f t="shared" si="20"/>
        <v>0</v>
      </c>
      <c r="AS38" s="266">
        <f t="shared" si="20"/>
        <v>0</v>
      </c>
      <c r="AT38" s="267">
        <f t="shared" si="20"/>
        <v>0</v>
      </c>
      <c r="AU38" s="267">
        <f t="shared" si="20"/>
        <v>0</v>
      </c>
      <c r="AV38" s="268">
        <f t="shared" si="20"/>
        <v>1</v>
      </c>
      <c r="AW38" s="268">
        <f t="shared" si="20"/>
        <v>0</v>
      </c>
      <c r="AX38" s="269">
        <f t="shared" si="20"/>
        <v>1</v>
      </c>
      <c r="AY38" s="269">
        <f t="shared" si="20"/>
        <v>0</v>
      </c>
      <c r="AZ38" s="244">
        <f t="shared" si="20"/>
        <v>1</v>
      </c>
      <c r="BA38" s="244">
        <f t="shared" si="20"/>
        <v>0</v>
      </c>
      <c r="BB38" s="245">
        <f t="shared" si="20"/>
        <v>1</v>
      </c>
      <c r="BC38" s="245">
        <f t="shared" si="20"/>
        <v>0</v>
      </c>
      <c r="BD38" s="257">
        <f t="shared" si="20"/>
        <v>1</v>
      </c>
      <c r="BE38" s="257">
        <f t="shared" si="20"/>
        <v>0</v>
      </c>
      <c r="BF38" s="174">
        <f t="shared" si="20"/>
        <v>0</v>
      </c>
      <c r="BG38" s="174">
        <f t="shared" si="20"/>
        <v>0</v>
      </c>
    </row>
    <row r="39" spans="1:59" s="124" customFormat="1" x14ac:dyDescent="0.25">
      <c r="A39" s="124" t="s">
        <v>152</v>
      </c>
      <c r="C39" s="8"/>
      <c r="D39" s="318"/>
      <c r="E39" s="318"/>
      <c r="F39" s="318"/>
      <c r="G39" s="318"/>
      <c r="H39" s="318"/>
      <c r="I39" s="318"/>
      <c r="J39" s="318"/>
      <c r="K39" s="318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  <c r="AK39" s="318"/>
      <c r="AL39" s="318"/>
      <c r="AM39" s="318"/>
      <c r="AN39" s="318"/>
      <c r="AO39" s="318"/>
      <c r="AP39" s="318"/>
      <c r="AQ39" s="318"/>
      <c r="AR39" s="318"/>
      <c r="AS39" s="318"/>
      <c r="AT39" s="318"/>
      <c r="AU39" s="318"/>
      <c r="AV39" s="318">
        <f>AV16</f>
        <v>3</v>
      </c>
      <c r="AW39" s="318">
        <f>AW16</f>
        <v>1</v>
      </c>
      <c r="AX39" s="318">
        <f t="shared" ref="AX39:BG39" si="21">AX16</f>
        <v>3</v>
      </c>
      <c r="AY39" s="318">
        <f t="shared" si="21"/>
        <v>1</v>
      </c>
      <c r="AZ39" s="318">
        <f t="shared" si="21"/>
        <v>3</v>
      </c>
      <c r="BA39" s="318">
        <f t="shared" si="21"/>
        <v>1</v>
      </c>
      <c r="BB39" s="318">
        <f t="shared" si="21"/>
        <v>3</v>
      </c>
      <c r="BC39" s="318">
        <f t="shared" si="21"/>
        <v>1</v>
      </c>
      <c r="BD39" s="318">
        <f t="shared" si="21"/>
        <v>3</v>
      </c>
      <c r="BE39" s="318">
        <f t="shared" si="21"/>
        <v>1</v>
      </c>
      <c r="BF39" s="318">
        <f t="shared" si="21"/>
        <v>3</v>
      </c>
      <c r="BG39" s="318">
        <f t="shared" si="21"/>
        <v>1</v>
      </c>
    </row>
    <row r="40" spans="1:59" s="124" customFormat="1" x14ac:dyDescent="0.25">
      <c r="A40" s="124" t="s">
        <v>151</v>
      </c>
      <c r="C40" s="8"/>
      <c r="D40" s="318"/>
      <c r="E40" s="318"/>
      <c r="F40" s="318"/>
      <c r="G40" s="318"/>
      <c r="H40" s="318"/>
      <c r="I40" s="318"/>
      <c r="J40" s="318"/>
      <c r="K40" s="318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  <c r="AK40" s="318"/>
      <c r="AL40" s="318"/>
      <c r="AM40" s="318"/>
      <c r="AN40" s="318"/>
      <c r="AO40" s="318"/>
      <c r="AP40" s="318"/>
      <c r="AQ40" s="318"/>
      <c r="AR40" s="318"/>
      <c r="AS40" s="318"/>
      <c r="AT40" s="318"/>
      <c r="AU40" s="318"/>
      <c r="AV40" s="318">
        <f>AV17</f>
        <v>2</v>
      </c>
      <c r="AW40" s="318">
        <f>AW17</f>
        <v>0</v>
      </c>
      <c r="AX40" s="318">
        <f t="shared" ref="AX40:BG40" si="22">AX17</f>
        <v>2</v>
      </c>
      <c r="AY40" s="318">
        <f t="shared" si="22"/>
        <v>0</v>
      </c>
      <c r="AZ40" s="318">
        <f t="shared" si="22"/>
        <v>2</v>
      </c>
      <c r="BA40" s="318">
        <f t="shared" si="22"/>
        <v>0</v>
      </c>
      <c r="BB40" s="318">
        <f t="shared" si="22"/>
        <v>2</v>
      </c>
      <c r="BC40" s="318">
        <f t="shared" si="22"/>
        <v>0</v>
      </c>
      <c r="BD40" s="318">
        <f t="shared" si="22"/>
        <v>2</v>
      </c>
      <c r="BE40" s="318">
        <f t="shared" si="22"/>
        <v>0</v>
      </c>
      <c r="BF40" s="318">
        <f t="shared" si="22"/>
        <v>2</v>
      </c>
      <c r="BG40" s="318">
        <f t="shared" si="22"/>
        <v>0</v>
      </c>
    </row>
    <row r="41" spans="1:59" x14ac:dyDescent="0.25">
      <c r="A41" s="358" t="s">
        <v>83</v>
      </c>
      <c r="B41" s="358"/>
      <c r="C41" s="8"/>
      <c r="D41" s="149">
        <f>SUM(D33:D38)</f>
        <v>108</v>
      </c>
      <c r="E41" s="230">
        <f t="shared" ref="E41:Q41" si="23">SUM(E33:E38)</f>
        <v>3</v>
      </c>
      <c r="F41" s="230">
        <f t="shared" si="23"/>
        <v>207</v>
      </c>
      <c r="G41" s="230">
        <f t="shared" si="23"/>
        <v>16</v>
      </c>
      <c r="H41" s="230">
        <f t="shared" si="23"/>
        <v>220</v>
      </c>
      <c r="I41" s="230">
        <f t="shared" si="23"/>
        <v>3</v>
      </c>
      <c r="J41" s="230">
        <f t="shared" si="23"/>
        <v>210</v>
      </c>
      <c r="K41" s="230">
        <f t="shared" si="23"/>
        <v>7</v>
      </c>
      <c r="L41" s="230">
        <f t="shared" si="23"/>
        <v>219</v>
      </c>
      <c r="M41" s="230">
        <f t="shared" si="23"/>
        <v>4</v>
      </c>
      <c r="N41" s="230">
        <f t="shared" si="23"/>
        <v>218</v>
      </c>
      <c r="O41" s="230">
        <f t="shared" si="23"/>
        <v>5</v>
      </c>
      <c r="P41" s="230">
        <f t="shared" si="23"/>
        <v>144</v>
      </c>
      <c r="Q41" s="230">
        <f t="shared" si="23"/>
        <v>3</v>
      </c>
      <c r="R41" s="230">
        <f>SUM(R33:R38)</f>
        <v>108</v>
      </c>
      <c r="S41" s="281">
        <f>SUM(S33:S38)</f>
        <v>3</v>
      </c>
      <c r="T41" s="230">
        <f t="shared" ref="T41:AI41" si="24">SUM(T33:T38)</f>
        <v>220</v>
      </c>
      <c r="U41" s="230">
        <f t="shared" si="24"/>
        <v>3</v>
      </c>
      <c r="V41" s="254">
        <f t="shared" si="24"/>
        <v>220</v>
      </c>
      <c r="W41" s="254">
        <f t="shared" si="24"/>
        <v>3</v>
      </c>
      <c r="X41" s="230">
        <f t="shared" si="24"/>
        <v>220</v>
      </c>
      <c r="Y41" s="230">
        <f t="shared" si="24"/>
        <v>3</v>
      </c>
      <c r="Z41" s="230">
        <f t="shared" si="24"/>
        <v>220</v>
      </c>
      <c r="AA41" s="230">
        <f t="shared" si="24"/>
        <v>3</v>
      </c>
      <c r="AB41" s="230">
        <f t="shared" si="24"/>
        <v>218</v>
      </c>
      <c r="AC41" s="230">
        <f t="shared" si="24"/>
        <v>5</v>
      </c>
      <c r="AD41" s="230">
        <f t="shared" si="24"/>
        <v>144</v>
      </c>
      <c r="AE41" s="230">
        <f t="shared" si="24"/>
        <v>3</v>
      </c>
      <c r="AF41" s="230">
        <f>SUM(AF33:AF38)</f>
        <v>98</v>
      </c>
      <c r="AG41" s="230">
        <f>SUM(AG33:AG38)</f>
        <v>13</v>
      </c>
      <c r="AH41" s="230">
        <f t="shared" si="24"/>
        <v>220</v>
      </c>
      <c r="AI41" s="230">
        <f t="shared" si="24"/>
        <v>3</v>
      </c>
      <c r="AJ41" s="230">
        <f t="shared" ref="AJ41:AS41" si="25">SUM(AJ33:AJ38)</f>
        <v>220</v>
      </c>
      <c r="AK41" s="230">
        <f t="shared" si="25"/>
        <v>3</v>
      </c>
      <c r="AL41" s="230">
        <f t="shared" si="25"/>
        <v>164</v>
      </c>
      <c r="AM41" s="230">
        <f t="shared" si="25"/>
        <v>58</v>
      </c>
      <c r="AN41" s="230">
        <f t="shared" si="25"/>
        <v>196</v>
      </c>
      <c r="AO41" s="230">
        <f t="shared" si="25"/>
        <v>27</v>
      </c>
      <c r="AP41" s="230">
        <f t="shared" si="25"/>
        <v>217</v>
      </c>
      <c r="AQ41" s="230">
        <f t="shared" si="25"/>
        <v>3</v>
      </c>
      <c r="AR41" s="230">
        <f t="shared" si="25"/>
        <v>144</v>
      </c>
      <c r="AS41" s="230">
        <f t="shared" si="25"/>
        <v>3</v>
      </c>
      <c r="AT41" s="230">
        <f>SUM(AT33:AT38)</f>
        <v>90</v>
      </c>
      <c r="AU41" s="230">
        <f>SUM(AU33:AU38)</f>
        <v>21</v>
      </c>
      <c r="AV41" s="230">
        <f>SUM(AV33:AV40)</f>
        <v>221</v>
      </c>
      <c r="AW41" s="230">
        <f>SUM(AW33:AW40)</f>
        <v>8</v>
      </c>
      <c r="AX41" s="318">
        <f t="shared" ref="AX41:BG41" si="26">SUM(AX33:AX40)</f>
        <v>221</v>
      </c>
      <c r="AY41" s="318">
        <f t="shared" si="26"/>
        <v>8</v>
      </c>
      <c r="AZ41" s="318">
        <f t="shared" si="26"/>
        <v>221</v>
      </c>
      <c r="BA41" s="318">
        <f t="shared" si="26"/>
        <v>8</v>
      </c>
      <c r="BB41" s="318">
        <f t="shared" si="26"/>
        <v>221</v>
      </c>
      <c r="BC41" s="318">
        <f t="shared" si="26"/>
        <v>8</v>
      </c>
      <c r="BD41" s="318">
        <f t="shared" si="26"/>
        <v>221</v>
      </c>
      <c r="BE41" s="318">
        <f t="shared" si="26"/>
        <v>8</v>
      </c>
      <c r="BF41" s="318">
        <f t="shared" si="26"/>
        <v>150</v>
      </c>
      <c r="BG41" s="318">
        <f t="shared" si="26"/>
        <v>3</v>
      </c>
    </row>
    <row r="42" spans="1:59" x14ac:dyDescent="0.25">
      <c r="C42" s="8"/>
      <c r="L42" s="124"/>
      <c r="AR42" s="54"/>
      <c r="AS42" s="54"/>
      <c r="AT42" s="54"/>
      <c r="AU42" s="54"/>
      <c r="AV42" s="54"/>
      <c r="AW42" s="54"/>
      <c r="AX42" s="54"/>
      <c r="AY42" s="54"/>
      <c r="AZ42" s="54"/>
      <c r="BB42" s="54"/>
      <c r="BD42" s="54"/>
    </row>
    <row r="43" spans="1:59" x14ac:dyDescent="0.25">
      <c r="A43" s="56" t="s">
        <v>84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8"/>
      <c r="AS43" s="58"/>
      <c r="AT43" s="58"/>
      <c r="AU43" s="58"/>
      <c r="AV43" s="58"/>
      <c r="AW43" s="58"/>
      <c r="AX43" s="58"/>
      <c r="AY43" s="58"/>
      <c r="AZ43" s="58"/>
      <c r="BA43" s="56"/>
      <c r="BB43" s="58"/>
      <c r="BC43" s="56"/>
      <c r="BD43" s="58"/>
      <c r="BE43" s="56"/>
      <c r="BF43" s="56"/>
      <c r="BG43" s="56"/>
    </row>
    <row r="44" spans="1:59" x14ac:dyDescent="0.25">
      <c r="A44" t="s">
        <v>79</v>
      </c>
      <c r="C44" s="8"/>
      <c r="D44" s="57">
        <f>D5+E5+D12+E12+D21+E21</f>
        <v>54</v>
      </c>
      <c r="E44" s="57"/>
      <c r="F44" s="57">
        <f>F5+G5+F12+G12+F21+G21</f>
        <v>79</v>
      </c>
      <c r="G44" s="57"/>
      <c r="H44" s="57">
        <f>H5+I5+H12+I12+H21+I21</f>
        <v>79</v>
      </c>
      <c r="I44" s="57"/>
      <c r="J44" s="57">
        <f>J5+K5+J12+K12+J21+K21</f>
        <v>79</v>
      </c>
      <c r="K44" s="57"/>
      <c r="L44" s="150">
        <f>L5+M5+L12+M12+L21+M21</f>
        <v>79</v>
      </c>
      <c r="M44" s="271"/>
      <c r="N44" s="271">
        <f>N5+O5+N12+O12+N21+O21</f>
        <v>79</v>
      </c>
      <c r="O44" s="272"/>
      <c r="P44" s="272">
        <f>P5+Q5+P12+Q12+P21+Q21</f>
        <v>72</v>
      </c>
      <c r="Q44" s="252"/>
      <c r="R44" s="252">
        <f>R5+S5+R12+S12+R21+S21</f>
        <v>54</v>
      </c>
      <c r="S44" s="57"/>
      <c r="T44" s="57">
        <f>T5+U5+T12+U12+T21+U21</f>
        <v>79</v>
      </c>
      <c r="U44" s="260"/>
      <c r="V44" s="260">
        <f>V5+W5+V12+W12+V21+W21</f>
        <v>79</v>
      </c>
      <c r="W44" s="261"/>
      <c r="X44" s="261">
        <f>X5+Y5+X12+Y12+X21+Y21</f>
        <v>79</v>
      </c>
      <c r="Y44" s="262"/>
      <c r="Z44" s="262">
        <f>Z5+AA5+Z12+AA12+Z21+AA21</f>
        <v>80</v>
      </c>
      <c r="AA44" s="263"/>
      <c r="AB44" s="263">
        <f>AB5+AC5+AB12+AC12+AB21+AC21</f>
        <v>79</v>
      </c>
      <c r="AC44" s="57"/>
      <c r="AD44" s="57">
        <f>AD5+AE5+AD12+AE12+AD21+AE21</f>
        <v>72</v>
      </c>
      <c r="AE44" s="57"/>
      <c r="AF44" s="57">
        <f>AF5+AG5+AF12+AG12+AF21+AG21</f>
        <v>54</v>
      </c>
      <c r="AG44" s="57"/>
      <c r="AH44" s="57">
        <f>AH5+AI5+AH12+AI12+AH21+AI21</f>
        <v>79</v>
      </c>
      <c r="AI44" s="256"/>
      <c r="AJ44" s="256">
        <f>AJ5+AK5+AJ12+AK12+AJ21+AK21</f>
        <v>80</v>
      </c>
      <c r="AK44" s="264"/>
      <c r="AL44" s="273">
        <f>AL5+AM5+AL12+AM12+AL21+AM21</f>
        <v>79</v>
      </c>
      <c r="AM44" s="265"/>
      <c r="AN44" s="265">
        <f>AN5+AO5+AN12+AO12+AN21+AO21</f>
        <v>79</v>
      </c>
      <c r="AO44" s="274"/>
      <c r="AP44" s="274">
        <f>AP5+AQ5+AP12+AQ12+AP21+AQ21</f>
        <v>79</v>
      </c>
      <c r="AQ44" s="266"/>
      <c r="AR44" s="266">
        <f>AR5+AS5+AR12+AS12+AR21+AS21</f>
        <v>72</v>
      </c>
      <c r="AS44" s="267"/>
      <c r="AT44" s="267">
        <f>AT5+AU5+AT12+AU12+AT21+AU21</f>
        <v>54</v>
      </c>
      <c r="AU44" s="268"/>
      <c r="AV44" s="268">
        <f>AV5+AW5+AV12+AW12+AV21+AW21</f>
        <v>79</v>
      </c>
      <c r="AW44" s="269"/>
      <c r="AX44" s="269">
        <f>AX5+AY5+AX12+AY12+AX21+AY21</f>
        <v>79</v>
      </c>
      <c r="AY44" s="57"/>
      <c r="AZ44" s="57">
        <f>AZ5+BA5+AZ12+BA12+AZ21+BA21</f>
        <v>79</v>
      </c>
      <c r="BA44" s="57"/>
      <c r="BB44" s="115">
        <f>BB5+BC5+BB12+BC12+BB21+BC21</f>
        <v>79</v>
      </c>
      <c r="BC44" s="257"/>
      <c r="BD44" s="257">
        <f>BD5+BE5+BD12+BE12+BD21+BE21</f>
        <v>79</v>
      </c>
      <c r="BE44" s="115"/>
      <c r="BF44" s="57">
        <f>BF5+BG5+BF12+BG12+BF21+BG21</f>
        <v>72</v>
      </c>
      <c r="BG44" s="258"/>
    </row>
    <row r="45" spans="1:59" x14ac:dyDescent="0.25">
      <c r="A45" t="s">
        <v>80</v>
      </c>
      <c r="C45" s="8"/>
      <c r="D45" s="57">
        <f>D8+E8+D15+E15+D24+E24</f>
        <v>57</v>
      </c>
      <c r="E45" s="57"/>
      <c r="F45" s="57">
        <f>F8+G8+F15+G15+F24+G24</f>
        <v>78</v>
      </c>
      <c r="G45" s="57"/>
      <c r="H45" s="57">
        <f>H8+I8+H15+I15+H24+I24</f>
        <v>78</v>
      </c>
      <c r="I45" s="57"/>
      <c r="J45" s="57">
        <f>J8+K8+J15+K15+J24+K24</f>
        <v>78</v>
      </c>
      <c r="K45" s="57"/>
      <c r="L45" s="57">
        <f>L8+M8+L15+M15+L24+M24</f>
        <v>78</v>
      </c>
      <c r="M45" s="271"/>
      <c r="N45" s="271">
        <f>N8+O8+N15+O15+N24+O24</f>
        <v>78</v>
      </c>
      <c r="O45" s="272"/>
      <c r="P45" s="272">
        <f>P8+Q8+P15+Q15+P24+Q24</f>
        <v>75</v>
      </c>
      <c r="Q45" s="252"/>
      <c r="R45" s="252">
        <f>R8+S8+R15+S15+R24+S24</f>
        <v>57</v>
      </c>
      <c r="S45" s="57"/>
      <c r="T45" s="57">
        <f>T8+U8+T15+U15+T24+U24</f>
        <v>78</v>
      </c>
      <c r="U45" s="260"/>
      <c r="V45" s="260">
        <f>V8+W8+V15+W15+V24+W24</f>
        <v>78</v>
      </c>
      <c r="W45" s="261"/>
      <c r="X45" s="261">
        <f>X8+Y8+X15+Y15+X24+Y24</f>
        <v>78</v>
      </c>
      <c r="Y45" s="262"/>
      <c r="Z45" s="262">
        <f>Z8+AA8+Z15+AA15+Z24+AA24</f>
        <v>78</v>
      </c>
      <c r="AA45" s="263"/>
      <c r="AB45" s="263">
        <f>AB8+AC8+AB15+AC15+AB24+AC24</f>
        <v>78</v>
      </c>
      <c r="AC45" s="57"/>
      <c r="AD45" s="57">
        <f>AD8+AE8+AD15+AE15+AD24+AE24</f>
        <v>75</v>
      </c>
      <c r="AE45" s="57"/>
      <c r="AF45" s="242">
        <f>AF8+AG8+AF15+AG15+AF24+AG24</f>
        <v>57</v>
      </c>
      <c r="AG45" s="57"/>
      <c r="AH45" s="57">
        <f>AH8+AI8+AH15+AI15+AH24+AI24</f>
        <v>78</v>
      </c>
      <c r="AI45" s="256"/>
      <c r="AJ45" s="256">
        <f>AJ8+AK8+AJ15+AK15+AJ24+AK24</f>
        <v>78</v>
      </c>
      <c r="AK45" s="264"/>
      <c r="AL45" s="273">
        <f>AL8+AM8+AL15+AM15+AL24+AM24</f>
        <v>78</v>
      </c>
      <c r="AM45" s="265"/>
      <c r="AN45" s="265">
        <f>AN8+AO8+AN15+AO15+AN24+AO24</f>
        <v>78</v>
      </c>
      <c r="AO45" s="274"/>
      <c r="AP45" s="274">
        <f>AP8+AQ8+AP15+AQ15+AP24+AQ24</f>
        <v>78</v>
      </c>
      <c r="AQ45" s="266"/>
      <c r="AR45" s="266">
        <f>AR8+AS8+AR15+AS15+AR24+AS24</f>
        <v>75</v>
      </c>
      <c r="AS45" s="267"/>
      <c r="AT45" s="267">
        <f>AT8+AU8+AT15+AU15+AT24+AU24</f>
        <v>57</v>
      </c>
      <c r="AU45" s="268"/>
      <c r="AV45" s="268">
        <f>AV8+AW8+AV15+AW15+AV24+AW24</f>
        <v>78</v>
      </c>
      <c r="AW45" s="269"/>
      <c r="AX45" s="269">
        <f>AX8+AY8+AX15+AY15+AX24+AY24</f>
        <v>78</v>
      </c>
      <c r="AY45" s="57"/>
      <c r="AZ45" s="244">
        <f>AZ8+BA8+AZ15+BA15+AZ24+BA24</f>
        <v>78</v>
      </c>
      <c r="BA45" s="57"/>
      <c r="BB45" s="245">
        <f>BB8+BC8+BB15+BC15+BB24+BC24</f>
        <v>78</v>
      </c>
      <c r="BC45" s="257"/>
      <c r="BD45" s="257">
        <f>BD8+BE8+BD15+BE15+BD24+BE24</f>
        <v>78</v>
      </c>
      <c r="BE45" s="115"/>
      <c r="BF45" s="57">
        <f>BF8+BG8+BF15+BG15+BF24+BG24</f>
        <v>75</v>
      </c>
      <c r="BG45" s="258"/>
    </row>
    <row r="46" spans="1:59" x14ac:dyDescent="0.25">
      <c r="A46" t="s">
        <v>81</v>
      </c>
      <c r="C46" s="8"/>
      <c r="D46" s="57">
        <f>D3+E3+D10+E10+D19+E19</f>
        <v>0</v>
      </c>
      <c r="E46" s="57"/>
      <c r="F46" s="57">
        <f>F3+G3+F10+G10+F19+G19</f>
        <v>33</v>
      </c>
      <c r="G46" s="57"/>
      <c r="H46" s="57">
        <f>H3+I3+H10+I10+H19+I19</f>
        <v>33</v>
      </c>
      <c r="I46" s="57"/>
      <c r="J46" s="57">
        <f>J3+K3+J10+K10+J19+K19</f>
        <v>30</v>
      </c>
      <c r="K46" s="57"/>
      <c r="L46" s="57">
        <f>L3+M3+L10+M10+L19+M19</f>
        <v>33</v>
      </c>
      <c r="M46" s="271"/>
      <c r="N46" s="271">
        <f>N3+O3+N10+O10+N19+O19</f>
        <v>33</v>
      </c>
      <c r="O46" s="272"/>
      <c r="P46" s="272">
        <f>P3+Q3+P10+Q10+P19+Q19</f>
        <v>0</v>
      </c>
      <c r="Q46" s="252"/>
      <c r="R46" s="252">
        <f>R3+S3+R10+S10+R19+S19</f>
        <v>0</v>
      </c>
      <c r="S46" s="57"/>
      <c r="T46" s="57">
        <f>T3+U3+T10+U10+T19+U19</f>
        <v>33</v>
      </c>
      <c r="U46" s="260"/>
      <c r="V46" s="260">
        <f>V3+W3+V10+W10+V19+W19</f>
        <v>33</v>
      </c>
      <c r="W46" s="261"/>
      <c r="X46" s="261">
        <f>X3+Y3+X10+Y10+X19+Y19</f>
        <v>33</v>
      </c>
      <c r="Y46" s="262"/>
      <c r="Z46" s="262">
        <f>Z3+AA3+Z10+AA10+Z19+AA19</f>
        <v>32</v>
      </c>
      <c r="AA46" s="263"/>
      <c r="AB46" s="263">
        <f>AB3+AC3+AB10+AC10+AB19+AC19</f>
        <v>33</v>
      </c>
      <c r="AC46" s="57"/>
      <c r="AD46" s="57">
        <f>AD3+AE3+AD10+AE10+AD19+AE19</f>
        <v>0</v>
      </c>
      <c r="AE46" s="57"/>
      <c r="AF46" s="57">
        <f>AF3+AG3+AF10+AG10+AF19+AG19</f>
        <v>0</v>
      </c>
      <c r="AG46" s="57"/>
      <c r="AH46" s="57">
        <f>AH3+AI3+AH10+AI10+AH19+AI19</f>
        <v>33</v>
      </c>
      <c r="AI46" s="256"/>
      <c r="AJ46" s="256">
        <f>AJ3+AK3+AJ10+AK10+AJ19+AK19</f>
        <v>32</v>
      </c>
      <c r="AK46" s="264"/>
      <c r="AL46" s="273">
        <f>AL3+AM3+AL10+AM10+AL19+AM19</f>
        <v>32</v>
      </c>
      <c r="AM46" s="265"/>
      <c r="AN46" s="265">
        <f>AN3+AO3+AN10+AO10+AN19+AO19</f>
        <v>33</v>
      </c>
      <c r="AO46" s="274"/>
      <c r="AP46" s="274">
        <f>AP3+AQ3+AP10+AQ10+AP19+AQ19</f>
        <v>31</v>
      </c>
      <c r="AQ46" s="266"/>
      <c r="AR46" s="266">
        <f>AR3+AS3+AR10+AS10+AR19+AS19</f>
        <v>0</v>
      </c>
      <c r="AS46" s="267"/>
      <c r="AT46" s="267">
        <f>AT3+AU3+AT10+AU10+AT19+AU19</f>
        <v>0</v>
      </c>
      <c r="AU46" s="268"/>
      <c r="AV46" s="268">
        <f>AV3+AW3+AV10+AW10+AV19+AW19</f>
        <v>33</v>
      </c>
      <c r="AW46" s="269"/>
      <c r="AX46" s="269">
        <f>AX3+AY3+AX10+AY10+AX19+AY19</f>
        <v>33</v>
      </c>
      <c r="AY46" s="57"/>
      <c r="AZ46" s="57">
        <f>AZ3+BA3+AZ10+BA10+AZ19+BA19</f>
        <v>33</v>
      </c>
      <c r="BA46" s="57"/>
      <c r="BB46" s="115">
        <f>BB3+BC3+BB10+BC10+BB19+BC19</f>
        <v>33</v>
      </c>
      <c r="BC46" s="257"/>
      <c r="BD46" s="257">
        <f>BD3+BE3+BD10+BE10+BD19+BE19</f>
        <v>33</v>
      </c>
      <c r="BE46" s="115"/>
      <c r="BF46" s="57">
        <f>BF3+BG3+BF10+BG10+BF19+BG19</f>
        <v>0</v>
      </c>
      <c r="BG46" s="258"/>
    </row>
    <row r="47" spans="1:59" x14ac:dyDescent="0.25">
      <c r="A47" t="s">
        <v>82</v>
      </c>
      <c r="C47" s="8"/>
      <c r="D47" s="57">
        <f>D6+E6+D13+E13+D22+E22</f>
        <v>0</v>
      </c>
      <c r="E47" s="57"/>
      <c r="F47" s="57">
        <f>F6+G6+F13+G13+F22+G22</f>
        <v>32</v>
      </c>
      <c r="G47" s="57"/>
      <c r="H47" s="57">
        <f>H6+I6+H13+I13+H22+I22</f>
        <v>32</v>
      </c>
      <c r="I47" s="57"/>
      <c r="J47" s="57">
        <f>J6+K6+J13+K13+J22+K22</f>
        <v>29</v>
      </c>
      <c r="K47" s="57"/>
      <c r="L47" s="57">
        <f>L6+M6+L13+M13+L22+M22</f>
        <v>32</v>
      </c>
      <c r="M47" s="271"/>
      <c r="N47" s="271">
        <f>N6+O6+N13+O13+N22+O22</f>
        <v>32</v>
      </c>
      <c r="O47" s="272"/>
      <c r="P47" s="272">
        <f>P6+Q6+P13+Q13+P22+Q22</f>
        <v>0</v>
      </c>
      <c r="Q47" s="252"/>
      <c r="R47" s="252">
        <f>R6+S6+R13+S13+R22+S22</f>
        <v>0</v>
      </c>
      <c r="S47" s="57"/>
      <c r="T47" s="57">
        <f>T6+U6+T13+U13+T22+U22</f>
        <v>32</v>
      </c>
      <c r="U47" s="260"/>
      <c r="V47" s="260">
        <f>V6+W6+V13+W13+V22+W22</f>
        <v>32</v>
      </c>
      <c r="W47" s="261"/>
      <c r="X47" s="261">
        <f>X6+Y6+X13+Y13+X22+Y22</f>
        <v>32</v>
      </c>
      <c r="Y47" s="262"/>
      <c r="Z47" s="262">
        <f>Z6+AA6+Z13+AA13+Z22+AA22</f>
        <v>31</v>
      </c>
      <c r="AA47" s="263"/>
      <c r="AB47" s="263">
        <f>AB6+AC6+AB13+AC13+AB22+AC22</f>
        <v>32</v>
      </c>
      <c r="AC47" s="57"/>
      <c r="AD47" s="57">
        <f>AD6+AE6+AD13+AE13+AD22+AE22</f>
        <v>0</v>
      </c>
      <c r="AE47" s="57"/>
      <c r="AF47" s="57">
        <f>AF6+AG6+AF13+AG13+AF22+AG22</f>
        <v>0</v>
      </c>
      <c r="AG47" s="57"/>
      <c r="AH47" s="57">
        <f>AH6+AI6+AH13+AI13+AH22+AI22</f>
        <v>32</v>
      </c>
      <c r="AI47" s="256"/>
      <c r="AJ47" s="256">
        <f>AJ6+AK6+AJ13+AK13+AJ22+AK22</f>
        <v>32</v>
      </c>
      <c r="AK47" s="264"/>
      <c r="AL47" s="273">
        <f>AL6+AM6+AL13+AM13+AL22+AM22</f>
        <v>32</v>
      </c>
      <c r="AM47" s="265"/>
      <c r="AN47" s="265">
        <f>AN6+AO6+AN13+AO13+AN22+AO22</f>
        <v>32</v>
      </c>
      <c r="AO47" s="274"/>
      <c r="AP47" s="274">
        <f>AP6+AQ6+AP13+AQ13+AP22+AQ22</f>
        <v>31</v>
      </c>
      <c r="AQ47" s="266"/>
      <c r="AR47" s="266">
        <f>AR6+AS6+AR13+AS13+AR22+AS22</f>
        <v>0</v>
      </c>
      <c r="AS47" s="267"/>
      <c r="AT47" s="267">
        <f>AT6+AU6+AT13+AU13+AT22+AU22</f>
        <v>0</v>
      </c>
      <c r="AU47" s="268"/>
      <c r="AV47" s="268">
        <f>AV6+AW6+AV13+AW13+AV22+AW22</f>
        <v>32</v>
      </c>
      <c r="AW47" s="269"/>
      <c r="AX47" s="269">
        <f>AX6+AY6+AX13+AY13+AX22+AY22</f>
        <v>32</v>
      </c>
      <c r="AY47" s="57"/>
      <c r="AZ47" s="57">
        <f>AZ6+BA6+AZ13+BA13+AZ22+BA22</f>
        <v>32</v>
      </c>
      <c r="BA47" s="57"/>
      <c r="BB47" s="115">
        <f>BB6+BC6+BB13+BC13+BB22+BC22</f>
        <v>32</v>
      </c>
      <c r="BC47" s="257"/>
      <c r="BD47" s="257">
        <f>BD6+BE6+BD13+BE13+BD22+BE22</f>
        <v>32</v>
      </c>
      <c r="BE47" s="115"/>
      <c r="BF47" s="57">
        <f>BF6+BG6+BF13+BG13+BF22+BG22</f>
        <v>0</v>
      </c>
      <c r="BG47" s="258"/>
    </row>
    <row r="48" spans="1:59" s="124" customFormat="1" x14ac:dyDescent="0.25">
      <c r="A48" s="124" t="s">
        <v>122</v>
      </c>
      <c r="C48" s="8"/>
      <c r="D48" s="154">
        <f>D4+E4+D11+E11+D20+E20</f>
        <v>0</v>
      </c>
      <c r="E48" s="154"/>
      <c r="F48" s="154">
        <f>F4+G4+F11+G11+F20+G20</f>
        <v>0</v>
      </c>
      <c r="G48" s="154"/>
      <c r="H48" s="154">
        <f>H4+I4+H11+I11+H20+I20</f>
        <v>0</v>
      </c>
      <c r="I48" s="154"/>
      <c r="J48" s="154">
        <f>J4+K4+J11+K11+J20+K20</f>
        <v>0</v>
      </c>
      <c r="K48" s="154"/>
      <c r="L48" s="154">
        <f>L4+M4+L11+M11+L20+M20</f>
        <v>0</v>
      </c>
      <c r="M48" s="271"/>
      <c r="N48" s="271">
        <f>N4+O4+N11+O11+N20+O20</f>
        <v>0</v>
      </c>
      <c r="O48" s="272"/>
      <c r="P48" s="272">
        <f>P4+Q4+P11+Q11+P20+Q20</f>
        <v>0</v>
      </c>
      <c r="Q48" s="252"/>
      <c r="R48" s="252">
        <f>R4+S4+R11+S11+R20+S20</f>
        <v>0</v>
      </c>
      <c r="S48" s="154"/>
      <c r="T48" s="154">
        <f>T4+U4+T11+U11+T20+U20</f>
        <v>0</v>
      </c>
      <c r="U48" s="260"/>
      <c r="V48" s="260">
        <f>V4+W4+V11+W11+V20+W20</f>
        <v>0</v>
      </c>
      <c r="W48" s="261"/>
      <c r="X48" s="261">
        <f>X4+Y4+X11+Y11+X20+Y20</f>
        <v>0</v>
      </c>
      <c r="Y48" s="262"/>
      <c r="Z48" s="262">
        <f>Z4+AA4+Z11+AA11+Z20+AA20</f>
        <v>0</v>
      </c>
      <c r="AA48" s="263"/>
      <c r="AB48" s="263">
        <f>AB4+AC4+AB11+AC11+AB20+AC20</f>
        <v>0</v>
      </c>
      <c r="AC48" s="154"/>
      <c r="AD48" s="154">
        <f>AD4+AE4+AD11+AE11+AD20+AE20</f>
        <v>0</v>
      </c>
      <c r="AE48" s="154"/>
      <c r="AF48" s="154">
        <f>AF4+AG4+AF11+AG11+AF20+AG20</f>
        <v>0</v>
      </c>
      <c r="AG48" s="154"/>
      <c r="AH48" s="154">
        <f>AH4+AI4+AH11+AI11+AH20+AI20</f>
        <v>0</v>
      </c>
      <c r="AI48" s="256"/>
      <c r="AJ48" s="256">
        <f>AJ4+AK4+AJ11+AK11+AJ20+AK20</f>
        <v>0</v>
      </c>
      <c r="AK48" s="264"/>
      <c r="AL48" s="273">
        <f>AL4+AM4+AL11+AM11+AL20+AM20</f>
        <v>0</v>
      </c>
      <c r="AM48" s="265"/>
      <c r="AN48" s="265">
        <f>AN4+AO4+AN11+AO11+AN20+AO20</f>
        <v>0</v>
      </c>
      <c r="AO48" s="274"/>
      <c r="AP48" s="274">
        <f>AP4+AQ4+AP11+AQ11+AP20+AQ20</f>
        <v>0</v>
      </c>
      <c r="AQ48" s="266"/>
      <c r="AR48" s="266">
        <f>AR4+AS4+AR11+AS11+AR20+AS20</f>
        <v>0</v>
      </c>
      <c r="AS48" s="267"/>
      <c r="AT48" s="267">
        <f>AT4+AU4+AT11+AU11+AT20+AU20</f>
        <v>0</v>
      </c>
      <c r="AU48" s="268"/>
      <c r="AV48" s="268">
        <f>AV4+AW4+AV11+AW11+AV20+AW20</f>
        <v>0</v>
      </c>
      <c r="AW48" s="318"/>
      <c r="AX48" s="269">
        <f>AX4+AY4+AX11+AY11+AX20+AY20</f>
        <v>0</v>
      </c>
      <c r="AY48" s="154"/>
      <c r="AZ48" s="154">
        <f>AZ4+BA4+AZ11+BA11+AZ20+BA20</f>
        <v>0</v>
      </c>
      <c r="BA48" s="318"/>
      <c r="BB48" s="154">
        <f>BB4+BC4+BB11+BC11+BB20+BC20</f>
        <v>0</v>
      </c>
      <c r="BC48" s="318"/>
      <c r="BD48" s="257">
        <f>BD4+BE4+BD11+BE11+BD20+BE20</f>
        <v>0</v>
      </c>
      <c r="BE48" s="318"/>
      <c r="BF48" s="154">
        <f>BF4+BG4+BF11+BG11+BF20+BG20</f>
        <v>0</v>
      </c>
      <c r="BG48" s="258"/>
    </row>
    <row r="49" spans="1:59" x14ac:dyDescent="0.25">
      <c r="A49" t="s">
        <v>35</v>
      </c>
      <c r="C49" s="8"/>
      <c r="D49" s="57">
        <f>D7+E7+D14+E14+D23+E23</f>
        <v>0</v>
      </c>
      <c r="E49" s="57"/>
      <c r="F49" s="57">
        <f>F7+G7+F14+G14+F23+G23</f>
        <v>1</v>
      </c>
      <c r="G49" s="57"/>
      <c r="H49" s="57">
        <f>H7+I7+H14+I14+H23+I23</f>
        <v>1</v>
      </c>
      <c r="I49" s="57"/>
      <c r="J49" s="57">
        <f>J7+K7+J14+K14+J23+K23</f>
        <v>1</v>
      </c>
      <c r="K49" s="57"/>
      <c r="L49" s="57">
        <f>L7+M7+L14+M14+L23+M23</f>
        <v>1</v>
      </c>
      <c r="M49" s="271"/>
      <c r="N49" s="271">
        <f>N7+O7+N14+O14+N23+O23</f>
        <v>1</v>
      </c>
      <c r="O49" s="272"/>
      <c r="P49" s="272">
        <f>P7+Q7+P14+Q14+P23+Q23</f>
        <v>0</v>
      </c>
      <c r="Q49" s="252"/>
      <c r="R49" s="252">
        <f>R7+S7+R14+S14+R23+S23</f>
        <v>0</v>
      </c>
      <c r="S49" s="57"/>
      <c r="T49" s="57">
        <f>T7+U7+T14+U14+T23+U23</f>
        <v>1</v>
      </c>
      <c r="U49" s="260"/>
      <c r="V49" s="260">
        <f>V7+W7+V14+W14+V23+W23</f>
        <v>1</v>
      </c>
      <c r="W49" s="261"/>
      <c r="X49" s="261">
        <f>X7+Y7+X14+Y14+X23+Y23</f>
        <v>1</v>
      </c>
      <c r="Y49" s="262"/>
      <c r="Z49" s="262">
        <f>Z7+AA7+Z14+AA14+Z23+AA23</f>
        <v>2</v>
      </c>
      <c r="AA49" s="263"/>
      <c r="AB49" s="263">
        <f>AB7+AC7+AB14+AC14+AB23+AC23</f>
        <v>1</v>
      </c>
      <c r="AC49" s="57"/>
      <c r="AD49" s="57">
        <f>AD7+AE7+AD14+AE14+AD23+AE23</f>
        <v>0</v>
      </c>
      <c r="AE49" s="57"/>
      <c r="AF49" s="242">
        <f>AF7+AG7+AF14+AG14+AF23+AG23</f>
        <v>0</v>
      </c>
      <c r="AG49" s="57"/>
      <c r="AH49" s="57">
        <f>AH7+AI7+AH14+AI14+AH23+AI23</f>
        <v>1</v>
      </c>
      <c r="AI49" s="256"/>
      <c r="AJ49" s="256">
        <f>AJ7+AK7+AJ14+AK14+AJ23+AK23</f>
        <v>1</v>
      </c>
      <c r="AK49" s="264"/>
      <c r="AL49" s="273">
        <f>AL7+AM7+AL14+AM14+AL23+AM23</f>
        <v>1</v>
      </c>
      <c r="AM49" s="265"/>
      <c r="AN49" s="265">
        <f>AN7+AO7+AN14+AO14+AN23+AO23</f>
        <v>1</v>
      </c>
      <c r="AO49" s="274"/>
      <c r="AP49" s="274">
        <f>AP7+AQ7+AP14+AQ14+AP23+AQ23</f>
        <v>1</v>
      </c>
      <c r="AQ49" s="266"/>
      <c r="AR49" s="266">
        <f>AR7+AS7+AR14+AS14+AR23+AS23</f>
        <v>0</v>
      </c>
      <c r="AS49" s="267"/>
      <c r="AT49" s="267">
        <f>AT7+AU7+AT14+AU14+AT23+AU23</f>
        <v>0</v>
      </c>
      <c r="AU49" s="268"/>
      <c r="AV49" s="268">
        <f>AV7+AW7+AV14+AW14+AV23+AW23</f>
        <v>1</v>
      </c>
      <c r="AW49" s="318"/>
      <c r="AX49" s="269">
        <f>AX7+AY7+AX14+AY14+AX23+AY23</f>
        <v>1</v>
      </c>
      <c r="AY49" s="318"/>
      <c r="AZ49" s="244">
        <f>AZ7+BA7+AZ14+BA14+AZ23+BA23</f>
        <v>1</v>
      </c>
      <c r="BA49" s="318"/>
      <c r="BB49" s="245">
        <f>BB7+BC7+BB14+BC14+BB23+BC23</f>
        <v>1</v>
      </c>
      <c r="BC49" s="318"/>
      <c r="BD49" s="257">
        <f>BD7+BE7+BD14+BE14+BD23+BE23</f>
        <v>1</v>
      </c>
      <c r="BE49" s="318"/>
      <c r="BF49" s="57">
        <f>BF7+BG7+BF14+BG14+BF23+BG23</f>
        <v>0</v>
      </c>
      <c r="BG49" s="258"/>
    </row>
    <row r="50" spans="1:59" s="124" customFormat="1" x14ac:dyDescent="0.25">
      <c r="A50" s="124" t="s">
        <v>152</v>
      </c>
      <c r="C50" s="8"/>
      <c r="D50" s="318"/>
      <c r="E50" s="318"/>
      <c r="F50" s="318"/>
      <c r="G50" s="318"/>
      <c r="H50" s="318"/>
      <c r="I50" s="318"/>
      <c r="J50" s="318"/>
      <c r="K50" s="318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  <c r="AK50" s="318"/>
      <c r="AL50" s="318"/>
      <c r="AM50" s="318"/>
      <c r="AN50" s="318"/>
      <c r="AO50" s="318"/>
      <c r="AP50" s="318"/>
      <c r="AQ50" s="318"/>
      <c r="AR50" s="318"/>
      <c r="AS50" s="318"/>
      <c r="AT50" s="318"/>
      <c r="AU50" s="318"/>
      <c r="AV50" s="318">
        <f>AV16+AW16</f>
        <v>4</v>
      </c>
      <c r="AW50" s="318"/>
      <c r="AX50" s="318">
        <f t="shared" ref="AX50:BF50" si="27">AX16+AY16</f>
        <v>4</v>
      </c>
      <c r="AY50" s="318"/>
      <c r="AZ50" s="318">
        <f t="shared" si="27"/>
        <v>4</v>
      </c>
      <c r="BA50" s="318"/>
      <c r="BB50" s="318">
        <f t="shared" si="27"/>
        <v>4</v>
      </c>
      <c r="BC50" s="318"/>
      <c r="BD50" s="318">
        <f t="shared" si="27"/>
        <v>4</v>
      </c>
      <c r="BE50" s="318"/>
      <c r="BF50" s="318">
        <f t="shared" si="27"/>
        <v>4</v>
      </c>
      <c r="BG50" s="318"/>
    </row>
    <row r="51" spans="1:59" s="124" customFormat="1" x14ac:dyDescent="0.25">
      <c r="A51" s="124" t="s">
        <v>151</v>
      </c>
      <c r="C51" s="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  <c r="AK51" s="318"/>
      <c r="AL51" s="318"/>
      <c r="AM51" s="318"/>
      <c r="AN51" s="318"/>
      <c r="AO51" s="318"/>
      <c r="AP51" s="318"/>
      <c r="AQ51" s="318"/>
      <c r="AR51" s="318"/>
      <c r="AS51" s="318"/>
      <c r="AT51" s="318"/>
      <c r="AU51" s="318"/>
      <c r="AV51" s="318">
        <f>AV17+AW17</f>
        <v>2</v>
      </c>
      <c r="AW51" s="318"/>
      <c r="AX51" s="318">
        <f t="shared" ref="AX51:BF51" si="28">AX17+AY17</f>
        <v>2</v>
      </c>
      <c r="AY51" s="318"/>
      <c r="AZ51" s="318">
        <f t="shared" si="28"/>
        <v>2</v>
      </c>
      <c r="BA51" s="318"/>
      <c r="BB51" s="318">
        <f t="shared" si="28"/>
        <v>2</v>
      </c>
      <c r="BC51" s="318"/>
      <c r="BD51" s="318">
        <f t="shared" si="28"/>
        <v>2</v>
      </c>
      <c r="BE51" s="318"/>
      <c r="BF51" s="318">
        <f t="shared" si="28"/>
        <v>2</v>
      </c>
      <c r="BG51" s="318"/>
    </row>
    <row r="52" spans="1:59" s="124" customFormat="1" x14ac:dyDescent="0.25">
      <c r="C52" s="8"/>
      <c r="D52" s="293"/>
      <c r="E52" s="293"/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3"/>
      <c r="Q52" s="293"/>
      <c r="R52" s="293"/>
      <c r="S52" s="293"/>
      <c r="T52" s="293"/>
      <c r="U52" s="293"/>
      <c r="V52" s="293"/>
      <c r="W52" s="293"/>
      <c r="X52" s="293"/>
      <c r="Y52" s="293"/>
      <c r="Z52" s="293"/>
      <c r="AA52" s="293"/>
      <c r="AB52" s="293"/>
      <c r="AC52" s="293"/>
      <c r="AD52" s="293"/>
      <c r="AE52" s="293"/>
      <c r="AF52" s="293"/>
      <c r="AG52" s="293"/>
      <c r="AH52" s="293"/>
      <c r="AI52" s="293"/>
      <c r="AJ52" s="293"/>
      <c r="AK52" s="293"/>
      <c r="AL52" s="293"/>
      <c r="AM52" s="293"/>
      <c r="AN52" s="293"/>
      <c r="AO52" s="293"/>
      <c r="AP52" s="293"/>
      <c r="AQ52" s="293"/>
      <c r="AR52" s="293"/>
      <c r="AS52" s="293"/>
      <c r="AT52" s="293"/>
      <c r="AU52" s="293"/>
      <c r="AV52" s="293"/>
      <c r="AW52" s="293"/>
      <c r="AX52" s="293"/>
      <c r="AY52" s="293"/>
      <c r="AZ52" s="293"/>
      <c r="BA52" s="293"/>
      <c r="BB52" s="293"/>
      <c r="BC52" s="293"/>
      <c r="BD52" s="293"/>
      <c r="BE52" s="293"/>
      <c r="BF52" s="293"/>
      <c r="BG52" s="293"/>
    </row>
    <row r="53" spans="1:59" x14ac:dyDescent="0.25">
      <c r="A53" s="56" t="s">
        <v>65</v>
      </c>
      <c r="B53" s="56"/>
      <c r="C53" s="56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8"/>
      <c r="AS53" s="58"/>
      <c r="AT53" s="58"/>
      <c r="AU53" s="58"/>
      <c r="AV53" s="58"/>
      <c r="AW53" s="58"/>
      <c r="AX53" s="58"/>
      <c r="AY53" s="58"/>
      <c r="AZ53" s="58"/>
      <c r="BA53" s="59"/>
      <c r="BB53" s="58"/>
      <c r="BC53" s="59"/>
      <c r="BD53" s="58"/>
      <c r="BE53" s="59"/>
      <c r="BF53" s="59"/>
      <c r="BG53" s="59"/>
    </row>
    <row r="54" spans="1:59" x14ac:dyDescent="0.25">
      <c r="A54" t="s">
        <v>79</v>
      </c>
      <c r="C54" s="8"/>
      <c r="D54" s="57">
        <f>(D5+D12+D21)+2*(E5+E12+E21)</f>
        <v>57</v>
      </c>
      <c r="E54" s="57"/>
      <c r="F54" s="57">
        <f>(F5+F12+F21)+2*(G5+G12+G21)</f>
        <v>87</v>
      </c>
      <c r="G54" s="57"/>
      <c r="H54" s="57">
        <f>(H5+H12+H21)+2*(I5+I12+I21)</f>
        <v>80</v>
      </c>
      <c r="I54" s="57"/>
      <c r="J54" s="57">
        <f>(J5+J12+J21)+2*(K5+K12+K21)</f>
        <v>82</v>
      </c>
      <c r="K54" s="57"/>
      <c r="L54" s="57">
        <f>(L5+L12+L21)+2*(M5+M12+M21)</f>
        <v>81</v>
      </c>
      <c r="M54" s="271"/>
      <c r="N54" s="271">
        <f>(N5+N12+N21)+2*(O5+O12+O21)</f>
        <v>81</v>
      </c>
      <c r="O54" s="272"/>
      <c r="P54" s="272">
        <f>(P5+P12+P21)+2*(Q5+Q12+Q21)</f>
        <v>75</v>
      </c>
      <c r="Q54" s="252"/>
      <c r="R54" s="252">
        <f>(R5+R12+R21)+2*(S5+S12+S21)</f>
        <v>57</v>
      </c>
      <c r="S54" s="57"/>
      <c r="T54" s="57">
        <f>(T5+T12+T21)+2*(U5+U12+U21)</f>
        <v>80</v>
      </c>
      <c r="U54" s="260"/>
      <c r="V54" s="260">
        <f>(V5+V12+V21)+2*(W5+W12+W21)</f>
        <v>80</v>
      </c>
      <c r="W54" s="261"/>
      <c r="X54" s="261">
        <f>(X5+X12+X21)+2*(Y5+Y12+Y21)</f>
        <v>80</v>
      </c>
      <c r="Y54" s="262"/>
      <c r="Z54" s="262">
        <f>(Z5+Z12+Z21)+2*(AA5+AA12+AA21)</f>
        <v>81</v>
      </c>
      <c r="AA54" s="263"/>
      <c r="AB54" s="263">
        <f>(AB5+AB12+AB21)+2*(AC5+AC12+AC21)</f>
        <v>81</v>
      </c>
      <c r="AC54" s="57"/>
      <c r="AD54" s="57">
        <f>(AD5+AD12+AD21)+2*(AE5+AE12+AE21)</f>
        <v>75</v>
      </c>
      <c r="AE54" s="57"/>
      <c r="AF54" s="57">
        <f>(AF5+AF12+AF21)+2*(AG5+AG12+AG21)</f>
        <v>62</v>
      </c>
      <c r="AG54" s="57"/>
      <c r="AH54" s="57">
        <f>(AH5+AH12+AH21)+2*(AI5+AI12+AI21)</f>
        <v>80</v>
      </c>
      <c r="AI54" s="256"/>
      <c r="AJ54" s="256">
        <f>(AJ5+AJ12+AJ21)+2*(AK5+AK12+AK21)</f>
        <v>81</v>
      </c>
      <c r="AK54" s="264"/>
      <c r="AL54" s="273">
        <f>(AL5+AL12+AL21)+2*(AM5+AM12+AM21)</f>
        <v>108</v>
      </c>
      <c r="AM54" s="265"/>
      <c r="AN54" s="265">
        <f>(AN5+AN12+AN21)+2*(AO5+AO12+AO21)</f>
        <v>92</v>
      </c>
      <c r="AO54" s="274"/>
      <c r="AP54" s="274">
        <f>(AP5+AP12+AP21)+2*(AQ5+AQ12+AQ21)</f>
        <v>80</v>
      </c>
      <c r="AQ54" s="266"/>
      <c r="AR54" s="266">
        <f>(AR5+AR12+AR21)+2*(AS5+AS12+AS21)</f>
        <v>75</v>
      </c>
      <c r="AS54" s="267"/>
      <c r="AT54" s="267">
        <f>(AT5+AT12+AT21)+2*(AU5+AU12+AU21)</f>
        <v>66</v>
      </c>
      <c r="AU54" s="268"/>
      <c r="AV54" s="268">
        <f>(AV5+AV12+AV21)+2*(AW5+AW12+AW21)</f>
        <v>82</v>
      </c>
      <c r="AW54" s="269"/>
      <c r="AX54" s="269">
        <f>(AX5+AX12+AX21)+2*(AY5+AY12+AY21)</f>
        <v>82</v>
      </c>
      <c r="AY54" s="57"/>
      <c r="AZ54" s="57">
        <f>(AZ5+AZ12+AZ21)+2*(BA5+BA12+BA21)</f>
        <v>82</v>
      </c>
      <c r="BA54" s="117"/>
      <c r="BB54" s="115">
        <f>(BB5+BB12+BB21)+2*(BC5+BC12+BC21)</f>
        <v>82</v>
      </c>
      <c r="BC54" s="257"/>
      <c r="BD54" s="257">
        <f>(BD5+BD12+BD21)+2*(BE5+BE12+BE21)</f>
        <v>82</v>
      </c>
      <c r="BE54" s="117"/>
      <c r="BF54" s="57">
        <f>(BF5+BF12+BF21)+2*(BG5+BG12+BG21)</f>
        <v>74</v>
      </c>
      <c r="BG54" s="258"/>
    </row>
    <row r="55" spans="1:59" x14ac:dyDescent="0.25">
      <c r="A55" t="s">
        <v>80</v>
      </c>
      <c r="C55" s="8"/>
      <c r="D55" s="57">
        <f>(D8+D15+D24)+2*(E8+E15+E24)</f>
        <v>57</v>
      </c>
      <c r="E55" s="57"/>
      <c r="F55" s="57">
        <f>(F8+F15+F24)+2*(G8+G15+G24)</f>
        <v>86</v>
      </c>
      <c r="G55" s="57"/>
      <c r="H55" s="57">
        <f>(H8+H15+H24)+2*(I8+I15+I24)</f>
        <v>80</v>
      </c>
      <c r="I55" s="57"/>
      <c r="J55" s="57">
        <f>(J8+J15+J24)+2*(K8+K15+K24)</f>
        <v>81</v>
      </c>
      <c r="K55" s="57"/>
      <c r="L55" s="57">
        <f>(L8+L15+L24)+2*(M8+M15+M24)</f>
        <v>80</v>
      </c>
      <c r="M55" s="271"/>
      <c r="N55" s="271">
        <f>(N8+N15+N24)+2*(O8+O15+O24)</f>
        <v>81</v>
      </c>
      <c r="O55" s="272"/>
      <c r="P55" s="272">
        <f>(P8+P15+P24)+2*(Q8+Q15+Q24)</f>
        <v>75</v>
      </c>
      <c r="Q55" s="252"/>
      <c r="R55" s="252">
        <f>(R8+R15+R24)+2*(S8+S15+S24)</f>
        <v>57</v>
      </c>
      <c r="S55" s="57"/>
      <c r="T55" s="57">
        <f>(T8+T15+T24)+2*(U8+U15+U24)</f>
        <v>80</v>
      </c>
      <c r="U55" s="260"/>
      <c r="V55" s="260">
        <f>(V8+V15+V24)+2*(W8+W15+W24)</f>
        <v>80</v>
      </c>
      <c r="W55" s="261"/>
      <c r="X55" s="261">
        <f>(X8+X15+X24)+2*(Y8+Y15+Y24)</f>
        <v>80</v>
      </c>
      <c r="Y55" s="262"/>
      <c r="Z55" s="262">
        <f>(Z8+Z15+Z24)+2*(AA8+AA15+AA24)</f>
        <v>80</v>
      </c>
      <c r="AA55" s="263"/>
      <c r="AB55" s="263">
        <f>(AB8+AB15+AB24)+2*(AC8+AC15+AC24)</f>
        <v>81</v>
      </c>
      <c r="AC55" s="57"/>
      <c r="AD55" s="57">
        <f>(AD8+AD15+AD24)+2*(AE8+AE15+AE24)</f>
        <v>75</v>
      </c>
      <c r="AE55" s="57"/>
      <c r="AF55" s="242">
        <f>(AF8+AF15+AF24)+2*(AG8+AG15+AG24)</f>
        <v>62</v>
      </c>
      <c r="AG55" s="57"/>
      <c r="AH55" s="57">
        <f>(AH8+AH15+AH24)+2*(AI8+AI15+AI24)</f>
        <v>80</v>
      </c>
      <c r="AI55" s="256"/>
      <c r="AJ55" s="256">
        <f>(AJ8+AJ15+AJ24)+2*(AK8+AK15+AK24)</f>
        <v>80</v>
      </c>
      <c r="AK55" s="264"/>
      <c r="AL55" s="273">
        <f>(AL8+AL15+AL24)+2*(AM8+AM15+AM24)</f>
        <v>107</v>
      </c>
      <c r="AM55" s="265"/>
      <c r="AN55" s="265">
        <f>(AN8+AN15+AN24)+2*(AO8+AO15+AO24)</f>
        <v>92</v>
      </c>
      <c r="AO55" s="274"/>
      <c r="AP55" s="274">
        <f>(AP8+AP15+AP24)+2*(AQ8+AQ15+AQ24)</f>
        <v>80</v>
      </c>
      <c r="AQ55" s="266"/>
      <c r="AR55" s="266">
        <f>(AR8+AR15+AR24)+2*(AS8+AS15+AS24)</f>
        <v>75</v>
      </c>
      <c r="AS55" s="267"/>
      <c r="AT55" s="267">
        <f>(AT8+AT15+AT24)+2*(AU8+AU15+AU24)</f>
        <v>66</v>
      </c>
      <c r="AU55" s="268"/>
      <c r="AV55" s="268">
        <f>(AV8+AV15+AV24)+2*(AW8+AW15+AW24)</f>
        <v>82</v>
      </c>
      <c r="AW55" s="269"/>
      <c r="AX55" s="269">
        <f>(AX8+AX15+AX24)+2*(AY8+AY15+AY24)</f>
        <v>82</v>
      </c>
      <c r="AY55" s="57"/>
      <c r="AZ55" s="244">
        <f>(AZ8+AZ15+AZ24)+2*(BA8+BA15+BA24)</f>
        <v>82</v>
      </c>
      <c r="BA55" s="117"/>
      <c r="BB55" s="245">
        <f>(BB8+BB15+BB24)+2*(BC8+BC15+BC24)</f>
        <v>82</v>
      </c>
      <c r="BC55" s="257"/>
      <c r="BD55" s="257">
        <f>(BD8+BD15+BD24)+2*(BE8+BE15+BE24)</f>
        <v>82</v>
      </c>
      <c r="BE55" s="117"/>
      <c r="BF55" s="57">
        <f>(BF8+BF15+BF24)+2*(BG8+BG15+BG24)</f>
        <v>75</v>
      </c>
      <c r="BG55" s="258"/>
    </row>
    <row r="56" spans="1:59" x14ac:dyDescent="0.25">
      <c r="A56" t="s">
        <v>81</v>
      </c>
      <c r="C56" s="8"/>
      <c r="D56" s="57">
        <f>(D3+D10+D19)+2*(E3+E10+E19)</f>
        <v>0</v>
      </c>
      <c r="E56" s="57"/>
      <c r="F56" s="57">
        <f>(F3+F10+F19)+2*(G3+G10+G19)</f>
        <v>33</v>
      </c>
      <c r="G56" s="57"/>
      <c r="H56" s="57">
        <f>(H3+H10+H19)+2*(I3+I10+I19)</f>
        <v>33</v>
      </c>
      <c r="I56" s="57"/>
      <c r="J56" s="57">
        <f>(J3+J10+J19)+2*(K3+K10+K19)</f>
        <v>30</v>
      </c>
      <c r="K56" s="57"/>
      <c r="L56" s="57">
        <f>(L3+L10+L19)+2*(M3+M10+M19)</f>
        <v>33</v>
      </c>
      <c r="M56" s="271"/>
      <c r="N56" s="271">
        <f>(N3+N10+N19)+2*(O3+O10+O19)</f>
        <v>33</v>
      </c>
      <c r="O56" s="272"/>
      <c r="P56" s="272">
        <f>(P3+P10+P19)+2*(Q3+Q10+Q19)</f>
        <v>0</v>
      </c>
      <c r="Q56" s="252"/>
      <c r="R56" s="252">
        <f>(R3+R10+R19)+2*(S3+S10+S19)</f>
        <v>0</v>
      </c>
      <c r="S56" s="57"/>
      <c r="T56" s="57">
        <f>(T3+T10+T19)+2*(U3+U10+U19)</f>
        <v>33</v>
      </c>
      <c r="U56" s="260"/>
      <c r="V56" s="260">
        <f>(V3+V10+V19)+2*(W3+W10+W19)</f>
        <v>33</v>
      </c>
      <c r="W56" s="261"/>
      <c r="X56" s="261">
        <f>(X3+X10+X19)+2*(Y3+Y10+Y19)</f>
        <v>33</v>
      </c>
      <c r="Y56" s="262"/>
      <c r="Z56" s="262">
        <f>(Z3+Z10+Z19)+2*(AA3+AA10+AA19)</f>
        <v>32</v>
      </c>
      <c r="AA56" s="263"/>
      <c r="AB56" s="263">
        <f>(AB3+AB10+AB19)+2*(AC3+AC10+AC19)</f>
        <v>33</v>
      </c>
      <c r="AC56" s="57"/>
      <c r="AD56" s="57">
        <f>(AD3+AD10+AD19)+2*(AE3+AE10+AE19)</f>
        <v>0</v>
      </c>
      <c r="AE56" s="57"/>
      <c r="AF56" s="57">
        <f>(AF3+AF10+AF19)+2*(AG3+AG10+AG19)</f>
        <v>0</v>
      </c>
      <c r="AG56" s="57"/>
      <c r="AH56" s="57">
        <f>(AH3+AH10+AH19)+2*(AI3+AI10+AI19)</f>
        <v>33</v>
      </c>
      <c r="AI56" s="256"/>
      <c r="AJ56" s="256">
        <f>(AJ3+AJ10+AJ19)+2*(AK3+AK10+AK19)</f>
        <v>32</v>
      </c>
      <c r="AK56" s="264"/>
      <c r="AL56" s="273">
        <f>(AL3+AL10+AL19)+2*(AM3+AM10+AM19)</f>
        <v>32</v>
      </c>
      <c r="AM56" s="265"/>
      <c r="AN56" s="265">
        <f>(AN3+AN10+AN19)+2*(AO3+AO10+AO19)</f>
        <v>33</v>
      </c>
      <c r="AO56" s="274"/>
      <c r="AP56" s="274">
        <f>(AP3+AP10+AP19)+2*(AQ3+AQ10+AQ19)</f>
        <v>31</v>
      </c>
      <c r="AQ56" s="266"/>
      <c r="AR56" s="266">
        <f>(AR3+AR10+AR19)+2*(AS3+AS10+AS19)</f>
        <v>0</v>
      </c>
      <c r="AS56" s="267"/>
      <c r="AT56" s="267">
        <f>(AT3+AT10+AT19)+2*(AU3+AU10+AU19)</f>
        <v>0</v>
      </c>
      <c r="AU56" s="268"/>
      <c r="AV56" s="268">
        <f>(AV3+AV10+AV19)+2*(AW3+AW10+AW19)</f>
        <v>33</v>
      </c>
      <c r="AW56" s="269"/>
      <c r="AX56" s="269">
        <f>(AX3+AX10+AX19)+2*(AY3+AY10+AY19)</f>
        <v>33</v>
      </c>
      <c r="AY56" s="57"/>
      <c r="AZ56" s="57">
        <f>(AZ3+AZ10+AZ19)+2*(BA3+BA10+BA19)</f>
        <v>33</v>
      </c>
      <c r="BA56" s="117"/>
      <c r="BB56" s="115">
        <f>(BB3+BB10+BB19)+2*(BC3+BC10+BC19)</f>
        <v>33</v>
      </c>
      <c r="BC56" s="257"/>
      <c r="BD56" s="257">
        <f>(BD3+BD10+BD19)+2*(BE3+BE10+BE19)</f>
        <v>33</v>
      </c>
      <c r="BE56" s="117"/>
      <c r="BF56" s="57">
        <f>(BF3+BF10+BF19)+2*(BG3+BG10+BG19)</f>
        <v>0</v>
      </c>
      <c r="BG56" s="258"/>
    </row>
    <row r="57" spans="1:59" x14ac:dyDescent="0.25">
      <c r="A57" t="s">
        <v>82</v>
      </c>
      <c r="C57" s="8"/>
      <c r="D57" s="57">
        <f>(D6+D13+D22)+2*(E6+E13+E22)</f>
        <v>0</v>
      </c>
      <c r="E57" s="57"/>
      <c r="F57" s="57">
        <f>(F6+F13+F22)+2*(G6+G13+G22)</f>
        <v>32</v>
      </c>
      <c r="G57" s="57"/>
      <c r="H57" s="57">
        <f>(H6+H13+H22)+2*(I6+I13+I22)</f>
        <v>32</v>
      </c>
      <c r="I57" s="57"/>
      <c r="J57" s="57">
        <f>(J6+J13+J22)+2*(K6+K13+K22)</f>
        <v>30</v>
      </c>
      <c r="K57" s="57"/>
      <c r="L57" s="57">
        <f>(L6+L13+L22)+2*(M6+M13+M22)</f>
        <v>32</v>
      </c>
      <c r="M57" s="271"/>
      <c r="N57" s="271">
        <f>(N6+N13+N22)+2*(O6+O13+O22)</f>
        <v>32</v>
      </c>
      <c r="O57" s="272"/>
      <c r="P57" s="272">
        <f>(P6+P13+P22)+2*(Q6+Q13+Q22)</f>
        <v>0</v>
      </c>
      <c r="Q57" s="252"/>
      <c r="R57" s="252">
        <f>(R6+R13+R22)+2*(S6+S13+S22)</f>
        <v>0</v>
      </c>
      <c r="S57" s="57"/>
      <c r="T57" s="57">
        <f>(T6+T13+T22)+2*(U6+U13+U22)</f>
        <v>32</v>
      </c>
      <c r="U57" s="260"/>
      <c r="V57" s="260">
        <f>(V6+V13+V22)+2*(W6+W13+W22)</f>
        <v>32</v>
      </c>
      <c r="W57" s="261"/>
      <c r="X57" s="261">
        <f>(X6+X13+X22)+2*(Y6+Y13+Y22)</f>
        <v>32</v>
      </c>
      <c r="Y57" s="262"/>
      <c r="Z57" s="262">
        <f>(Z6+Z13+Z22)+2*(AA6+AA13+AA22)</f>
        <v>31</v>
      </c>
      <c r="AA57" s="263"/>
      <c r="AB57" s="263">
        <f>(AB6+AB13+AB22)+2*(AC6+AC13+AC22)</f>
        <v>32</v>
      </c>
      <c r="AC57" s="57"/>
      <c r="AD57" s="57">
        <f>(AD6+AD13+AD22)+2*(AE6+AE13+AE22)</f>
        <v>0</v>
      </c>
      <c r="AE57" s="57"/>
      <c r="AF57" s="57">
        <f>(AF6+AF13+AF22)+2*(AG6+AG13+AG22)</f>
        <v>0</v>
      </c>
      <c r="AG57" s="57"/>
      <c r="AH57" s="57">
        <f>(AH6+AH13+AH22)+2*(AI6+AI13+AI22)</f>
        <v>32</v>
      </c>
      <c r="AI57" s="256"/>
      <c r="AJ57" s="256">
        <f>(AJ6+AJ13+AJ22)+2*(AK6+AK13+AK22)</f>
        <v>32</v>
      </c>
      <c r="AK57" s="264"/>
      <c r="AL57" s="273">
        <f>(AL6+AL13+AL22)+2*(AM6+AM13+AM22)</f>
        <v>32</v>
      </c>
      <c r="AM57" s="265"/>
      <c r="AN57" s="265">
        <f>(AN6+AN13+AN22)+2*(AO6+AO13+AO22)</f>
        <v>32</v>
      </c>
      <c r="AO57" s="274"/>
      <c r="AP57" s="274">
        <f>(AP6+AP13+AP22)+2*(AQ6+AQ13+AQ22)</f>
        <v>31</v>
      </c>
      <c r="AQ57" s="266"/>
      <c r="AR57" s="266">
        <f>(AR6+AR13+AR22)+2*(AS6+AS13+AS22)</f>
        <v>0</v>
      </c>
      <c r="AS57" s="267"/>
      <c r="AT57" s="267">
        <f>(AT6+AT13+AT22)+2*(AU6+AU13+AU22)</f>
        <v>0</v>
      </c>
      <c r="AU57" s="268"/>
      <c r="AV57" s="268">
        <f>(AV6+AV13+AV22)+2*(AW6+AW13+AW22)</f>
        <v>32</v>
      </c>
      <c r="AW57" s="269"/>
      <c r="AX57" s="269">
        <f>(AX6+AX13+AX22)+2*(AY6+AY13+AY22)</f>
        <v>32</v>
      </c>
      <c r="AY57" s="57"/>
      <c r="AZ57" s="57">
        <f>(AZ6+AZ13+AZ22)+2*(BA6+BA13+BA22)</f>
        <v>32</v>
      </c>
      <c r="BA57" s="117"/>
      <c r="BB57" s="115">
        <f>(BB6+BB13+BB22)+2*(BC6+BC13+BC22)</f>
        <v>32</v>
      </c>
      <c r="BC57" s="257"/>
      <c r="BD57" s="257">
        <f>(BD6+BD13+BD22)+2*(BE6+BE13+BE22)</f>
        <v>32</v>
      </c>
      <c r="BE57" s="117"/>
      <c r="BF57" s="57">
        <f>(BF6+BF13+BF22)+2*(BG6+BG13+BG22)</f>
        <v>0</v>
      </c>
      <c r="BG57" s="258"/>
    </row>
    <row r="58" spans="1:59" s="124" customFormat="1" x14ac:dyDescent="0.25">
      <c r="A58" s="124" t="s">
        <v>122</v>
      </c>
      <c r="C58" s="8"/>
      <c r="D58" s="154">
        <f>(D4+D11+D20)+2*(E4+E11+E20)</f>
        <v>0</v>
      </c>
      <c r="E58" s="154"/>
      <c r="F58" s="154">
        <f>(F4+F11+F20)+2*(G4+G11+G20)</f>
        <v>0</v>
      </c>
      <c r="G58" s="154"/>
      <c r="H58" s="154">
        <f>(H4+H11+H20)+2*(I4+I11+I20)</f>
        <v>0</v>
      </c>
      <c r="I58" s="154"/>
      <c r="J58" s="154">
        <f>(J4+J11+J20)+2*(K4+K11+K20)</f>
        <v>0</v>
      </c>
      <c r="K58" s="154"/>
      <c r="L58" s="154">
        <f>(L4+L11+L20)+2*(M4+M11+M20)</f>
        <v>0</v>
      </c>
      <c r="M58" s="271"/>
      <c r="N58" s="271">
        <f>(N4+N11+N20)+2*(O4+O11+O20)</f>
        <v>0</v>
      </c>
      <c r="O58" s="272"/>
      <c r="P58" s="272">
        <f>(P4+P11+P20)+2*(Q4+Q11+Q20)</f>
        <v>0</v>
      </c>
      <c r="Q58" s="252"/>
      <c r="R58" s="252">
        <f>(R4+R11+R20)+2*(S4+S11+S20)</f>
        <v>0</v>
      </c>
      <c r="S58" s="154"/>
      <c r="T58" s="154">
        <f>(T4+T11+T20)+2*(U4+U11+U20)</f>
        <v>0</v>
      </c>
      <c r="U58" s="260"/>
      <c r="V58" s="260">
        <f>(V4+V11+V20)+2*(W4+W11+W20)</f>
        <v>0</v>
      </c>
      <c r="W58" s="261"/>
      <c r="X58" s="261">
        <f>(X4+X11+X20)+2*(Y4+Y11+Y20)</f>
        <v>0</v>
      </c>
      <c r="Y58" s="262"/>
      <c r="Z58" s="262">
        <f>(Z4+Z11+Z20)+2*(AA4+AA11+AA20)</f>
        <v>0</v>
      </c>
      <c r="AA58" s="263"/>
      <c r="AB58" s="263">
        <f>(AB4+AB11+AB20)+2*(AC4+AC11+AC20)</f>
        <v>0</v>
      </c>
      <c r="AC58" s="154"/>
      <c r="AD58" s="154">
        <f>(AD4+AD11+AD20)+2*(AE4+AE11+AE20)</f>
        <v>0</v>
      </c>
      <c r="AE58" s="154"/>
      <c r="AF58" s="154">
        <f>(AF4+AF11+AF20)+2*(AG4+AG11+AG20)</f>
        <v>0</v>
      </c>
      <c r="AG58" s="154"/>
      <c r="AH58" s="154">
        <f>(AH4+AH11+AH20)+2*(AI4+AI11+AI20)</f>
        <v>0</v>
      </c>
      <c r="AI58" s="256"/>
      <c r="AJ58" s="256">
        <f>(AJ4+AJ11+AJ20)+2*(AK4+AK11+AK20)</f>
        <v>0</v>
      </c>
      <c r="AK58" s="264"/>
      <c r="AL58" s="273">
        <f>(AL4+AL11+AL20)+2*(AM4+AM11+AM20)</f>
        <v>0</v>
      </c>
      <c r="AM58" s="265"/>
      <c r="AN58" s="265">
        <f>(AN4+AN11+AN20)+2*(AO4+AO11+AO20)</f>
        <v>0</v>
      </c>
      <c r="AO58" s="274"/>
      <c r="AP58" s="274">
        <f>(AP4+AP11+AP20)+2*(AQ4+AQ11+AQ20)</f>
        <v>0</v>
      </c>
      <c r="AQ58" s="266"/>
      <c r="AR58" s="266">
        <f>(AR4+AR11+AR20)+2*(AS4+AS11+AS20)</f>
        <v>0</v>
      </c>
      <c r="AS58" s="267"/>
      <c r="AT58" s="267">
        <f>(AT4+AT11+AT20)+2*(AU4+AU11+AU20)</f>
        <v>0</v>
      </c>
      <c r="AU58" s="268"/>
      <c r="AV58" s="268">
        <f>(AV4+AV11+AV20)+2*(AW4+AW11+AW20)</f>
        <v>0</v>
      </c>
      <c r="AW58" s="318"/>
      <c r="AX58" s="269">
        <f>(AX4+AX11+AX20)+2*(AY4+AY11+AY20)</f>
        <v>0</v>
      </c>
      <c r="AY58" s="318"/>
      <c r="AZ58" s="154">
        <f>(AZ4+AZ11+AZ20)+2*(BA4+BA11+BA20)</f>
        <v>0</v>
      </c>
      <c r="BA58" s="318"/>
      <c r="BB58" s="154">
        <f>(BB4+BB11+BB20)+2*(BC4+BC11+BC20)</f>
        <v>0</v>
      </c>
      <c r="BC58" s="257"/>
      <c r="BD58" s="257">
        <f>(BD4+BD11+BD20)+2*(BE4+BE11+BE20)</f>
        <v>0</v>
      </c>
      <c r="BE58" s="154"/>
      <c r="BF58" s="154">
        <f>(BF4+BF11+BF20)+2*(BG4+BG11+BG20)</f>
        <v>0</v>
      </c>
      <c r="BG58" s="258"/>
    </row>
    <row r="59" spans="1:59" x14ac:dyDescent="0.25">
      <c r="A59" t="s">
        <v>35</v>
      </c>
      <c r="C59" s="8"/>
      <c r="D59" s="57">
        <f>(D7+D14+D23)+2*(E7+E14+E23)</f>
        <v>0</v>
      </c>
      <c r="E59" s="57"/>
      <c r="F59" s="57">
        <f>(F7+F14+F23)+2*(G7+G14+G23)</f>
        <v>1</v>
      </c>
      <c r="G59" s="57"/>
      <c r="H59" s="57">
        <f>(H7+H14+H23)+2*(I7+I14+I23)</f>
        <v>1</v>
      </c>
      <c r="I59" s="57"/>
      <c r="J59" s="57">
        <f>(J7+J14+J23)+2*(K7+K14+K23)</f>
        <v>1</v>
      </c>
      <c r="K59" s="57"/>
      <c r="L59" s="57">
        <f>(L7+L14+L23)+2*(M7+M14+M23)</f>
        <v>1</v>
      </c>
      <c r="M59" s="271"/>
      <c r="N59" s="271">
        <f>(N7+N14+N23)+2*(O7+O14+O23)</f>
        <v>1</v>
      </c>
      <c r="O59" s="272"/>
      <c r="P59" s="272">
        <f>(P7+P14+P23)+2*(Q7+Q14+Q23)</f>
        <v>0</v>
      </c>
      <c r="Q59" s="252"/>
      <c r="R59" s="252">
        <f>(R7+R14+R23)+2*(S7+S14+S23)</f>
        <v>0</v>
      </c>
      <c r="S59" s="57"/>
      <c r="T59" s="57">
        <f>(T7+T14+T23)+2*(U7+U14+U23)</f>
        <v>1</v>
      </c>
      <c r="U59" s="260"/>
      <c r="V59" s="260">
        <f>(V7+V14+V23)+2*(W7+W14+W23)</f>
        <v>1</v>
      </c>
      <c r="W59" s="261"/>
      <c r="X59" s="261">
        <f>(X7+X14+X23)+2*(Y7+Y14+Y23)</f>
        <v>1</v>
      </c>
      <c r="Y59" s="262"/>
      <c r="Z59" s="262">
        <f>(Z7+Z14+Z23)+2*(AA7+AA14+AA23)</f>
        <v>2</v>
      </c>
      <c r="AA59" s="263"/>
      <c r="AB59" s="263">
        <f>(AB7+AB14+AB23)+2*(AC7+AC14+AC23)</f>
        <v>1</v>
      </c>
      <c r="AC59" s="57"/>
      <c r="AD59" s="57">
        <f>(AD7+AD14+AD23)+2*(AE7+AE14+AE23)</f>
        <v>0</v>
      </c>
      <c r="AE59" s="57"/>
      <c r="AF59" s="242">
        <f>(AF7+AF14+AF23)+2*(AG7+AG14+AG23)</f>
        <v>0</v>
      </c>
      <c r="AG59" s="57"/>
      <c r="AH59" s="57">
        <f>(AH7+AH14+AH23)+2*(AI7+AI14+AI23)</f>
        <v>1</v>
      </c>
      <c r="AI59" s="256"/>
      <c r="AJ59" s="256">
        <f>(AJ7+AJ14+AJ23)+2*(AK7+AK14+AK23)</f>
        <v>1</v>
      </c>
      <c r="AK59" s="264"/>
      <c r="AL59" s="273">
        <f>(AL7+AL14+AL23)+2*(AM7+AM14+AM23)</f>
        <v>1</v>
      </c>
      <c r="AM59" s="265"/>
      <c r="AN59" s="265">
        <f>(AN7+AN14+AN23)+2*(AO7+AO14+AO23)</f>
        <v>1</v>
      </c>
      <c r="AO59" s="274"/>
      <c r="AP59" s="274">
        <f>(AP7+AP14+AP23)+2*(AQ7+AQ14+AQ23)</f>
        <v>1</v>
      </c>
      <c r="AQ59" s="266"/>
      <c r="AR59" s="266">
        <f>(AR7+AR14+AR23)+2*(AS7+AS14+AS23)</f>
        <v>0</v>
      </c>
      <c r="AS59" s="267"/>
      <c r="AT59" s="267">
        <f>(AT7+AT14+AT23)+2*(AU7+AU14+AU23)</f>
        <v>0</v>
      </c>
      <c r="AU59" s="268"/>
      <c r="AV59" s="268">
        <f>(AV7+AV14+AV23)+2*(AW7+AW14+AW23)</f>
        <v>1</v>
      </c>
      <c r="AW59" s="318"/>
      <c r="AX59" s="269">
        <f>(AX7+AX14+AX23)+2*(AY7+AY14+AY23)</f>
        <v>1</v>
      </c>
      <c r="AY59" s="318"/>
      <c r="AZ59" s="244">
        <f>(AZ7+AZ14+AZ23)+2*(BA7+BA14+BA23)</f>
        <v>1</v>
      </c>
      <c r="BA59" s="318"/>
      <c r="BB59" s="245">
        <f>(BB7+BB14+BB23)+2*(BC7+BC14+BC23)</f>
        <v>1</v>
      </c>
      <c r="BC59" s="318"/>
      <c r="BD59" s="257">
        <f>(BD7+BD14+BD23)+2*(BE7+BE14+BE23)</f>
        <v>1</v>
      </c>
      <c r="BE59" s="325"/>
      <c r="BF59" s="57">
        <f>(BF7+BF14+BF23)+2*(BG7+BG14+BG23)</f>
        <v>0</v>
      </c>
      <c r="BG59" s="258"/>
    </row>
    <row r="60" spans="1:59" x14ac:dyDescent="0.25">
      <c r="A60" t="s">
        <v>152</v>
      </c>
      <c r="AV60" s="318">
        <f>(AV16)+2*(AW16)</f>
        <v>5</v>
      </c>
      <c r="AW60" s="318"/>
      <c r="AX60" s="318">
        <f t="shared" ref="AX60:BD60" si="29">(AX16)+2*(AY16)</f>
        <v>5</v>
      </c>
      <c r="AY60" s="318"/>
      <c r="AZ60" s="318">
        <f t="shared" si="29"/>
        <v>5</v>
      </c>
      <c r="BA60" s="318"/>
      <c r="BB60" s="318">
        <f t="shared" si="29"/>
        <v>5</v>
      </c>
      <c r="BC60" s="318"/>
      <c r="BD60" s="318">
        <f t="shared" si="29"/>
        <v>5</v>
      </c>
      <c r="BE60" s="325"/>
      <c r="BF60" s="325">
        <f t="shared" ref="BF60:BF61" si="30">(BF16)+2*(BG16)</f>
        <v>5</v>
      </c>
    </row>
    <row r="61" spans="1:59" x14ac:dyDescent="0.25">
      <c r="A61" t="s">
        <v>151</v>
      </c>
      <c r="AV61" s="318">
        <f>(AV17)+2*(AW17)</f>
        <v>2</v>
      </c>
      <c r="AW61" s="318"/>
      <c r="AX61" s="318">
        <f t="shared" ref="AX61:BD61" si="31">(AX17)+2*(AY17)</f>
        <v>2</v>
      </c>
      <c r="AY61" s="318"/>
      <c r="AZ61" s="318">
        <f t="shared" si="31"/>
        <v>2</v>
      </c>
      <c r="BA61" s="318"/>
      <c r="BB61" s="318">
        <f t="shared" si="31"/>
        <v>2</v>
      </c>
      <c r="BC61" s="318"/>
      <c r="BD61" s="318">
        <f t="shared" si="31"/>
        <v>2</v>
      </c>
      <c r="BE61" s="325"/>
      <c r="BF61" s="325">
        <f t="shared" si="30"/>
        <v>2</v>
      </c>
    </row>
    <row r="62" spans="1:59" x14ac:dyDescent="0.25">
      <c r="AW62" s="318"/>
      <c r="AY62" s="318"/>
      <c r="BA62" s="318"/>
      <c r="BC62" s="318"/>
      <c r="BE62" s="325"/>
    </row>
    <row r="63" spans="1:59" ht="15.75" thickBot="1" x14ac:dyDescent="0.3">
      <c r="BE63" s="318"/>
    </row>
    <row r="64" spans="1:59" ht="15.75" thickBot="1" x14ac:dyDescent="0.3">
      <c r="AD64" s="327"/>
      <c r="AE64" s="327"/>
      <c r="AF64" s="327"/>
      <c r="AG64" s="327"/>
      <c r="AH64" s="327"/>
      <c r="AI64" s="327"/>
      <c r="AJ64" s="328"/>
      <c r="AK64" s="328"/>
      <c r="AL64" s="328"/>
      <c r="AM64" s="328"/>
      <c r="AN64" s="328"/>
      <c r="AO64" s="328"/>
      <c r="AP64" s="328"/>
      <c r="AQ64" s="328"/>
      <c r="AR64" s="327"/>
      <c r="AS64" s="327"/>
      <c r="AT64" s="327"/>
      <c r="AU64" s="327"/>
      <c r="AV64" s="327"/>
      <c r="AW64" s="327"/>
    </row>
    <row r="65" spans="29:69" ht="15.75" thickBot="1" x14ac:dyDescent="0.3">
      <c r="AD65" s="327"/>
      <c r="AE65" s="327"/>
      <c r="AF65" s="327"/>
      <c r="AG65" s="327"/>
      <c r="AH65" s="327"/>
      <c r="AI65" s="327"/>
      <c r="AJ65" s="328"/>
      <c r="AK65" s="328"/>
      <c r="AL65" s="328"/>
      <c r="AM65" s="328"/>
      <c r="AN65" s="328"/>
      <c r="AO65" s="328"/>
      <c r="AP65" s="328"/>
      <c r="AQ65" s="328"/>
      <c r="AR65" s="327"/>
      <c r="AS65" s="327"/>
      <c r="AT65" s="327"/>
      <c r="AU65" s="327"/>
      <c r="AV65" s="327"/>
      <c r="AW65" s="327"/>
    </row>
    <row r="66" spans="29:69" x14ac:dyDescent="0.25"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49"/>
      <c r="BE66" s="249"/>
      <c r="BF66" s="249"/>
      <c r="BG66" s="249"/>
      <c r="BH66" s="249"/>
      <c r="BI66" s="249"/>
      <c r="BJ66" s="249"/>
      <c r="BK66" s="249"/>
      <c r="BL66" s="249"/>
      <c r="BM66" s="249"/>
      <c r="BN66" s="249"/>
      <c r="BO66" s="249"/>
      <c r="BP66" s="249"/>
      <c r="BQ66" s="249"/>
    </row>
    <row r="67" spans="29:69" x14ac:dyDescent="0.25">
      <c r="AC67" s="124"/>
      <c r="AD67" s="124"/>
      <c r="AE67" s="124"/>
      <c r="AF67" s="124"/>
      <c r="AG67" s="124"/>
      <c r="AH67" s="124"/>
      <c r="AI67" s="124"/>
      <c r="AJ67" s="124"/>
      <c r="AK67" s="124"/>
      <c r="AL67" s="124"/>
      <c r="AM67" s="124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49"/>
      <c r="BE67" s="249"/>
      <c r="BF67" s="249"/>
      <c r="BG67" s="249"/>
      <c r="BH67" s="249"/>
      <c r="BI67" s="249"/>
      <c r="BJ67" s="249"/>
      <c r="BK67" s="249"/>
      <c r="BL67" s="249"/>
      <c r="BM67" s="249"/>
      <c r="BN67" s="249"/>
      <c r="BO67" s="249"/>
      <c r="BP67" s="249"/>
      <c r="BQ67" s="249"/>
    </row>
    <row r="68" spans="29:69" x14ac:dyDescent="0.25">
      <c r="AC68" s="124"/>
      <c r="AD68" s="124"/>
      <c r="AE68" s="124"/>
      <c r="AF68" s="124"/>
      <c r="AG68" s="124"/>
      <c r="AH68" s="124"/>
      <c r="AI68" s="124"/>
      <c r="AJ68" s="124"/>
      <c r="AK68" s="124"/>
      <c r="AL68" s="124"/>
      <c r="AM68" s="124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49"/>
      <c r="BE68" s="249"/>
      <c r="BF68" s="249"/>
      <c r="BG68" s="249"/>
      <c r="BH68" s="249"/>
      <c r="BI68" s="249"/>
      <c r="BJ68" s="249"/>
      <c r="BK68" s="249"/>
      <c r="BL68" s="249"/>
      <c r="BM68" s="249"/>
      <c r="BN68" s="249"/>
      <c r="BO68" s="249"/>
      <c r="BP68" s="249"/>
      <c r="BQ68" s="249"/>
    </row>
    <row r="69" spans="29:69" x14ac:dyDescent="0.25"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49"/>
      <c r="BE69" s="249"/>
      <c r="BF69" s="249"/>
      <c r="BG69" s="249"/>
      <c r="BH69" s="249"/>
      <c r="BI69" s="249"/>
      <c r="BJ69" s="249"/>
      <c r="BK69" s="249"/>
      <c r="BL69" s="249"/>
      <c r="BM69" s="249"/>
      <c r="BN69" s="249"/>
      <c r="BO69" s="249"/>
      <c r="BP69" s="249"/>
      <c r="BQ69" s="249"/>
    </row>
    <row r="70" spans="29:69" x14ac:dyDescent="0.25"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49"/>
      <c r="BE70" s="249"/>
      <c r="BF70" s="249"/>
      <c r="BG70" s="249"/>
      <c r="BH70" s="249"/>
      <c r="BI70" s="249"/>
      <c r="BJ70" s="249"/>
      <c r="BK70" s="249"/>
      <c r="BL70" s="249"/>
      <c r="BM70" s="249"/>
      <c r="BN70" s="249"/>
      <c r="BO70" s="249"/>
      <c r="BP70" s="249"/>
      <c r="BQ70" s="249"/>
    </row>
    <row r="71" spans="29:69" x14ac:dyDescent="0.25"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49"/>
      <c r="BE71" s="249"/>
      <c r="BF71" s="249"/>
      <c r="BG71" s="249"/>
      <c r="BH71" s="249"/>
      <c r="BI71" s="249"/>
      <c r="BJ71" s="249"/>
      <c r="BK71" s="249"/>
      <c r="BL71" s="249"/>
      <c r="BM71" s="249"/>
      <c r="BN71" s="249"/>
      <c r="BO71" s="249"/>
      <c r="BP71" s="249"/>
      <c r="BQ71" s="249"/>
    </row>
    <row r="72" spans="29:69" x14ac:dyDescent="0.25"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49"/>
      <c r="BE72" s="249"/>
      <c r="BF72" s="249"/>
      <c r="BG72" s="249"/>
      <c r="BH72" s="249"/>
      <c r="BI72" s="249"/>
      <c r="BJ72" s="249"/>
      <c r="BK72" s="249"/>
      <c r="BL72" s="249"/>
      <c r="BM72" s="249"/>
      <c r="BN72" s="249"/>
      <c r="BO72" s="249"/>
      <c r="BP72" s="249"/>
      <c r="BQ72" s="249"/>
    </row>
    <row r="73" spans="29:69" x14ac:dyDescent="0.25"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49"/>
      <c r="BE73" s="249"/>
      <c r="BF73" s="249"/>
      <c r="BG73" s="249"/>
      <c r="BH73" s="249"/>
      <c r="BI73" s="249"/>
      <c r="BJ73" s="249"/>
      <c r="BK73" s="249"/>
      <c r="BL73" s="249"/>
      <c r="BM73" s="249"/>
      <c r="BN73" s="249"/>
      <c r="BO73" s="249"/>
      <c r="BP73" s="249"/>
      <c r="BQ73" s="249"/>
    </row>
    <row r="74" spans="29:69" x14ac:dyDescent="0.25"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49"/>
      <c r="BE74" s="249"/>
      <c r="BF74" s="249"/>
      <c r="BG74" s="249"/>
      <c r="BH74" s="249"/>
      <c r="BI74" s="249"/>
      <c r="BJ74" s="249"/>
      <c r="BK74" s="249"/>
      <c r="BL74" s="249"/>
      <c r="BM74" s="249"/>
      <c r="BN74" s="249"/>
      <c r="BO74" s="249"/>
      <c r="BP74" s="249"/>
      <c r="BQ74" s="249"/>
    </row>
    <row r="75" spans="29:69" x14ac:dyDescent="0.25"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49"/>
      <c r="BE75" s="249"/>
      <c r="BF75" s="249"/>
      <c r="BG75" s="249"/>
      <c r="BH75" s="249"/>
      <c r="BI75" s="249"/>
      <c r="BJ75" s="249"/>
      <c r="BK75" s="249"/>
      <c r="BL75" s="249"/>
      <c r="BM75" s="249"/>
      <c r="BN75" s="249"/>
      <c r="BO75" s="249"/>
      <c r="BP75" s="249"/>
      <c r="BQ75" s="249"/>
    </row>
    <row r="76" spans="29:69" x14ac:dyDescent="0.25"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49"/>
      <c r="BE76" s="249"/>
      <c r="BF76" s="249"/>
      <c r="BG76" s="249"/>
      <c r="BH76" s="249"/>
      <c r="BI76" s="249"/>
      <c r="BJ76" s="249"/>
      <c r="BK76" s="249"/>
      <c r="BL76" s="249"/>
      <c r="BM76" s="249"/>
      <c r="BN76" s="249"/>
      <c r="BO76" s="249"/>
      <c r="BP76" s="249"/>
      <c r="BQ76" s="249"/>
    </row>
    <row r="77" spans="29:69" x14ac:dyDescent="0.25"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49"/>
      <c r="BE77" s="249"/>
      <c r="BF77" s="249"/>
      <c r="BG77" s="249"/>
      <c r="BH77" s="249"/>
      <c r="BI77" s="249"/>
      <c r="BJ77" s="249"/>
      <c r="BK77" s="249"/>
      <c r="BL77" s="249"/>
      <c r="BM77" s="249"/>
      <c r="BN77" s="249"/>
      <c r="BO77" s="249"/>
      <c r="BP77" s="249"/>
      <c r="BQ77" s="249"/>
    </row>
    <row r="78" spans="29:69" x14ac:dyDescent="0.25"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49"/>
      <c r="BE78" s="249"/>
      <c r="BF78" s="249"/>
      <c r="BG78" s="249"/>
      <c r="BH78" s="249"/>
      <c r="BI78" s="249"/>
      <c r="BJ78" s="249"/>
      <c r="BK78" s="249"/>
      <c r="BL78" s="249"/>
      <c r="BM78" s="249"/>
      <c r="BN78" s="249"/>
      <c r="BO78" s="249"/>
      <c r="BP78" s="249"/>
      <c r="BQ78" s="249"/>
    </row>
    <row r="79" spans="29:69" x14ac:dyDescent="0.25"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49"/>
      <c r="BE79" s="249"/>
      <c r="BF79" s="249"/>
      <c r="BG79" s="249"/>
      <c r="BH79" s="249"/>
      <c r="BI79" s="249"/>
      <c r="BJ79" s="249"/>
      <c r="BK79" s="249"/>
      <c r="BL79" s="249"/>
      <c r="BM79" s="249"/>
      <c r="BN79" s="249"/>
      <c r="BO79" s="249"/>
      <c r="BP79" s="249"/>
      <c r="BQ79" s="249"/>
    </row>
  </sheetData>
  <mergeCells count="29">
    <mergeCell ref="N1:O1"/>
    <mergeCell ref="P1:Q1"/>
    <mergeCell ref="Z1:AA1"/>
    <mergeCell ref="V1:W1"/>
    <mergeCell ref="T1:U1"/>
    <mergeCell ref="R1:S1"/>
    <mergeCell ref="X1:Y1"/>
    <mergeCell ref="A41:B41"/>
    <mergeCell ref="D1:E1"/>
    <mergeCell ref="F1:G1"/>
    <mergeCell ref="L1:M1"/>
    <mergeCell ref="H1:I1"/>
    <mergeCell ref="J1:K1"/>
    <mergeCell ref="BF1:BG1"/>
    <mergeCell ref="AT1:AU1"/>
    <mergeCell ref="AN1:AO1"/>
    <mergeCell ref="BD1:BE1"/>
    <mergeCell ref="AR1:AS1"/>
    <mergeCell ref="AP1:AQ1"/>
    <mergeCell ref="AZ1:BA1"/>
    <mergeCell ref="BB1:BC1"/>
    <mergeCell ref="AX1:AY1"/>
    <mergeCell ref="AV1:AW1"/>
    <mergeCell ref="AB1:AC1"/>
    <mergeCell ref="AD1:AE1"/>
    <mergeCell ref="AJ1:AK1"/>
    <mergeCell ref="AF1:AG1"/>
    <mergeCell ref="AL1:AM1"/>
    <mergeCell ref="AH1:AI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5"/>
  <sheetViews>
    <sheetView topLeftCell="A2" zoomScale="115" zoomScaleNormal="115" workbookViewId="0">
      <selection activeCell="M45" sqref="M45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</cols>
  <sheetData>
    <row r="1" spans="1:30" ht="24.75" x14ac:dyDescent="0.45">
      <c r="A1" s="127" t="s">
        <v>176</v>
      </c>
      <c r="B1" s="77"/>
    </row>
    <row r="3" spans="1:30" x14ac:dyDescent="0.25">
      <c r="A3" s="78"/>
      <c r="B3" s="78"/>
      <c r="C3" s="93">
        <v>46054</v>
      </c>
      <c r="D3" s="93">
        <v>46055</v>
      </c>
      <c r="E3" s="93">
        <v>46056</v>
      </c>
      <c r="F3" s="93">
        <v>46057</v>
      </c>
      <c r="G3" s="93">
        <v>46058</v>
      </c>
      <c r="H3" s="93">
        <v>46059</v>
      </c>
      <c r="I3" s="93">
        <v>46060</v>
      </c>
      <c r="J3" s="93">
        <v>46061</v>
      </c>
      <c r="K3" s="93">
        <v>46062</v>
      </c>
      <c r="L3" s="93">
        <v>46063</v>
      </c>
      <c r="M3" s="93">
        <v>46064</v>
      </c>
      <c r="N3" s="93">
        <v>46065</v>
      </c>
      <c r="O3" s="93">
        <v>46066</v>
      </c>
      <c r="P3" s="93">
        <v>46067</v>
      </c>
      <c r="Q3" s="93">
        <v>46068</v>
      </c>
      <c r="R3" s="93">
        <v>46069</v>
      </c>
      <c r="S3" s="93">
        <v>46070</v>
      </c>
      <c r="T3" s="93">
        <v>46071</v>
      </c>
      <c r="U3" s="93">
        <v>46072</v>
      </c>
      <c r="V3" s="93">
        <v>46073</v>
      </c>
      <c r="W3" s="93">
        <v>46074</v>
      </c>
      <c r="X3" s="93">
        <v>46075</v>
      </c>
      <c r="Y3" s="93">
        <v>46076</v>
      </c>
      <c r="Z3" s="93">
        <v>46077</v>
      </c>
      <c r="AA3" s="93">
        <v>46078</v>
      </c>
      <c r="AB3" s="93">
        <v>46079</v>
      </c>
      <c r="AC3" s="93">
        <v>46080</v>
      </c>
      <c r="AD3" s="93">
        <v>46081</v>
      </c>
    </row>
    <row r="4" spans="1:30" x14ac:dyDescent="0.25">
      <c r="A4" s="79" t="s">
        <v>85</v>
      </c>
      <c r="B4" s="80" t="s">
        <v>86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</row>
    <row r="5" spans="1:30" s="85" customFormat="1" ht="14.25" x14ac:dyDescent="0.2">
      <c r="A5" s="81" t="s">
        <v>74</v>
      </c>
      <c r="B5" s="82">
        <v>43.13</v>
      </c>
      <c r="C5" s="95">
        <f>'Data Ocupacion'!D44</f>
        <v>54</v>
      </c>
      <c r="D5" s="95">
        <f>'Data Ocupacion'!F44</f>
        <v>79</v>
      </c>
      <c r="E5" s="95">
        <f>'Data Ocupacion'!H44</f>
        <v>79</v>
      </c>
      <c r="F5" s="95">
        <f>'Data Ocupacion'!J44</f>
        <v>79</v>
      </c>
      <c r="G5" s="95">
        <f>'Data Ocupacion'!L44</f>
        <v>79</v>
      </c>
      <c r="H5" s="95">
        <f>'Data Ocupacion'!N44</f>
        <v>79</v>
      </c>
      <c r="I5" s="95">
        <f>'Data Ocupacion'!P44</f>
        <v>72</v>
      </c>
      <c r="J5" s="95">
        <f>'Data Ocupacion'!R44</f>
        <v>54</v>
      </c>
      <c r="K5" s="95">
        <f>'Data Ocupacion'!T44</f>
        <v>79</v>
      </c>
      <c r="L5" s="95">
        <f>'Data Ocupacion'!V44</f>
        <v>79</v>
      </c>
      <c r="M5" s="95">
        <f>'Data Ocupacion'!X44</f>
        <v>79</v>
      </c>
      <c r="N5" s="95">
        <f>'Data Ocupacion'!Z44</f>
        <v>80</v>
      </c>
      <c r="O5" s="95">
        <f>'Data Ocupacion'!AB44</f>
        <v>79</v>
      </c>
      <c r="P5" s="95">
        <f>'Data Ocupacion'!AD44</f>
        <v>72</v>
      </c>
      <c r="Q5" s="95">
        <f>'Data Ocupacion'!AF44</f>
        <v>54</v>
      </c>
      <c r="R5" s="95">
        <f>'Data Ocupacion'!AH44</f>
        <v>79</v>
      </c>
      <c r="S5" s="95">
        <f>'Data Ocupacion'!AJ44</f>
        <v>80</v>
      </c>
      <c r="T5" s="95">
        <f>'Data Ocupacion'!AL44</f>
        <v>79</v>
      </c>
      <c r="U5" s="95">
        <f>'Data Ocupacion'!AN44</f>
        <v>79</v>
      </c>
      <c r="V5" s="95">
        <f>'Data Ocupacion'!AP44</f>
        <v>79</v>
      </c>
      <c r="W5" s="95">
        <f>'Data Ocupacion'!AR44</f>
        <v>72</v>
      </c>
      <c r="X5" s="95">
        <f>'Data Ocupacion'!AT44</f>
        <v>54</v>
      </c>
      <c r="Y5" s="95">
        <f>'Data Ocupacion'!AV44</f>
        <v>79</v>
      </c>
      <c r="Z5" s="95">
        <f>'Data Ocupacion'!AX44</f>
        <v>79</v>
      </c>
      <c r="AA5" s="95">
        <f>'Data Ocupacion'!AZ44</f>
        <v>79</v>
      </c>
      <c r="AB5" s="95">
        <f>'Data Ocupacion'!BB44</f>
        <v>79</v>
      </c>
      <c r="AC5" s="95">
        <f>'Data Ocupacion'!BD44</f>
        <v>79</v>
      </c>
      <c r="AD5" s="95">
        <f>'Data Ocupacion'!BF44</f>
        <v>72</v>
      </c>
    </row>
    <row r="6" spans="1:30" s="85" customFormat="1" ht="14.25" x14ac:dyDescent="0.2">
      <c r="A6" s="81" t="s">
        <v>77</v>
      </c>
      <c r="B6" s="82">
        <v>43.13</v>
      </c>
      <c r="C6" s="95">
        <f>'Data Ocupacion'!D45</f>
        <v>57</v>
      </c>
      <c r="D6" s="95">
        <f>'Data Ocupacion'!F45</f>
        <v>78</v>
      </c>
      <c r="E6" s="95">
        <f>'Data Ocupacion'!H45</f>
        <v>78</v>
      </c>
      <c r="F6" s="95">
        <f>'Data Ocupacion'!J45</f>
        <v>78</v>
      </c>
      <c r="G6" s="95">
        <f>'Data Ocupacion'!L45</f>
        <v>78</v>
      </c>
      <c r="H6" s="95">
        <f>'Data Ocupacion'!N45</f>
        <v>78</v>
      </c>
      <c r="I6" s="95">
        <f>'Data Ocupacion'!P45</f>
        <v>75</v>
      </c>
      <c r="J6" s="95">
        <f>'Data Ocupacion'!R45</f>
        <v>57</v>
      </c>
      <c r="K6" s="95">
        <f>'Data Ocupacion'!T45</f>
        <v>78</v>
      </c>
      <c r="L6" s="95">
        <f>'Data Ocupacion'!V45</f>
        <v>78</v>
      </c>
      <c r="M6" s="95">
        <f>'Data Ocupacion'!X45</f>
        <v>78</v>
      </c>
      <c r="N6" s="95">
        <f>'Data Ocupacion'!Z45</f>
        <v>78</v>
      </c>
      <c r="O6" s="95">
        <f>'Data Ocupacion'!AB45</f>
        <v>78</v>
      </c>
      <c r="P6" s="95">
        <f>'Data Ocupacion'!AD45</f>
        <v>75</v>
      </c>
      <c r="Q6" s="95">
        <f>'Data Ocupacion'!AF45</f>
        <v>57</v>
      </c>
      <c r="R6" s="95">
        <f>'Data Ocupacion'!AH45</f>
        <v>78</v>
      </c>
      <c r="S6" s="95">
        <f>'Data Ocupacion'!AJ45</f>
        <v>78</v>
      </c>
      <c r="T6" s="95">
        <f>'Data Ocupacion'!AL45</f>
        <v>78</v>
      </c>
      <c r="U6" s="95">
        <f>'Data Ocupacion'!AN45</f>
        <v>78</v>
      </c>
      <c r="V6" s="95">
        <f>'Data Ocupacion'!AP45</f>
        <v>78</v>
      </c>
      <c r="W6" s="95">
        <f>'Data Ocupacion'!AR45</f>
        <v>75</v>
      </c>
      <c r="X6" s="95">
        <f>'Data Ocupacion'!AT45</f>
        <v>57</v>
      </c>
      <c r="Y6" s="95">
        <f>'Data Ocupacion'!AV45</f>
        <v>78</v>
      </c>
      <c r="Z6" s="95">
        <f>'Data Ocupacion'!AX45</f>
        <v>78</v>
      </c>
      <c r="AA6" s="95">
        <f>'Data Ocupacion'!AZ45</f>
        <v>78</v>
      </c>
      <c r="AB6" s="95">
        <f>'Data Ocupacion'!BB45</f>
        <v>78</v>
      </c>
      <c r="AC6" s="95">
        <f>'Data Ocupacion'!BD45</f>
        <v>78</v>
      </c>
      <c r="AD6" s="95">
        <f>'Data Ocupacion'!BF45</f>
        <v>75</v>
      </c>
    </row>
    <row r="7" spans="1:30" s="85" customFormat="1" ht="14.25" x14ac:dyDescent="0.2">
      <c r="A7" s="81" t="s">
        <v>73</v>
      </c>
      <c r="B7" s="82">
        <v>29.11</v>
      </c>
      <c r="C7" s="95">
        <f>'Data Ocupacion'!D46</f>
        <v>0</v>
      </c>
      <c r="D7" s="95">
        <f>'Data Ocupacion'!F46</f>
        <v>33</v>
      </c>
      <c r="E7" s="95">
        <f>'Data Ocupacion'!H46</f>
        <v>33</v>
      </c>
      <c r="F7" s="95">
        <f>'Data Ocupacion'!J46</f>
        <v>30</v>
      </c>
      <c r="G7" s="95">
        <f>'Data Ocupacion'!L46</f>
        <v>33</v>
      </c>
      <c r="H7" s="95">
        <f>'Data Ocupacion'!N46</f>
        <v>33</v>
      </c>
      <c r="I7" s="95">
        <f>'Data Ocupacion'!P46</f>
        <v>0</v>
      </c>
      <c r="J7" s="95">
        <f>'Data Ocupacion'!R46</f>
        <v>0</v>
      </c>
      <c r="K7" s="95">
        <f>'Data Ocupacion'!T46</f>
        <v>33</v>
      </c>
      <c r="L7" s="95">
        <f>'Data Ocupacion'!V46</f>
        <v>33</v>
      </c>
      <c r="M7" s="95">
        <f>'Data Ocupacion'!X46</f>
        <v>33</v>
      </c>
      <c r="N7" s="95">
        <f>'Data Ocupacion'!Z46</f>
        <v>32</v>
      </c>
      <c r="O7" s="95">
        <f>'Data Ocupacion'!AB46</f>
        <v>33</v>
      </c>
      <c r="P7" s="95">
        <f>'Data Ocupacion'!AD46</f>
        <v>0</v>
      </c>
      <c r="Q7" s="95">
        <f>'Data Ocupacion'!AF46</f>
        <v>0</v>
      </c>
      <c r="R7" s="95">
        <f>'Data Ocupacion'!AH46</f>
        <v>33</v>
      </c>
      <c r="S7" s="95">
        <f>'Data Ocupacion'!AJ46</f>
        <v>32</v>
      </c>
      <c r="T7" s="95">
        <f>'Data Ocupacion'!AL46</f>
        <v>32</v>
      </c>
      <c r="U7" s="95">
        <f>'Data Ocupacion'!AN46</f>
        <v>33</v>
      </c>
      <c r="V7" s="95">
        <f>'Data Ocupacion'!AP46</f>
        <v>31</v>
      </c>
      <c r="W7" s="95">
        <f>'Data Ocupacion'!AR46</f>
        <v>0</v>
      </c>
      <c r="X7" s="95">
        <f>'Data Ocupacion'!AT46</f>
        <v>0</v>
      </c>
      <c r="Y7" s="95">
        <f>'Data Ocupacion'!AV46</f>
        <v>33</v>
      </c>
      <c r="Z7" s="95">
        <f>'Data Ocupacion'!AX46</f>
        <v>33</v>
      </c>
      <c r="AA7" s="95">
        <f>'Data Ocupacion'!AZ46</f>
        <v>33</v>
      </c>
      <c r="AB7" s="95">
        <f>'Data Ocupacion'!BB46</f>
        <v>33</v>
      </c>
      <c r="AC7" s="95">
        <f>'Data Ocupacion'!BD46</f>
        <v>33</v>
      </c>
      <c r="AD7" s="95">
        <f>'Data Ocupacion'!BF46</f>
        <v>0</v>
      </c>
    </row>
    <row r="8" spans="1:30" s="85" customFormat="1" ht="14.25" x14ac:dyDescent="0.2">
      <c r="A8" s="81" t="s">
        <v>75</v>
      </c>
      <c r="B8" s="82">
        <v>29.11</v>
      </c>
      <c r="C8" s="95">
        <f>'Data Ocupacion'!D47</f>
        <v>0</v>
      </c>
      <c r="D8" s="95">
        <f>'Data Ocupacion'!F47</f>
        <v>32</v>
      </c>
      <c r="E8" s="95">
        <f>'Data Ocupacion'!H47</f>
        <v>32</v>
      </c>
      <c r="F8" s="95">
        <f>'Data Ocupacion'!J47</f>
        <v>29</v>
      </c>
      <c r="G8" s="95">
        <f>'Data Ocupacion'!L47</f>
        <v>32</v>
      </c>
      <c r="H8" s="95">
        <f>'Data Ocupacion'!N47</f>
        <v>32</v>
      </c>
      <c r="I8" s="95">
        <f>'Data Ocupacion'!P47</f>
        <v>0</v>
      </c>
      <c r="J8" s="95">
        <f>'Data Ocupacion'!R47</f>
        <v>0</v>
      </c>
      <c r="K8" s="95">
        <f>'Data Ocupacion'!T47</f>
        <v>32</v>
      </c>
      <c r="L8" s="95">
        <f>'Data Ocupacion'!V47</f>
        <v>32</v>
      </c>
      <c r="M8" s="95">
        <f>'Data Ocupacion'!X47</f>
        <v>32</v>
      </c>
      <c r="N8" s="95">
        <f>'Data Ocupacion'!Z47</f>
        <v>31</v>
      </c>
      <c r="O8" s="95">
        <f>'Data Ocupacion'!AB47</f>
        <v>32</v>
      </c>
      <c r="P8" s="95">
        <f>'Data Ocupacion'!AD47</f>
        <v>0</v>
      </c>
      <c r="Q8" s="95">
        <f>'Data Ocupacion'!AF47</f>
        <v>0</v>
      </c>
      <c r="R8" s="95">
        <f>'Data Ocupacion'!AH47</f>
        <v>32</v>
      </c>
      <c r="S8" s="95">
        <f>'Data Ocupacion'!AJ47</f>
        <v>32</v>
      </c>
      <c r="T8" s="95">
        <f>'Data Ocupacion'!AL47</f>
        <v>32</v>
      </c>
      <c r="U8" s="95">
        <f>'Data Ocupacion'!AN47</f>
        <v>32</v>
      </c>
      <c r="V8" s="95">
        <f>'Data Ocupacion'!AP47</f>
        <v>31</v>
      </c>
      <c r="W8" s="95">
        <f>'Data Ocupacion'!AR47</f>
        <v>0</v>
      </c>
      <c r="X8" s="95">
        <f>'Data Ocupacion'!AT47</f>
        <v>0</v>
      </c>
      <c r="Y8" s="95">
        <f>'Data Ocupacion'!AV47</f>
        <v>32</v>
      </c>
      <c r="Z8" s="95">
        <f>'Data Ocupacion'!AX47</f>
        <v>32</v>
      </c>
      <c r="AA8" s="95">
        <f>'Data Ocupacion'!AZ47</f>
        <v>32</v>
      </c>
      <c r="AB8" s="95">
        <f>'Data Ocupacion'!BB47</f>
        <v>32</v>
      </c>
      <c r="AC8" s="95">
        <f>'Data Ocupacion'!BD47</f>
        <v>32</v>
      </c>
      <c r="AD8" s="95">
        <f>'Data Ocupacion'!BF47</f>
        <v>0</v>
      </c>
    </row>
    <row r="9" spans="1:30" s="85" customFormat="1" ht="14.25" x14ac:dyDescent="0.2">
      <c r="A9" s="81" t="s">
        <v>123</v>
      </c>
      <c r="B9" s="82">
        <v>25.4</v>
      </c>
      <c r="C9" s="95">
        <f>'Data Ocupacion'!D48</f>
        <v>0</v>
      </c>
      <c r="D9" s="95">
        <f>'Data Ocupacion'!F48</f>
        <v>0</v>
      </c>
      <c r="E9" s="95">
        <f>'Data Ocupacion'!H48</f>
        <v>0</v>
      </c>
      <c r="F9" s="95">
        <f>'Data Ocupacion'!J48</f>
        <v>0</v>
      </c>
      <c r="G9" s="95">
        <f>'Data Ocupacion'!L48</f>
        <v>0</v>
      </c>
      <c r="H9" s="95">
        <f>'Data Ocupacion'!N48</f>
        <v>0</v>
      </c>
      <c r="I9" s="95">
        <f>'Data Ocupacion'!P48</f>
        <v>0</v>
      </c>
      <c r="J9" s="95">
        <f>'Data Ocupacion'!R48</f>
        <v>0</v>
      </c>
      <c r="K9" s="95">
        <f>'Data Ocupacion'!T48</f>
        <v>0</v>
      </c>
      <c r="L9" s="95">
        <f>'Data Ocupacion'!V48</f>
        <v>0</v>
      </c>
      <c r="M9" s="95">
        <f>'Data Ocupacion'!X48</f>
        <v>0</v>
      </c>
      <c r="N9" s="95">
        <f>'Data Ocupacion'!Z48</f>
        <v>0</v>
      </c>
      <c r="O9" s="95">
        <f>'Data Ocupacion'!AB48</f>
        <v>0</v>
      </c>
      <c r="P9" s="95">
        <f>'Data Ocupacion'!AD48</f>
        <v>0</v>
      </c>
      <c r="Q9" s="95">
        <f>'Data Ocupacion'!AF48</f>
        <v>0</v>
      </c>
      <c r="R9" s="95">
        <f>'Data Ocupacion'!AH48</f>
        <v>0</v>
      </c>
      <c r="S9" s="95">
        <f>'Data Ocupacion'!AJ48</f>
        <v>0</v>
      </c>
      <c r="T9" s="95">
        <f>'Data Ocupacion'!AL48</f>
        <v>0</v>
      </c>
      <c r="U9" s="95">
        <f>'Data Ocupacion'!AN48</f>
        <v>0</v>
      </c>
      <c r="V9" s="95">
        <f>'Data Ocupacion'!AP48</f>
        <v>0</v>
      </c>
      <c r="W9" s="95">
        <f>'Data Ocupacion'!AR48</f>
        <v>0</v>
      </c>
      <c r="X9" s="95">
        <f>'Data Ocupacion'!AT48</f>
        <v>0</v>
      </c>
      <c r="Y9" s="95">
        <f>'Data Ocupacion'!AV48</f>
        <v>0</v>
      </c>
      <c r="Z9" s="95">
        <f>'Data Ocupacion'!AX48</f>
        <v>0</v>
      </c>
      <c r="AA9" s="95">
        <f>'Data Ocupacion'!AZ48</f>
        <v>0</v>
      </c>
      <c r="AB9" s="95">
        <f>'Data Ocupacion'!BB48</f>
        <v>0</v>
      </c>
      <c r="AC9" s="95">
        <f>'Data Ocupacion'!BD48</f>
        <v>0</v>
      </c>
      <c r="AD9" s="95">
        <f>'Data Ocupacion'!BF48</f>
        <v>0</v>
      </c>
    </row>
    <row r="10" spans="1:30" s="85" customFormat="1" ht="14.25" x14ac:dyDescent="0.2">
      <c r="A10" s="208" t="s">
        <v>76</v>
      </c>
      <c r="B10" s="82">
        <v>25.4</v>
      </c>
      <c r="C10" s="95">
        <f>'Data Ocupacion'!D49</f>
        <v>0</v>
      </c>
      <c r="D10" s="95">
        <f>'Data Ocupacion'!F49</f>
        <v>1</v>
      </c>
      <c r="E10" s="95">
        <f>'Data Ocupacion'!H49</f>
        <v>1</v>
      </c>
      <c r="F10" s="95">
        <f>'Data Ocupacion'!J49</f>
        <v>1</v>
      </c>
      <c r="G10" s="95">
        <f>'Data Ocupacion'!L49</f>
        <v>1</v>
      </c>
      <c r="H10" s="95">
        <f>'Data Ocupacion'!N49</f>
        <v>1</v>
      </c>
      <c r="I10" s="95">
        <f>'Data Ocupacion'!P49</f>
        <v>0</v>
      </c>
      <c r="J10" s="95">
        <f>'Data Ocupacion'!R49</f>
        <v>0</v>
      </c>
      <c r="K10" s="95">
        <f>'Data Ocupacion'!T49</f>
        <v>1</v>
      </c>
      <c r="L10" s="95">
        <f>'Data Ocupacion'!V49</f>
        <v>1</v>
      </c>
      <c r="M10" s="95">
        <f>'Data Ocupacion'!X49</f>
        <v>1</v>
      </c>
      <c r="N10" s="95">
        <f>'Data Ocupacion'!Z49</f>
        <v>2</v>
      </c>
      <c r="O10" s="95">
        <f>'Data Ocupacion'!AB49</f>
        <v>1</v>
      </c>
      <c r="P10" s="95">
        <f>'Data Ocupacion'!AD49</f>
        <v>0</v>
      </c>
      <c r="Q10" s="95">
        <f>'Data Ocupacion'!AF49</f>
        <v>0</v>
      </c>
      <c r="R10" s="95">
        <f>'Data Ocupacion'!AH49</f>
        <v>1</v>
      </c>
      <c r="S10" s="95">
        <f>'Data Ocupacion'!AJ49</f>
        <v>1</v>
      </c>
      <c r="T10" s="95">
        <f>'Data Ocupacion'!AL49</f>
        <v>1</v>
      </c>
      <c r="U10" s="95">
        <f>'Data Ocupacion'!AN49</f>
        <v>1</v>
      </c>
      <c r="V10" s="95">
        <f>'Data Ocupacion'!AP49</f>
        <v>1</v>
      </c>
      <c r="W10" s="95">
        <f>'Data Ocupacion'!AR49</f>
        <v>0</v>
      </c>
      <c r="X10" s="95">
        <f>'Data Ocupacion'!AT49</f>
        <v>0</v>
      </c>
      <c r="Y10" s="95">
        <f>'Data Ocupacion'!AV49</f>
        <v>1</v>
      </c>
      <c r="Z10" s="95">
        <f>'Data Ocupacion'!AX49</f>
        <v>1</v>
      </c>
      <c r="AA10" s="95">
        <f>'Data Ocupacion'!AZ49</f>
        <v>1</v>
      </c>
      <c r="AB10" s="95">
        <f>'Data Ocupacion'!BB49</f>
        <v>1</v>
      </c>
      <c r="AC10" s="95">
        <f>'Data Ocupacion'!BD49</f>
        <v>1</v>
      </c>
      <c r="AD10" s="95">
        <f>'Data Ocupacion'!BF49</f>
        <v>0</v>
      </c>
    </row>
    <row r="11" spans="1:30" s="85" customFormat="1" ht="14.25" x14ac:dyDescent="0.2">
      <c r="A11" s="208" t="s">
        <v>186</v>
      </c>
      <c r="B11" s="82">
        <v>34.83</v>
      </c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>
        <f>'Data Ocupacion'!AV50</f>
        <v>4</v>
      </c>
      <c r="Z11" s="95">
        <f>'Data Ocupacion'!AX50</f>
        <v>4</v>
      </c>
      <c r="AA11" s="95">
        <f>'Data Ocupacion'!AZ50</f>
        <v>4</v>
      </c>
      <c r="AB11" s="95">
        <f>'Data Ocupacion'!BB50</f>
        <v>4</v>
      </c>
      <c r="AC11" s="95">
        <f>'Data Ocupacion'!BD50</f>
        <v>4</v>
      </c>
      <c r="AD11" s="95">
        <f>'Data Ocupacion'!BF50</f>
        <v>4</v>
      </c>
    </row>
    <row r="12" spans="1:30" s="85" customFormat="1" ht="14.25" x14ac:dyDescent="0.2">
      <c r="A12" s="208" t="s">
        <v>187</v>
      </c>
      <c r="B12" s="82">
        <v>8.3000000000000007</v>
      </c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>
        <f>'Data Ocupacion'!AV51</f>
        <v>2</v>
      </c>
      <c r="Z12" s="95">
        <f>'Data Ocupacion'!AX51</f>
        <v>2</v>
      </c>
      <c r="AA12" s="95">
        <f>'Data Ocupacion'!AZ51</f>
        <v>2</v>
      </c>
      <c r="AB12" s="95">
        <f>'Data Ocupacion'!BB51</f>
        <v>2</v>
      </c>
      <c r="AC12" s="95">
        <f>'Data Ocupacion'!BD51</f>
        <v>2</v>
      </c>
      <c r="AD12" s="95">
        <f>'Data Ocupacion'!BF51</f>
        <v>2</v>
      </c>
    </row>
    <row r="13" spans="1:30" s="85" customFormat="1" ht="14.25" x14ac:dyDescent="0.2">
      <c r="A13" s="259"/>
      <c r="B13" s="82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T13" s="95"/>
      <c r="V13" s="95"/>
      <c r="X13" s="95"/>
      <c r="Z13" s="95"/>
      <c r="AB13" s="95"/>
      <c r="AD13" s="95"/>
    </row>
    <row r="14" spans="1:30" s="85" customFormat="1" ht="14.25" x14ac:dyDescent="0.2">
      <c r="A14" s="81" t="s">
        <v>87</v>
      </c>
      <c r="B14" s="82">
        <v>43.13</v>
      </c>
      <c r="C14" s="95">
        <f>'Data Ocupacion'!D54</f>
        <v>57</v>
      </c>
      <c r="D14" s="95">
        <f>'Data Ocupacion'!F54</f>
        <v>87</v>
      </c>
      <c r="E14" s="95">
        <f>'Data Ocupacion'!H54</f>
        <v>80</v>
      </c>
      <c r="F14" s="95">
        <f>'Data Ocupacion'!J54</f>
        <v>82</v>
      </c>
      <c r="G14" s="95">
        <f>'Data Ocupacion'!L54</f>
        <v>81</v>
      </c>
      <c r="H14" s="95">
        <f>'Data Ocupacion'!N54</f>
        <v>81</v>
      </c>
      <c r="I14" s="95">
        <f>'Data Ocupacion'!P54</f>
        <v>75</v>
      </c>
      <c r="J14" s="95">
        <f>'Data Ocupacion'!R54</f>
        <v>57</v>
      </c>
      <c r="K14" s="95">
        <f>'Data Ocupacion'!T54</f>
        <v>80</v>
      </c>
      <c r="L14" s="95">
        <f>'Data Ocupacion'!V54</f>
        <v>80</v>
      </c>
      <c r="M14" s="95">
        <f>'Data Ocupacion'!X54</f>
        <v>80</v>
      </c>
      <c r="N14" s="95">
        <f>'Data Ocupacion'!Z54</f>
        <v>81</v>
      </c>
      <c r="O14" s="95">
        <f>'Data Ocupacion'!AB54</f>
        <v>81</v>
      </c>
      <c r="P14" s="95">
        <f>'Data Ocupacion'!AD54</f>
        <v>75</v>
      </c>
      <c r="Q14" s="95">
        <f>'Data Ocupacion'!AF54</f>
        <v>62</v>
      </c>
      <c r="R14" s="95">
        <f>'Data Ocupacion'!AH54</f>
        <v>80</v>
      </c>
      <c r="S14" s="95">
        <f>'Data Ocupacion'!AJ54</f>
        <v>81</v>
      </c>
      <c r="T14" s="95">
        <f>'Data Ocupacion'!AL54</f>
        <v>108</v>
      </c>
      <c r="U14" s="95">
        <f>'Data Ocupacion'!AN54</f>
        <v>92</v>
      </c>
      <c r="V14" s="95">
        <f>'Data Ocupacion'!AP54</f>
        <v>80</v>
      </c>
      <c r="W14" s="95">
        <f>'Data Ocupacion'!AR54</f>
        <v>75</v>
      </c>
      <c r="X14" s="95">
        <f>'Data Ocupacion'!AT54</f>
        <v>66</v>
      </c>
      <c r="Y14" s="95">
        <f>'Data Ocupacion'!AV54</f>
        <v>82</v>
      </c>
      <c r="Z14" s="95">
        <f>'Data Ocupacion'!AX54</f>
        <v>82</v>
      </c>
      <c r="AA14" s="95">
        <f>'Data Ocupacion'!AZ54</f>
        <v>82</v>
      </c>
      <c r="AB14" s="95">
        <f>'Data Ocupacion'!BB54</f>
        <v>82</v>
      </c>
      <c r="AC14" s="95">
        <f>'Data Ocupacion'!BD54</f>
        <v>82</v>
      </c>
      <c r="AD14" s="95">
        <f>'Data Ocupacion'!BF54</f>
        <v>74</v>
      </c>
    </row>
    <row r="15" spans="1:30" s="85" customFormat="1" ht="14.25" x14ac:dyDescent="0.2">
      <c r="A15" s="81" t="s">
        <v>88</v>
      </c>
      <c r="B15" s="82">
        <v>43.13</v>
      </c>
      <c r="C15" s="95">
        <f>'Data Ocupacion'!D55</f>
        <v>57</v>
      </c>
      <c r="D15" s="95">
        <f>'Data Ocupacion'!F55</f>
        <v>86</v>
      </c>
      <c r="E15" s="95">
        <f>'Data Ocupacion'!H55</f>
        <v>80</v>
      </c>
      <c r="F15" s="95">
        <f>'Data Ocupacion'!J55</f>
        <v>81</v>
      </c>
      <c r="G15" s="95">
        <f>'Data Ocupacion'!L55</f>
        <v>80</v>
      </c>
      <c r="H15" s="95">
        <f>'Data Ocupacion'!N55</f>
        <v>81</v>
      </c>
      <c r="I15" s="95">
        <f>'Data Ocupacion'!P55</f>
        <v>75</v>
      </c>
      <c r="J15" s="95">
        <f>'Data Ocupacion'!R55</f>
        <v>57</v>
      </c>
      <c r="K15" s="95">
        <f>'Data Ocupacion'!T55</f>
        <v>80</v>
      </c>
      <c r="L15" s="95">
        <f>'Data Ocupacion'!V55</f>
        <v>80</v>
      </c>
      <c r="M15" s="95">
        <f>'Data Ocupacion'!X55</f>
        <v>80</v>
      </c>
      <c r="N15" s="95">
        <f>'Data Ocupacion'!Z55</f>
        <v>80</v>
      </c>
      <c r="O15" s="95">
        <f>'Data Ocupacion'!AB55</f>
        <v>81</v>
      </c>
      <c r="P15" s="95">
        <f>'Data Ocupacion'!AD55</f>
        <v>75</v>
      </c>
      <c r="Q15" s="95">
        <f>'Data Ocupacion'!AF55</f>
        <v>62</v>
      </c>
      <c r="R15" s="95">
        <f>'Data Ocupacion'!AH55</f>
        <v>80</v>
      </c>
      <c r="S15" s="95">
        <f>'Data Ocupacion'!AJ55</f>
        <v>80</v>
      </c>
      <c r="T15" s="95">
        <f>'Data Ocupacion'!AL55</f>
        <v>107</v>
      </c>
      <c r="U15" s="95">
        <f>'Data Ocupacion'!AN55</f>
        <v>92</v>
      </c>
      <c r="V15" s="95">
        <f>'Data Ocupacion'!AP55</f>
        <v>80</v>
      </c>
      <c r="W15" s="95">
        <f>'Data Ocupacion'!AR55</f>
        <v>75</v>
      </c>
      <c r="X15" s="95">
        <f>'Data Ocupacion'!AT55</f>
        <v>66</v>
      </c>
      <c r="Y15" s="95">
        <f>'Data Ocupacion'!AV55</f>
        <v>82</v>
      </c>
      <c r="Z15" s="95">
        <f>'Data Ocupacion'!AX55</f>
        <v>82</v>
      </c>
      <c r="AA15" s="95">
        <f>'Data Ocupacion'!AZ55</f>
        <v>82</v>
      </c>
      <c r="AB15" s="95">
        <f>'Data Ocupacion'!BB55</f>
        <v>82</v>
      </c>
      <c r="AC15" s="95">
        <f>'Data Ocupacion'!BD55</f>
        <v>82</v>
      </c>
      <c r="AD15" s="95">
        <f>'Data Ocupacion'!BF55</f>
        <v>75</v>
      </c>
    </row>
    <row r="16" spans="1:30" s="85" customFormat="1" ht="14.25" x14ac:dyDescent="0.2">
      <c r="A16" s="81" t="s">
        <v>89</v>
      </c>
      <c r="B16" s="82">
        <v>29.11</v>
      </c>
      <c r="C16" s="95">
        <f>'Data Ocupacion'!D56</f>
        <v>0</v>
      </c>
      <c r="D16" s="95">
        <f>'Data Ocupacion'!F56</f>
        <v>33</v>
      </c>
      <c r="E16" s="95">
        <f>'Data Ocupacion'!H56</f>
        <v>33</v>
      </c>
      <c r="F16" s="95">
        <f>'Data Ocupacion'!J56</f>
        <v>30</v>
      </c>
      <c r="G16" s="95">
        <f>'Data Ocupacion'!L56</f>
        <v>33</v>
      </c>
      <c r="H16" s="95">
        <f>'Data Ocupacion'!N56</f>
        <v>33</v>
      </c>
      <c r="I16" s="95">
        <f>'Data Ocupacion'!P56</f>
        <v>0</v>
      </c>
      <c r="J16" s="95">
        <f>'Data Ocupacion'!R56</f>
        <v>0</v>
      </c>
      <c r="K16" s="95">
        <f>'Data Ocupacion'!T56</f>
        <v>33</v>
      </c>
      <c r="L16" s="95">
        <f>'Data Ocupacion'!V56</f>
        <v>33</v>
      </c>
      <c r="M16" s="95">
        <f>'Data Ocupacion'!X56</f>
        <v>33</v>
      </c>
      <c r="N16" s="95">
        <f>'Data Ocupacion'!Z56</f>
        <v>32</v>
      </c>
      <c r="O16" s="95">
        <f>'Data Ocupacion'!AB56</f>
        <v>33</v>
      </c>
      <c r="P16" s="95">
        <f>'Data Ocupacion'!AD56</f>
        <v>0</v>
      </c>
      <c r="Q16" s="95">
        <f>'Data Ocupacion'!AF56</f>
        <v>0</v>
      </c>
      <c r="R16" s="95">
        <f>'Data Ocupacion'!AH56</f>
        <v>33</v>
      </c>
      <c r="S16" s="95">
        <f>'Data Ocupacion'!AJ56</f>
        <v>32</v>
      </c>
      <c r="T16" s="95">
        <f>'Data Ocupacion'!AL56</f>
        <v>32</v>
      </c>
      <c r="U16" s="95">
        <f>'Data Ocupacion'!AN56</f>
        <v>33</v>
      </c>
      <c r="V16" s="95">
        <f>'Data Ocupacion'!AP56</f>
        <v>31</v>
      </c>
      <c r="W16" s="95">
        <f>'Data Ocupacion'!AR56</f>
        <v>0</v>
      </c>
      <c r="X16" s="95">
        <f>'Data Ocupacion'!AT56</f>
        <v>0</v>
      </c>
      <c r="Y16" s="95">
        <f>'Data Ocupacion'!AV56</f>
        <v>33</v>
      </c>
      <c r="Z16" s="95">
        <f>'Data Ocupacion'!AX56</f>
        <v>33</v>
      </c>
      <c r="AA16" s="95">
        <f>'Data Ocupacion'!AZ56</f>
        <v>33</v>
      </c>
      <c r="AB16" s="95">
        <f>'Data Ocupacion'!BB56</f>
        <v>33</v>
      </c>
      <c r="AC16" s="95">
        <f>'Data Ocupacion'!BD56</f>
        <v>33</v>
      </c>
      <c r="AD16" s="95">
        <f>'Data Ocupacion'!BF56</f>
        <v>0</v>
      </c>
    </row>
    <row r="17" spans="1:30" s="85" customFormat="1" ht="14.25" x14ac:dyDescent="0.2">
      <c r="A17" s="81" t="s">
        <v>90</v>
      </c>
      <c r="B17" s="82">
        <v>29.11</v>
      </c>
      <c r="C17" s="95">
        <f>'Data Ocupacion'!D57</f>
        <v>0</v>
      </c>
      <c r="D17" s="95">
        <f>'Data Ocupacion'!F57</f>
        <v>32</v>
      </c>
      <c r="E17" s="95">
        <f>'Data Ocupacion'!H57</f>
        <v>32</v>
      </c>
      <c r="F17" s="95">
        <f>'Data Ocupacion'!J57</f>
        <v>30</v>
      </c>
      <c r="G17" s="95">
        <f>'Data Ocupacion'!L57</f>
        <v>32</v>
      </c>
      <c r="H17" s="95">
        <f>'Data Ocupacion'!N57</f>
        <v>32</v>
      </c>
      <c r="I17" s="95">
        <f>'Data Ocupacion'!P57</f>
        <v>0</v>
      </c>
      <c r="J17" s="95">
        <f>'Data Ocupacion'!R57</f>
        <v>0</v>
      </c>
      <c r="K17" s="95">
        <f>'Data Ocupacion'!T57</f>
        <v>32</v>
      </c>
      <c r="L17" s="95">
        <f>'Data Ocupacion'!V57</f>
        <v>32</v>
      </c>
      <c r="M17" s="95">
        <f>'Data Ocupacion'!X57</f>
        <v>32</v>
      </c>
      <c r="N17" s="95">
        <f>'Data Ocupacion'!Z57</f>
        <v>31</v>
      </c>
      <c r="O17" s="95">
        <f>'Data Ocupacion'!AB57</f>
        <v>32</v>
      </c>
      <c r="P17" s="95">
        <f>'Data Ocupacion'!AD57</f>
        <v>0</v>
      </c>
      <c r="Q17" s="95">
        <f>'Data Ocupacion'!AF57</f>
        <v>0</v>
      </c>
      <c r="R17" s="95">
        <f>'Data Ocupacion'!AH57</f>
        <v>32</v>
      </c>
      <c r="S17" s="95">
        <f>'Data Ocupacion'!AJ57</f>
        <v>32</v>
      </c>
      <c r="T17" s="95">
        <f>'Data Ocupacion'!AL57</f>
        <v>32</v>
      </c>
      <c r="U17" s="95">
        <f>'Data Ocupacion'!AN57</f>
        <v>32</v>
      </c>
      <c r="V17" s="95">
        <f>'Data Ocupacion'!AP57</f>
        <v>31</v>
      </c>
      <c r="W17" s="95">
        <f>'Data Ocupacion'!AR57</f>
        <v>0</v>
      </c>
      <c r="X17" s="95">
        <f>'Data Ocupacion'!AT57</f>
        <v>0</v>
      </c>
      <c r="Y17" s="95">
        <f>'Data Ocupacion'!AV57</f>
        <v>32</v>
      </c>
      <c r="Z17" s="95">
        <f>'Data Ocupacion'!AX57</f>
        <v>32</v>
      </c>
      <c r="AA17" s="95">
        <f>'Data Ocupacion'!AZ57</f>
        <v>32</v>
      </c>
      <c r="AB17" s="95">
        <f>'Data Ocupacion'!BB57</f>
        <v>32</v>
      </c>
      <c r="AC17" s="95">
        <f>'Data Ocupacion'!BD57</f>
        <v>32</v>
      </c>
      <c r="AD17" s="95">
        <f>'Data Ocupacion'!BF57</f>
        <v>0</v>
      </c>
    </row>
    <row r="18" spans="1:30" s="85" customFormat="1" ht="14.25" x14ac:dyDescent="0.2">
      <c r="A18" s="81" t="s">
        <v>91</v>
      </c>
      <c r="B18" s="82">
        <v>25.4</v>
      </c>
      <c r="C18" s="95">
        <f>'Data Ocupacion'!D59</f>
        <v>0</v>
      </c>
      <c r="D18" s="95">
        <f>'Data Ocupacion'!F59</f>
        <v>1</v>
      </c>
      <c r="E18" s="95">
        <f>'Data Ocupacion'!H59</f>
        <v>1</v>
      </c>
      <c r="F18" s="95">
        <f>'Data Ocupacion'!J59</f>
        <v>1</v>
      </c>
      <c r="G18" s="95">
        <f>'Data Ocupacion'!L59</f>
        <v>1</v>
      </c>
      <c r="H18" s="95">
        <f>'Data Ocupacion'!N59</f>
        <v>1</v>
      </c>
      <c r="I18" s="95">
        <f>'Data Ocupacion'!P59</f>
        <v>0</v>
      </c>
      <c r="J18" s="95">
        <f>'Data Ocupacion'!R59</f>
        <v>0</v>
      </c>
      <c r="K18" s="95">
        <f>'Data Ocupacion'!T59</f>
        <v>1</v>
      </c>
      <c r="L18" s="95">
        <f>'Data Ocupacion'!V59</f>
        <v>1</v>
      </c>
      <c r="M18" s="95">
        <f>'Data Ocupacion'!X59</f>
        <v>1</v>
      </c>
      <c r="N18" s="95">
        <f>'Data Ocupacion'!Z59</f>
        <v>2</v>
      </c>
      <c r="O18" s="95">
        <f>'Data Ocupacion'!AB59</f>
        <v>1</v>
      </c>
      <c r="P18" s="95">
        <f>'Data Ocupacion'!AD59</f>
        <v>0</v>
      </c>
      <c r="Q18" s="95">
        <f>'Data Ocupacion'!AF59</f>
        <v>0</v>
      </c>
      <c r="R18" s="95">
        <f>'Data Ocupacion'!AH59</f>
        <v>1</v>
      </c>
      <c r="S18" s="95">
        <f>'Data Ocupacion'!AJ59</f>
        <v>1</v>
      </c>
      <c r="T18" s="95">
        <f>'Data Ocupacion'!AL59</f>
        <v>1</v>
      </c>
      <c r="U18" s="95">
        <f>'Data Ocupacion'!AN59</f>
        <v>1</v>
      </c>
      <c r="V18" s="95">
        <f>'Data Ocupacion'!AP59</f>
        <v>1</v>
      </c>
      <c r="W18" s="95">
        <f>'Data Ocupacion'!AR59</f>
        <v>0</v>
      </c>
      <c r="X18" s="95">
        <f>'Data Ocupacion'!AT59</f>
        <v>0</v>
      </c>
      <c r="Y18" s="95">
        <f>'Data Ocupacion'!AV59</f>
        <v>1</v>
      </c>
      <c r="Z18" s="95">
        <f>'Data Ocupacion'!AX59</f>
        <v>1</v>
      </c>
      <c r="AA18" s="95">
        <f>'Data Ocupacion'!AZ59</f>
        <v>1</v>
      </c>
      <c r="AB18" s="95">
        <f>'Data Ocupacion'!BB59</f>
        <v>1</v>
      </c>
      <c r="AC18" s="95">
        <f>'Data Ocupacion'!BD59</f>
        <v>1</v>
      </c>
      <c r="AD18" s="95">
        <f>'Data Ocupacion'!BF59</f>
        <v>0</v>
      </c>
    </row>
    <row r="19" spans="1:30" s="85" customFormat="1" ht="14.25" x14ac:dyDescent="0.2">
      <c r="A19" s="208" t="s">
        <v>124</v>
      </c>
      <c r="B19" s="82">
        <v>25.4</v>
      </c>
      <c r="C19" s="95">
        <v>0</v>
      </c>
      <c r="D19" s="83">
        <v>0</v>
      </c>
      <c r="E19" s="83">
        <v>0</v>
      </c>
      <c r="F19" s="83">
        <v>0</v>
      </c>
      <c r="G19" s="83">
        <v>0</v>
      </c>
      <c r="H19" s="83">
        <v>0</v>
      </c>
      <c r="I19" s="83">
        <v>0</v>
      </c>
      <c r="J19" s="95"/>
      <c r="K19" s="83">
        <v>0</v>
      </c>
      <c r="L19" s="95">
        <v>0</v>
      </c>
      <c r="M19" s="83">
        <v>0</v>
      </c>
      <c r="N19" s="83">
        <v>0</v>
      </c>
      <c r="O19" s="83">
        <v>0</v>
      </c>
      <c r="P19" s="83">
        <v>0</v>
      </c>
      <c r="Q19" s="95">
        <v>0</v>
      </c>
      <c r="R19" s="83">
        <v>0</v>
      </c>
      <c r="S19" s="83">
        <v>0</v>
      </c>
      <c r="T19" s="83">
        <v>0</v>
      </c>
      <c r="U19" s="83">
        <v>0</v>
      </c>
      <c r="V19" s="83">
        <v>0</v>
      </c>
      <c r="W19" s="83">
        <v>0</v>
      </c>
      <c r="X19" s="95">
        <v>0</v>
      </c>
      <c r="Y19" s="95">
        <v>0</v>
      </c>
      <c r="Z19" s="95">
        <v>0</v>
      </c>
      <c r="AA19" s="95">
        <v>0</v>
      </c>
      <c r="AB19" s="95">
        <v>0</v>
      </c>
      <c r="AC19" s="95">
        <v>0</v>
      </c>
      <c r="AD19" s="95">
        <v>0</v>
      </c>
    </row>
    <row r="20" spans="1:30" s="85" customFormat="1" ht="14.25" x14ac:dyDescent="0.2">
      <c r="A20" s="208" t="s">
        <v>188</v>
      </c>
      <c r="B20" s="82">
        <v>34.83</v>
      </c>
      <c r="C20" s="95"/>
      <c r="D20" s="83"/>
      <c r="E20" s="83"/>
      <c r="F20" s="83"/>
      <c r="G20" s="83"/>
      <c r="H20" s="83"/>
      <c r="I20" s="83"/>
      <c r="J20" s="95"/>
      <c r="K20" s="83"/>
      <c r="L20" s="95"/>
      <c r="M20" s="83"/>
      <c r="N20" s="83"/>
      <c r="O20" s="83"/>
      <c r="P20" s="83"/>
      <c r="Q20" s="95"/>
      <c r="R20" s="83"/>
      <c r="S20" s="83"/>
      <c r="T20" s="83"/>
      <c r="U20" s="83"/>
      <c r="V20" s="83"/>
      <c r="W20" s="83"/>
      <c r="X20" s="95"/>
      <c r="Y20" s="95">
        <f>'Data Ocupacion'!AV60</f>
        <v>5</v>
      </c>
      <c r="Z20" s="95">
        <f>'Data Ocupacion'!AX60</f>
        <v>5</v>
      </c>
      <c r="AA20" s="95">
        <f>'Data Ocupacion'!AZ60</f>
        <v>5</v>
      </c>
      <c r="AB20" s="95">
        <f>'Data Ocupacion'!BB60</f>
        <v>5</v>
      </c>
      <c r="AC20" s="95">
        <f>'Data Ocupacion'!BD60</f>
        <v>5</v>
      </c>
      <c r="AD20" s="95">
        <f>'Data Ocupacion'!BF60</f>
        <v>5</v>
      </c>
    </row>
    <row r="21" spans="1:30" s="85" customFormat="1" ht="14.25" x14ac:dyDescent="0.2">
      <c r="A21" s="208" t="s">
        <v>189</v>
      </c>
      <c r="B21" s="82">
        <v>8.3000000000000007</v>
      </c>
      <c r="C21" s="95"/>
      <c r="D21" s="83"/>
      <c r="E21" s="83"/>
      <c r="F21" s="83"/>
      <c r="G21" s="83"/>
      <c r="H21" s="83"/>
      <c r="I21" s="83"/>
      <c r="J21" s="95"/>
      <c r="K21" s="83"/>
      <c r="L21" s="95"/>
      <c r="M21" s="83"/>
      <c r="N21" s="83"/>
      <c r="O21" s="83"/>
      <c r="P21" s="83"/>
      <c r="Q21" s="95"/>
      <c r="R21" s="83"/>
      <c r="S21" s="83"/>
      <c r="T21" s="83"/>
      <c r="U21" s="83"/>
      <c r="V21" s="83"/>
      <c r="W21" s="83"/>
      <c r="X21" s="95"/>
      <c r="Y21" s="95">
        <f>'Data Ocupacion'!AV61</f>
        <v>2</v>
      </c>
      <c r="Z21" s="95">
        <f>'Data Ocupacion'!AX61</f>
        <v>2</v>
      </c>
      <c r="AA21" s="95">
        <f>'Data Ocupacion'!AZ61</f>
        <v>2</v>
      </c>
      <c r="AB21" s="95">
        <f>'Data Ocupacion'!BB61</f>
        <v>2</v>
      </c>
      <c r="AC21" s="95">
        <f>'Data Ocupacion'!BD61</f>
        <v>2</v>
      </c>
      <c r="AD21" s="95">
        <f>'Data Ocupacion'!BF61</f>
        <v>2</v>
      </c>
    </row>
    <row r="22" spans="1:30" s="85" customFormat="1" ht="14.25" x14ac:dyDescent="0.2">
      <c r="A22" s="259"/>
      <c r="B22" s="231"/>
      <c r="C22" s="83"/>
      <c r="D22" s="83"/>
      <c r="E22" s="83"/>
      <c r="F22" s="83"/>
      <c r="G22" s="83"/>
      <c r="H22" s="83"/>
      <c r="I22" s="83"/>
      <c r="J22" s="83"/>
      <c r="K22" s="83"/>
      <c r="L22" s="95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95"/>
      <c r="AA22" s="83"/>
      <c r="AB22" s="83"/>
      <c r="AC22" s="83"/>
      <c r="AD22" s="83"/>
    </row>
    <row r="23" spans="1:30" x14ac:dyDescent="0.25">
      <c r="A23" s="86" t="s">
        <v>173</v>
      </c>
      <c r="B23" s="82">
        <v>-17.73</v>
      </c>
      <c r="C23" s="83">
        <f>'KM-Servicio'!Q5</f>
        <v>0</v>
      </c>
      <c r="D23" s="83">
        <f>'KM-Servicio'!Q12</f>
        <v>5</v>
      </c>
      <c r="E23" s="83">
        <f>'KM-Servicio'!Q19</f>
        <v>0</v>
      </c>
      <c r="F23" s="83">
        <f>'KM-Servicio'!Q26</f>
        <v>0</v>
      </c>
      <c r="G23" s="83">
        <f>'KM-Servicio'!Q33</f>
        <v>0</v>
      </c>
      <c r="H23" s="83">
        <f>'KM-Servicio'!Q40</f>
        <v>0</v>
      </c>
      <c r="I23" s="83">
        <f>'KM-Servicio'!Q47</f>
        <v>0</v>
      </c>
      <c r="J23" s="83">
        <f>'KM-Servicio'!Q54</f>
        <v>0</v>
      </c>
      <c r="K23" s="83">
        <f>'KM-Servicio'!Q61</f>
        <v>0</v>
      </c>
      <c r="L23" s="83">
        <f>'KM-Servicio'!Q68</f>
        <v>0</v>
      </c>
      <c r="M23" s="83">
        <f>'KM-Servicio'!Q75</f>
        <v>0</v>
      </c>
      <c r="N23" s="83">
        <f>'KM-Servicio'!Q82</f>
        <v>0</v>
      </c>
      <c r="O23" s="83">
        <f>'KM-Servicio'!Q89</f>
        <v>0</v>
      </c>
      <c r="P23" s="83">
        <f>'KM-Servicio'!Q96</f>
        <v>0</v>
      </c>
      <c r="Q23" s="83">
        <f>'KM-Servicio'!Q103</f>
        <v>0</v>
      </c>
      <c r="R23" s="83">
        <f>'KM-Servicio'!Q110</f>
        <v>0</v>
      </c>
      <c r="S23" s="83">
        <f>'KM-Servicio'!Q117</f>
        <v>0</v>
      </c>
      <c r="T23" s="83">
        <f>'KM-Servicio'!Q124</f>
        <v>1</v>
      </c>
      <c r="U23" s="83">
        <f>'KM-Servicio'!Q131</f>
        <v>0</v>
      </c>
      <c r="V23" s="83">
        <f>'KM-Servicio'!Q138</f>
        <v>0</v>
      </c>
      <c r="W23" s="83">
        <f>'KM-Servicio'!Q145</f>
        <v>0</v>
      </c>
      <c r="X23" s="83">
        <f>'KM-Servicio'!Q152</f>
        <v>0</v>
      </c>
      <c r="Y23" s="83">
        <f>'KM-Servicio'!Q159</f>
        <v>0</v>
      </c>
      <c r="Z23" s="83">
        <f>'KM-Servicio'!Q168</f>
        <v>0</v>
      </c>
      <c r="AA23" s="83">
        <f>'KM-Servicio'!Q177</f>
        <v>0</v>
      </c>
      <c r="AB23" s="83">
        <f>'KM-Servicio'!Q186</f>
        <v>0</v>
      </c>
      <c r="AC23" s="83">
        <f>'KM-Servicio'!Q195</f>
        <v>0</v>
      </c>
      <c r="AD23" s="83">
        <f>'KM-Servicio'!Q204</f>
        <v>0</v>
      </c>
    </row>
    <row r="24" spans="1:30" x14ac:dyDescent="0.25">
      <c r="A24" s="86" t="s">
        <v>174</v>
      </c>
      <c r="B24" s="82">
        <v>-17.73</v>
      </c>
      <c r="C24" s="83">
        <f>'KM-Servicio'!T6</f>
        <v>0</v>
      </c>
      <c r="D24" s="83">
        <f>'KM-Servicio'!T13</f>
        <v>0</v>
      </c>
      <c r="E24" s="83">
        <f>'KM-Servicio'!T20</f>
        <v>0</v>
      </c>
      <c r="F24" s="83">
        <f>'KM-Servicio'!T27</f>
        <v>0</v>
      </c>
      <c r="G24" s="83">
        <f>'KM-Servicio'!T34</f>
        <v>1</v>
      </c>
      <c r="H24" s="83">
        <f>'KM-Servicio'!T41</f>
        <v>0</v>
      </c>
      <c r="I24" s="83">
        <f>'KM-Servicio'!T48</f>
        <v>0</v>
      </c>
      <c r="J24" s="83">
        <f>'KM-Servicio'!T55</f>
        <v>0</v>
      </c>
      <c r="K24" s="83">
        <f>'KM-Servicio'!T62</f>
        <v>0</v>
      </c>
      <c r="L24" s="83">
        <f>'KM-Servicio'!T69</f>
        <v>0</v>
      </c>
      <c r="M24" s="83">
        <f>'KM-Servicio'!T76</f>
        <v>0</v>
      </c>
      <c r="N24" s="83">
        <f>'KM-Servicio'!T83</f>
        <v>0</v>
      </c>
      <c r="O24" s="83">
        <f>'KM-Servicio'!T90</f>
        <v>1</v>
      </c>
      <c r="P24" s="83">
        <f>'KM-Servicio'!T97</f>
        <v>0</v>
      </c>
      <c r="Q24" s="83">
        <f>'KM-Servicio'!T104</f>
        <v>1</v>
      </c>
      <c r="R24" s="83">
        <f>'KM-Servicio'!T111</f>
        <v>0</v>
      </c>
      <c r="S24" s="83">
        <f>'KM-Servicio'!T118</f>
        <v>0</v>
      </c>
      <c r="T24" s="83">
        <f>'KM-Servicio'!T125</f>
        <v>2</v>
      </c>
      <c r="U24" s="83">
        <f>'KM-Servicio'!T132</f>
        <v>4</v>
      </c>
      <c r="V24" s="83">
        <f>'KM-Servicio'!T139</f>
        <v>0</v>
      </c>
      <c r="W24" s="83">
        <f>'KM-Servicio'!T146</f>
        <v>0</v>
      </c>
      <c r="X24" s="83">
        <f>'KM-Servicio'!T153</f>
        <v>0</v>
      </c>
      <c r="Y24" s="83">
        <f>'KM-Servicio'!T160</f>
        <v>3</v>
      </c>
      <c r="Z24" s="83">
        <f>'KM-Servicio'!T169</f>
        <v>3</v>
      </c>
      <c r="AA24" s="83">
        <f>'KM-Servicio'!T178</f>
        <v>3</v>
      </c>
      <c r="AB24" s="83">
        <f>'KM-Servicio'!T187</f>
        <v>3</v>
      </c>
      <c r="AC24" s="83">
        <f>'KM-Servicio'!T196</f>
        <v>3</v>
      </c>
      <c r="AD24" s="83">
        <f>'KM-Servicio'!T205</f>
        <v>0</v>
      </c>
    </row>
    <row r="25" spans="1:30" s="124" customFormat="1" x14ac:dyDescent="0.25">
      <c r="A25" s="298" t="s">
        <v>149</v>
      </c>
      <c r="B25" s="82">
        <v>-14.02</v>
      </c>
      <c r="C25" s="83">
        <f>'KM-Servicio'!U6</f>
        <v>0</v>
      </c>
      <c r="D25" s="83">
        <f>'KM-Servicio'!U13</f>
        <v>0</v>
      </c>
      <c r="E25" s="83">
        <f>'KM-Servicio'!U20</f>
        <v>0</v>
      </c>
      <c r="F25" s="83">
        <f>'KM-Servicio'!U27</f>
        <v>0</v>
      </c>
      <c r="G25" s="83">
        <f>'KM-Servicio'!U34</f>
        <v>0</v>
      </c>
      <c r="H25" s="83">
        <f>'KM-Servicio'!U41</f>
        <v>0</v>
      </c>
      <c r="I25" s="83">
        <f>'KM-Servicio'!U48</f>
        <v>0</v>
      </c>
      <c r="J25" s="83">
        <f>'KM-Servicio'!U55</f>
        <v>0</v>
      </c>
      <c r="K25" s="83">
        <f>'KM-Servicio'!U62</f>
        <v>0</v>
      </c>
      <c r="L25" s="83">
        <f>'KM-Servicio'!U69</f>
        <v>0</v>
      </c>
      <c r="M25" s="83">
        <f>'KM-Servicio'!U76</f>
        <v>0</v>
      </c>
      <c r="N25" s="83">
        <f>'KM-Servicio'!U83</f>
        <v>0</v>
      </c>
      <c r="O25" s="83">
        <f>'KM-Servicio'!U90</f>
        <v>0</v>
      </c>
      <c r="P25" s="83">
        <f>'KM-Servicio'!U97</f>
        <v>0</v>
      </c>
      <c r="Q25" s="83">
        <f>'KM-Servicio'!U104</f>
        <v>0</v>
      </c>
      <c r="R25" s="83">
        <f>'KM-Servicio'!U111</f>
        <v>0</v>
      </c>
      <c r="S25" s="83">
        <f>'KM-Servicio'!U118</f>
        <v>0</v>
      </c>
      <c r="T25" s="83">
        <f>'KM-Servicio'!U125</f>
        <v>0</v>
      </c>
      <c r="U25" s="83">
        <f>'KM-Servicio'!U132</f>
        <v>0</v>
      </c>
      <c r="V25" s="83">
        <f>'KM-Servicio'!U139</f>
        <v>0</v>
      </c>
      <c r="W25" s="83">
        <f>'KM-Servicio'!U146</f>
        <v>0</v>
      </c>
      <c r="X25" s="83">
        <f>'KM-Servicio'!U153</f>
        <v>0</v>
      </c>
      <c r="Y25" s="83">
        <f>'KM-Servicio'!U160</f>
        <v>0</v>
      </c>
      <c r="Z25" s="83">
        <f>'KM-Servicio'!U169</f>
        <v>0</v>
      </c>
      <c r="AA25" s="83">
        <f>'KM-Servicio'!U178</f>
        <v>0</v>
      </c>
      <c r="AB25" s="83">
        <f>'KM-Servicio'!U187</f>
        <v>0</v>
      </c>
      <c r="AC25" s="83">
        <f>'KM-Servicio'!U196</f>
        <v>0</v>
      </c>
      <c r="AD25" s="83">
        <f>'KM-Servicio'!U205</f>
        <v>0</v>
      </c>
    </row>
    <row r="26" spans="1:30" s="124" customFormat="1" x14ac:dyDescent="0.25">
      <c r="A26" s="213" t="s">
        <v>172</v>
      </c>
      <c r="B26" s="82">
        <v>-3.71</v>
      </c>
      <c r="C26" s="83">
        <f>'KM-Servicio'!Q7</f>
        <v>0</v>
      </c>
      <c r="D26" s="83">
        <f>'KM-Servicio'!Q14</f>
        <v>0</v>
      </c>
      <c r="E26" s="83">
        <f>'KM-Servicio'!T20</f>
        <v>0</v>
      </c>
      <c r="F26" s="83">
        <f>'KM-Servicio'!Q28</f>
        <v>0</v>
      </c>
      <c r="G26" s="83">
        <f>'KM-Servicio'!Q35</f>
        <v>0</v>
      </c>
      <c r="H26" s="83">
        <v>0</v>
      </c>
      <c r="I26" s="83">
        <v>0</v>
      </c>
      <c r="J26" s="83">
        <v>0</v>
      </c>
      <c r="K26" s="83">
        <v>0</v>
      </c>
      <c r="L26" s="83">
        <v>0</v>
      </c>
      <c r="M26" s="83">
        <v>0</v>
      </c>
      <c r="N26" s="83">
        <v>0</v>
      </c>
      <c r="O26" s="83">
        <v>0</v>
      </c>
      <c r="P26" s="83">
        <v>0</v>
      </c>
      <c r="Q26" s="83">
        <v>0</v>
      </c>
      <c r="R26" s="83">
        <v>0</v>
      </c>
      <c r="S26" s="83">
        <v>0</v>
      </c>
      <c r="T26" s="83">
        <v>0</v>
      </c>
      <c r="U26" s="83">
        <v>0</v>
      </c>
      <c r="V26" s="83">
        <v>0</v>
      </c>
      <c r="W26" s="83">
        <v>0</v>
      </c>
      <c r="X26" s="83">
        <v>0</v>
      </c>
      <c r="Y26" s="83">
        <v>0</v>
      </c>
      <c r="Z26" s="83">
        <v>0</v>
      </c>
      <c r="AA26" s="83">
        <v>0</v>
      </c>
      <c r="AB26" s="83">
        <v>0</v>
      </c>
      <c r="AC26" s="83">
        <v>0</v>
      </c>
      <c r="AD26" s="83">
        <v>0</v>
      </c>
    </row>
    <row r="27" spans="1:30" s="124" customFormat="1" x14ac:dyDescent="0.25">
      <c r="A27" s="207" t="s">
        <v>171</v>
      </c>
      <c r="B27" s="82">
        <v>-25.4</v>
      </c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</row>
    <row r="28" spans="1:30" s="124" customFormat="1" x14ac:dyDescent="0.25">
      <c r="A28" s="213" t="s">
        <v>154</v>
      </c>
      <c r="B28" s="82">
        <v>17.73</v>
      </c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</row>
    <row r="29" spans="1:30" s="124" customFormat="1" x14ac:dyDescent="0.25">
      <c r="A29" s="213" t="s">
        <v>159</v>
      </c>
      <c r="B29" s="82">
        <v>-12.73</v>
      </c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</row>
    <row r="30" spans="1:30" x14ac:dyDescent="0.25">
      <c r="A30" s="87"/>
      <c r="B30" s="82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</row>
    <row r="31" spans="1:30" x14ac:dyDescent="0.25">
      <c r="A31" s="88" t="s">
        <v>84</v>
      </c>
      <c r="B31" s="223">
        <f t="shared" ref="B31:B38" si="0">SUM(C31:AD31)</f>
        <v>5518</v>
      </c>
      <c r="C31" s="91">
        <f t="shared" ref="C31:W31" si="1">SUM(C5:C10)</f>
        <v>111</v>
      </c>
      <c r="D31" s="91">
        <f t="shared" si="1"/>
        <v>223</v>
      </c>
      <c r="E31" s="91">
        <f t="shared" si="1"/>
        <v>223</v>
      </c>
      <c r="F31" s="91">
        <f t="shared" si="1"/>
        <v>217</v>
      </c>
      <c r="G31" s="91">
        <f t="shared" si="1"/>
        <v>223</v>
      </c>
      <c r="H31" s="91">
        <f t="shared" si="1"/>
        <v>223</v>
      </c>
      <c r="I31" s="91">
        <f t="shared" si="1"/>
        <v>147</v>
      </c>
      <c r="J31" s="91">
        <f t="shared" si="1"/>
        <v>111</v>
      </c>
      <c r="K31" s="91">
        <f t="shared" si="1"/>
        <v>223</v>
      </c>
      <c r="L31" s="91">
        <f t="shared" si="1"/>
        <v>223</v>
      </c>
      <c r="M31" s="91">
        <f t="shared" si="1"/>
        <v>223</v>
      </c>
      <c r="N31" s="91">
        <f t="shared" si="1"/>
        <v>223</v>
      </c>
      <c r="O31" s="91">
        <f t="shared" si="1"/>
        <v>223</v>
      </c>
      <c r="P31" s="91">
        <f t="shared" si="1"/>
        <v>147</v>
      </c>
      <c r="Q31" s="91">
        <f>SUM(Q5:Q11)</f>
        <v>111</v>
      </c>
      <c r="R31" s="91">
        <f t="shared" si="1"/>
        <v>223</v>
      </c>
      <c r="S31" s="91">
        <f t="shared" si="1"/>
        <v>223</v>
      </c>
      <c r="T31" s="91">
        <f t="shared" si="1"/>
        <v>222</v>
      </c>
      <c r="U31" s="91">
        <f t="shared" si="1"/>
        <v>223</v>
      </c>
      <c r="V31" s="91">
        <f t="shared" si="1"/>
        <v>220</v>
      </c>
      <c r="W31" s="91">
        <f t="shared" si="1"/>
        <v>147</v>
      </c>
      <c r="X31" s="91">
        <f t="shared" ref="X31:AD31" si="2">SUM(X5:X12)</f>
        <v>111</v>
      </c>
      <c r="Y31" s="91">
        <f t="shared" si="2"/>
        <v>229</v>
      </c>
      <c r="Z31" s="91">
        <f t="shared" si="2"/>
        <v>229</v>
      </c>
      <c r="AA31" s="91">
        <f t="shared" si="2"/>
        <v>229</v>
      </c>
      <c r="AB31" s="91">
        <f t="shared" si="2"/>
        <v>229</v>
      </c>
      <c r="AC31" s="91">
        <f t="shared" si="2"/>
        <v>229</v>
      </c>
      <c r="AD31" s="91">
        <f t="shared" si="2"/>
        <v>153</v>
      </c>
    </row>
    <row r="32" spans="1:30" x14ac:dyDescent="0.25">
      <c r="A32" s="90" t="s">
        <v>65</v>
      </c>
      <c r="B32" s="223">
        <f t="shared" si="0"/>
        <v>5756</v>
      </c>
      <c r="C32" s="91">
        <f t="shared" ref="C32:W32" si="3">SUM(C14:C19)</f>
        <v>114</v>
      </c>
      <c r="D32" s="91">
        <f t="shared" si="3"/>
        <v>239</v>
      </c>
      <c r="E32" s="91">
        <f t="shared" si="3"/>
        <v>226</v>
      </c>
      <c r="F32" s="91">
        <f t="shared" si="3"/>
        <v>224</v>
      </c>
      <c r="G32" s="91">
        <f t="shared" si="3"/>
        <v>227</v>
      </c>
      <c r="H32" s="91">
        <f t="shared" si="3"/>
        <v>228</v>
      </c>
      <c r="I32" s="91">
        <f t="shared" si="3"/>
        <v>150</v>
      </c>
      <c r="J32" s="91">
        <f t="shared" si="3"/>
        <v>114</v>
      </c>
      <c r="K32" s="91">
        <f t="shared" si="3"/>
        <v>226</v>
      </c>
      <c r="L32" s="91">
        <f t="shared" si="3"/>
        <v>226</v>
      </c>
      <c r="M32" s="91">
        <f t="shared" si="3"/>
        <v>226</v>
      </c>
      <c r="N32" s="91">
        <f t="shared" si="3"/>
        <v>226</v>
      </c>
      <c r="O32" s="91">
        <f t="shared" si="3"/>
        <v>228</v>
      </c>
      <c r="P32" s="91">
        <f t="shared" si="3"/>
        <v>150</v>
      </c>
      <c r="Q32" s="91">
        <f>SUM(Q14:Q20)</f>
        <v>124</v>
      </c>
      <c r="R32" s="91">
        <f t="shared" si="3"/>
        <v>226</v>
      </c>
      <c r="S32" s="91">
        <f t="shared" si="3"/>
        <v>226</v>
      </c>
      <c r="T32" s="91">
        <f t="shared" si="3"/>
        <v>280</v>
      </c>
      <c r="U32" s="91">
        <f t="shared" si="3"/>
        <v>250</v>
      </c>
      <c r="V32" s="91">
        <f t="shared" si="3"/>
        <v>223</v>
      </c>
      <c r="W32" s="91">
        <f t="shared" si="3"/>
        <v>150</v>
      </c>
      <c r="X32" s="91">
        <f t="shared" ref="X32:AD32" si="4">SUM(X14:X21)</f>
        <v>132</v>
      </c>
      <c r="Y32" s="91">
        <f t="shared" si="4"/>
        <v>237</v>
      </c>
      <c r="Z32" s="91">
        <f t="shared" si="4"/>
        <v>237</v>
      </c>
      <c r="AA32" s="91">
        <f t="shared" si="4"/>
        <v>237</v>
      </c>
      <c r="AB32" s="91">
        <f t="shared" si="4"/>
        <v>237</v>
      </c>
      <c r="AC32" s="91">
        <f t="shared" si="4"/>
        <v>237</v>
      </c>
      <c r="AD32" s="91">
        <f t="shared" si="4"/>
        <v>156</v>
      </c>
    </row>
    <row r="33" spans="1:30" x14ac:dyDescent="0.25">
      <c r="A33" s="90" t="s">
        <v>92</v>
      </c>
      <c r="B33" s="223">
        <f t="shared" si="0"/>
        <v>228627.33</v>
      </c>
      <c r="C33" s="91">
        <f>(C14*$B$14+C15*$B$15+C16*$B$16+C17*$B$17+C19*$B$19+C24*$B$24+C18*$B$18+C23*$B$23+C26*$B$26+C27*$B$27+C25*B25)</f>
        <v>4916.8200000000006</v>
      </c>
      <c r="D33" s="91">
        <f>(D14*$B$14+D15*$B$15+D16*$B$16+D17*$B$17+D19*$B$19+D24*$B$24+D18*$B$18+D23*$B$23+D25*$B$25+D27*$B$27+D28*B28+D26*B26)</f>
        <v>9290.3900000000012</v>
      </c>
      <c r="E33" s="91">
        <f>(E14*$B$14+E15*$B$15+E16*$B$16+E17*$B$17+E19*$B$19+E24*$B$24+E18*$B$18+E23*$B$23+E25*$B$25+E27*$B$27+E28*B28+E26*B26)</f>
        <v>8818.35</v>
      </c>
      <c r="F33" s="91">
        <f>(F14*$B$14+F15*$B$15+F16*$B$16+F17*$B$17+F19*$B$19+F24*$B$24+F18*$B$18+F23*$B$23+F25*$B$25+F26*$B$26+F28*B28)</f>
        <v>8802.19</v>
      </c>
      <c r="G33" s="91">
        <f>(G14*$B$14+G15*$B$15+G16*$B$16+G17*$B$17+G19*$B$19+G24*$B$24+G18*$B$18+G23*$B$23+G25*$B$25+G26*$B$26+G28*B28)</f>
        <v>8843.75</v>
      </c>
      <c r="H33" s="91">
        <f>(H14*$B$14+H15*$B$15+H16*$B$16+H17*$B$17+H19*$B$19+H24*$B$24+H18*$B$18+H23*$B$23+H25*$B$25+H26*$B$26+H28*B28+H29*B29)</f>
        <v>8904.61</v>
      </c>
      <c r="I33" s="91">
        <f>(I14*$B$14+I15*$B$15+I16*$B$16+I17*$B$17+I19*$B$19+I24*$B$24+I18*$B$18+I23*$B$23+I25*$B$25+I26*$B$26+I28*B28)</f>
        <v>6469.5</v>
      </c>
      <c r="J33" s="91">
        <f>(J14*$B$14+J15*$B$15+J16*$B$16+J17*$B$17+J19*$B$19+J24*$B$24+J18*$B$18+J23*$B$23+J25*$B$25+J26*$B$26+J28*B28)</f>
        <v>4916.8200000000006</v>
      </c>
      <c r="K33" s="91">
        <f>(K14*$B$14+K15*$B$15+K16*$B$16+K17*$B$17+K19*$B$19+K24*$B$24+K18*$B$18+K23*$B$23+K25*$B$25+K26*$B$26+K28*B28)</f>
        <v>8818.35</v>
      </c>
      <c r="L33" s="91">
        <f>(L14*$B$14+L15*$B$15+L16*$B$16+L17*$B$17+L19*$B$19+L24*$B$24+L18*$B$18+L23*$B$23+L25*$B$25+L26*$B$26+L28*B28)</f>
        <v>8818.35</v>
      </c>
      <c r="M33" s="91">
        <f>(M14*$B$14+M15*$B$15+M16*$B$16+M17*$B$17+M19*$B$19+M24*$B$24+M18*$B$18+M23*$B$23+M25*$B$25+M26*$B$26+M28*B28)</f>
        <v>8818.35</v>
      </c>
      <c r="N33" s="91">
        <f>(N14*$B$14+N15*$B$15+N16*$B$16+N17*$B$17+N19*$B$19+N24*$B$24+N18*$B$18+N23*$B$23+N25*$B$25+N26*$B$26+N28*B28)</f>
        <v>8828.66</v>
      </c>
      <c r="O33" s="91">
        <f>(O14*$B$14+O15*$B$15+O16*$B$16+O17*$B$17+O19*$B$19+O24*$B$24+O18*$B$18+O23*$B$23+O25*$B$25+O26*$B$26+O27*B27)</f>
        <v>8886.880000000001</v>
      </c>
      <c r="P33" s="91">
        <f>(P14*$B$14+P15*$B$15+P16*$B$16+P17*$B$17+P19*$B$19+P24*$B$24+P18*$B$18+P23*$B$23+P25*$B$25+P26*$B$26+P28*B28)</f>
        <v>6469.5</v>
      </c>
      <c r="Q33" s="91">
        <f>(Q14*$B$14+Q15*$B$15+Q16*$B$16+Q17*$B$17+Q19*$B$19+Q20*B20+Q24*$B$24+Q18*$B$18+Q23*$B$23+Q25*$B$25+Q26*$B$26)</f>
        <v>5330.39</v>
      </c>
      <c r="R33" s="91">
        <f>(R14*$B$14+R15*$B$15+R16*$B$16+R17*$B$17+R19*$B$19+R24*$B$24+R18*$B$18+R23*$B$23+R25*$B$25+R26*$B$26)</f>
        <v>8818.35</v>
      </c>
      <c r="S33" s="91">
        <f>(S14*$B$14+S15*$B$15+S16*$B$16+S17*$B$17+S19*$B$19+S24*$B$24+S18*$B$18+S23*$B$23+S25*$B$25+S26*$B$26)</f>
        <v>8832.3700000000008</v>
      </c>
      <c r="T33" s="91">
        <f>(T14*$B$14+T15*$B$15+T16*$B$16+T17*$B$17+T19*$B$19+T24*$B$24+T18*$B$18+T23*$B$23+T25*$B$25+T26*$B$26)</f>
        <v>11108.200000000003</v>
      </c>
      <c r="U33" s="91">
        <f>(U14*$B$14+U15*$B$15+U16*$B$16+U17*$B$17+U19*$B$19+U24*$B$24+U18*$B$18+U23*$B$23+U25*$B$25+U26*$B$26+U28*B28)</f>
        <v>9782.5499999999993</v>
      </c>
      <c r="V33" s="91">
        <f>(V14*$B$14+V15*$B$15+V16*$B$16+V17*$B$17+V19*$B$19+V24*$B$24+V18*$B$18+V23*$B$23+V25*$B$25+V26*$B$26+V28*B28)</f>
        <v>8731.02</v>
      </c>
      <c r="W33" s="91">
        <f>(W14*$B$14+W15*$B$15+W16*$B$16+W17*$B$17+W19*$B$19+W24*$B$24+W18*$B$18+W23*$B$23+W25*$B$25+W26*$B$26)</f>
        <v>6469.5</v>
      </c>
      <c r="X33" s="91">
        <f>(X14*$B$14+X15*$B$15+X16*$B$16+X17*$B$17+X19*$B$19+X21*B21+X24*$B$24+X18*$B$18+X23*$B$23+X25*$B$25+X26*$B$26)</f>
        <v>5693.1600000000008</v>
      </c>
      <c r="Y33" s="91">
        <f>(Y14*$B$14+Y15*$B$15+Y16*$B$16+Y17*$B$17+Y19*$B$19+Y24*$B$24+Y18*$B$18+Y23*$B$23+Y25*$B$25+Y26*$B$26+Y20*$B$20+Y21*$B$21)</f>
        <v>9128.43</v>
      </c>
      <c r="Z33" s="91">
        <f t="shared" ref="Z33:AD33" si="5">(Z14*$B$14+Z15*$B$15+Z16*$B$16+Z17*$B$17+Z19*$B$19+Z24*$B$24+Z18*$B$18+Z23*$B$23+Z25*$B$25+Z26*$B$26+Z20*$B$20+Z21*$B$21)</f>
        <v>9128.43</v>
      </c>
      <c r="AA33" s="91">
        <f t="shared" si="5"/>
        <v>9128.43</v>
      </c>
      <c r="AB33" s="91">
        <f t="shared" si="5"/>
        <v>9128.43</v>
      </c>
      <c r="AC33" s="91">
        <f t="shared" si="5"/>
        <v>9128.43</v>
      </c>
      <c r="AD33" s="91">
        <f t="shared" si="5"/>
        <v>6617.1200000000008</v>
      </c>
    </row>
    <row r="34" spans="1:30" x14ac:dyDescent="0.25">
      <c r="A34" s="90" t="s">
        <v>93</v>
      </c>
      <c r="B34" s="223">
        <f t="shared" si="0"/>
        <v>218958.11000000002</v>
      </c>
      <c r="C34" s="91">
        <f t="shared" ref="C34:W34" si="6">$B$5*C5+$B$6*C6+$B$7*C7+$B$8*C8+$B$10*C10+$B$9*C9</f>
        <v>4787.43</v>
      </c>
      <c r="D34" s="91">
        <f t="shared" si="6"/>
        <v>8688.9599999999991</v>
      </c>
      <c r="E34" s="91">
        <f t="shared" si="6"/>
        <v>8688.9599999999991</v>
      </c>
      <c r="F34" s="91">
        <f t="shared" si="6"/>
        <v>8514.2999999999993</v>
      </c>
      <c r="G34" s="91">
        <f t="shared" si="6"/>
        <v>8688.9599999999991</v>
      </c>
      <c r="H34" s="91">
        <f t="shared" si="6"/>
        <v>8688.9599999999991</v>
      </c>
      <c r="I34" s="91">
        <f t="shared" si="6"/>
        <v>6340.1100000000006</v>
      </c>
      <c r="J34" s="91">
        <f t="shared" si="6"/>
        <v>4787.43</v>
      </c>
      <c r="K34" s="91">
        <f t="shared" si="6"/>
        <v>8688.9599999999991</v>
      </c>
      <c r="L34" s="91">
        <f t="shared" si="6"/>
        <v>8688.9599999999991</v>
      </c>
      <c r="M34" s="91">
        <f t="shared" si="6"/>
        <v>8688.9599999999991</v>
      </c>
      <c r="N34" s="91">
        <f t="shared" si="6"/>
        <v>8699.27</v>
      </c>
      <c r="O34" s="91">
        <f t="shared" si="6"/>
        <v>8688.9599999999991</v>
      </c>
      <c r="P34" s="91">
        <f t="shared" si="6"/>
        <v>6340.1100000000006</v>
      </c>
      <c r="Q34" s="91">
        <f>$B$5*Q5+$B$6*Q6+$B$7*Q7+$B$8*Q8+$B$10*Q10+$B$9*Q9+Q11*B11</f>
        <v>4787.43</v>
      </c>
      <c r="R34" s="91">
        <f t="shared" si="6"/>
        <v>8688.9599999999991</v>
      </c>
      <c r="S34" s="91">
        <f t="shared" si="6"/>
        <v>8702.9800000000014</v>
      </c>
      <c r="T34" s="91">
        <f t="shared" si="6"/>
        <v>8659.85</v>
      </c>
      <c r="U34" s="91">
        <f t="shared" si="6"/>
        <v>8688.9599999999991</v>
      </c>
      <c r="V34" s="91">
        <f t="shared" si="6"/>
        <v>8601.6299999999992</v>
      </c>
      <c r="W34" s="91">
        <f t="shared" si="6"/>
        <v>6340.1100000000006</v>
      </c>
      <c r="X34" s="91">
        <f>$B$5*X5+$B$6*X6+$B$7*X7+$B$8*X8+$B$10*X10+$B$9*X9+X12*B12</f>
        <v>4787.43</v>
      </c>
      <c r="Y34" s="91">
        <f>$B$5*Y5+$B$6*Y6+$B$7*Y7+$B$8*Y8+$B$10*Y10+$B$9*Y9+$B$11*Y11+$B$12*Y12</f>
        <v>8844.8799999999992</v>
      </c>
      <c r="Z34" s="91">
        <f t="shared" ref="Z34:AD34" si="7">$B$5*Z5+$B$6*Z6+$B$7*Z7+$B$8*Z8+$B$10*Z10+$B$9*Z9+$B$11*Z11+$B$12*Z12</f>
        <v>8844.8799999999992</v>
      </c>
      <c r="AA34" s="91">
        <f t="shared" si="7"/>
        <v>8844.8799999999992</v>
      </c>
      <c r="AB34" s="91">
        <f t="shared" si="7"/>
        <v>8844.8799999999992</v>
      </c>
      <c r="AC34" s="91">
        <f t="shared" si="7"/>
        <v>8844.8799999999992</v>
      </c>
      <c r="AD34" s="91">
        <f t="shared" si="7"/>
        <v>6496.0300000000007</v>
      </c>
    </row>
    <row r="35" spans="1:30" x14ac:dyDescent="0.25">
      <c r="A35" s="90" t="s">
        <v>94</v>
      </c>
      <c r="B35" s="223">
        <f t="shared" si="0"/>
        <v>23777242.319999997</v>
      </c>
      <c r="C35" s="91">
        <f t="shared" ref="C35:AD35" si="8">C33*104</f>
        <v>511349.28000000009</v>
      </c>
      <c r="D35" s="91">
        <f t="shared" si="8"/>
        <v>966200.56000000017</v>
      </c>
      <c r="E35" s="91">
        <f t="shared" si="8"/>
        <v>917108.4</v>
      </c>
      <c r="F35" s="91">
        <f t="shared" si="8"/>
        <v>915427.76</v>
      </c>
      <c r="G35" s="91">
        <f t="shared" si="8"/>
        <v>919750</v>
      </c>
      <c r="H35" s="91">
        <f t="shared" si="8"/>
        <v>926079.44000000006</v>
      </c>
      <c r="I35" s="91">
        <f t="shared" si="8"/>
        <v>672828</v>
      </c>
      <c r="J35" s="91">
        <f t="shared" si="8"/>
        <v>511349.28000000009</v>
      </c>
      <c r="K35" s="91">
        <f t="shared" si="8"/>
        <v>917108.4</v>
      </c>
      <c r="L35" s="91">
        <f t="shared" si="8"/>
        <v>917108.4</v>
      </c>
      <c r="M35" s="91">
        <f t="shared" si="8"/>
        <v>917108.4</v>
      </c>
      <c r="N35" s="91">
        <f t="shared" si="8"/>
        <v>918180.64</v>
      </c>
      <c r="O35" s="91">
        <f t="shared" si="8"/>
        <v>924235.52000000014</v>
      </c>
      <c r="P35" s="91">
        <f t="shared" si="8"/>
        <v>672828</v>
      </c>
      <c r="Q35" s="91">
        <f t="shared" si="8"/>
        <v>554360.56000000006</v>
      </c>
      <c r="R35" s="91">
        <f t="shared" si="8"/>
        <v>917108.4</v>
      </c>
      <c r="S35" s="91">
        <f t="shared" si="8"/>
        <v>918566.4800000001</v>
      </c>
      <c r="T35" s="91">
        <f t="shared" si="8"/>
        <v>1155252.8000000003</v>
      </c>
      <c r="U35" s="91">
        <f t="shared" si="8"/>
        <v>1017385.2</v>
      </c>
      <c r="V35" s="91">
        <f t="shared" si="8"/>
        <v>908026.08000000007</v>
      </c>
      <c r="W35" s="91">
        <f t="shared" si="8"/>
        <v>672828</v>
      </c>
      <c r="X35" s="91">
        <f t="shared" si="8"/>
        <v>592088.64000000013</v>
      </c>
      <c r="Y35" s="91">
        <f t="shared" si="8"/>
        <v>949356.72</v>
      </c>
      <c r="Z35" s="91">
        <f t="shared" si="8"/>
        <v>949356.72</v>
      </c>
      <c r="AA35" s="91">
        <f t="shared" si="8"/>
        <v>949356.72</v>
      </c>
      <c r="AB35" s="91">
        <f t="shared" si="8"/>
        <v>949356.72</v>
      </c>
      <c r="AC35" s="91">
        <f t="shared" si="8"/>
        <v>949356.72</v>
      </c>
      <c r="AD35" s="91">
        <f t="shared" si="8"/>
        <v>688180.4800000001</v>
      </c>
    </row>
    <row r="36" spans="1:30" x14ac:dyDescent="0.25">
      <c r="A36" s="90" t="s">
        <v>95</v>
      </c>
      <c r="B36" s="89">
        <f t="shared" si="0"/>
        <v>457254.66</v>
      </c>
      <c r="C36" s="91">
        <f>C33*2</f>
        <v>9833.6400000000012</v>
      </c>
      <c r="D36" s="91">
        <f t="shared" ref="D36:AD36" si="9">D33*2</f>
        <v>18580.780000000002</v>
      </c>
      <c r="E36" s="91">
        <f t="shared" si="9"/>
        <v>17636.7</v>
      </c>
      <c r="F36" s="91">
        <f t="shared" si="9"/>
        <v>17604.38</v>
      </c>
      <c r="G36" s="91">
        <f t="shared" si="9"/>
        <v>17687.5</v>
      </c>
      <c r="H36" s="91">
        <f t="shared" si="9"/>
        <v>17809.22</v>
      </c>
      <c r="I36" s="91">
        <f t="shared" si="9"/>
        <v>12939</v>
      </c>
      <c r="J36" s="91">
        <f t="shared" si="9"/>
        <v>9833.6400000000012</v>
      </c>
      <c r="K36" s="91">
        <f t="shared" si="9"/>
        <v>17636.7</v>
      </c>
      <c r="L36" s="91">
        <f t="shared" si="9"/>
        <v>17636.7</v>
      </c>
      <c r="M36" s="91">
        <f t="shared" si="9"/>
        <v>17636.7</v>
      </c>
      <c r="N36" s="91">
        <f t="shared" si="9"/>
        <v>17657.32</v>
      </c>
      <c r="O36" s="91">
        <f t="shared" si="9"/>
        <v>17773.760000000002</v>
      </c>
      <c r="P36" s="91">
        <f t="shared" si="9"/>
        <v>12939</v>
      </c>
      <c r="Q36" s="91">
        <f t="shared" si="9"/>
        <v>10660.78</v>
      </c>
      <c r="R36" s="91">
        <f t="shared" si="9"/>
        <v>17636.7</v>
      </c>
      <c r="S36" s="91">
        <f t="shared" si="9"/>
        <v>17664.740000000002</v>
      </c>
      <c r="T36" s="91">
        <f t="shared" si="9"/>
        <v>22216.400000000005</v>
      </c>
      <c r="U36" s="91">
        <f t="shared" si="9"/>
        <v>19565.099999999999</v>
      </c>
      <c r="V36" s="91">
        <f t="shared" si="9"/>
        <v>17462.04</v>
      </c>
      <c r="W36" s="91">
        <f t="shared" si="9"/>
        <v>12939</v>
      </c>
      <c r="X36" s="91">
        <f t="shared" si="9"/>
        <v>11386.320000000002</v>
      </c>
      <c r="Y36" s="91">
        <f t="shared" si="9"/>
        <v>18256.86</v>
      </c>
      <c r="Z36" s="91">
        <f t="shared" si="9"/>
        <v>18256.86</v>
      </c>
      <c r="AA36" s="91">
        <f t="shared" si="9"/>
        <v>18256.86</v>
      </c>
      <c r="AB36" s="91">
        <f t="shared" si="9"/>
        <v>18256.86</v>
      </c>
      <c r="AC36" s="91">
        <f t="shared" si="9"/>
        <v>18256.86</v>
      </c>
      <c r="AD36" s="91">
        <f t="shared" si="9"/>
        <v>13234.240000000002</v>
      </c>
    </row>
    <row r="37" spans="1:30" x14ac:dyDescent="0.25">
      <c r="A37" s="90" t="s">
        <v>96</v>
      </c>
      <c r="B37" s="89">
        <f t="shared" si="0"/>
        <v>2083672</v>
      </c>
      <c r="C37" s="91">
        <f>+C32*362</f>
        <v>41268</v>
      </c>
      <c r="D37" s="91">
        <f t="shared" ref="D37:AD37" si="10">+D32*362</f>
        <v>86518</v>
      </c>
      <c r="E37" s="91">
        <f t="shared" si="10"/>
        <v>81812</v>
      </c>
      <c r="F37" s="91">
        <f t="shared" si="10"/>
        <v>81088</v>
      </c>
      <c r="G37" s="91">
        <f t="shared" si="10"/>
        <v>82174</v>
      </c>
      <c r="H37" s="91">
        <f t="shared" si="10"/>
        <v>82536</v>
      </c>
      <c r="I37" s="91">
        <f t="shared" si="10"/>
        <v>54300</v>
      </c>
      <c r="J37" s="91">
        <f t="shared" si="10"/>
        <v>41268</v>
      </c>
      <c r="K37" s="91">
        <f t="shared" si="10"/>
        <v>81812</v>
      </c>
      <c r="L37" s="91">
        <f t="shared" si="10"/>
        <v>81812</v>
      </c>
      <c r="M37" s="91">
        <f t="shared" si="10"/>
        <v>81812</v>
      </c>
      <c r="N37" s="91">
        <f t="shared" si="10"/>
        <v>81812</v>
      </c>
      <c r="O37" s="91">
        <f t="shared" si="10"/>
        <v>82536</v>
      </c>
      <c r="P37" s="91">
        <f t="shared" si="10"/>
        <v>54300</v>
      </c>
      <c r="Q37" s="91">
        <f t="shared" si="10"/>
        <v>44888</v>
      </c>
      <c r="R37" s="91">
        <f t="shared" si="10"/>
        <v>81812</v>
      </c>
      <c r="S37" s="91">
        <f t="shared" si="10"/>
        <v>81812</v>
      </c>
      <c r="T37" s="91">
        <f t="shared" si="10"/>
        <v>101360</v>
      </c>
      <c r="U37" s="91">
        <f t="shared" si="10"/>
        <v>90500</v>
      </c>
      <c r="V37" s="91">
        <f t="shared" si="10"/>
        <v>80726</v>
      </c>
      <c r="W37" s="91">
        <f t="shared" si="10"/>
        <v>54300</v>
      </c>
      <c r="X37" s="91">
        <f t="shared" si="10"/>
        <v>47784</v>
      </c>
      <c r="Y37" s="91">
        <f t="shared" si="10"/>
        <v>85794</v>
      </c>
      <c r="Z37" s="91">
        <f t="shared" si="10"/>
        <v>85794</v>
      </c>
      <c r="AA37" s="91">
        <f t="shared" si="10"/>
        <v>85794</v>
      </c>
      <c r="AB37" s="91">
        <f t="shared" si="10"/>
        <v>85794</v>
      </c>
      <c r="AC37" s="91">
        <f t="shared" si="10"/>
        <v>85794</v>
      </c>
      <c r="AD37" s="91">
        <f t="shared" si="10"/>
        <v>56472</v>
      </c>
    </row>
    <row r="38" spans="1:30" ht="14.25" customHeight="1" x14ac:dyDescent="0.25">
      <c r="A38" s="92" t="s">
        <v>97</v>
      </c>
      <c r="B38" s="223">
        <f t="shared" si="0"/>
        <v>18130147.269000001</v>
      </c>
      <c r="C38" s="91">
        <f>C33*79.3</f>
        <v>389903.82600000006</v>
      </c>
      <c r="D38" s="91">
        <f t="shared" ref="D38:AD38" si="11">D33*79.3</f>
        <v>736727.92700000003</v>
      </c>
      <c r="E38" s="91">
        <f t="shared" si="11"/>
        <v>699295.15500000003</v>
      </c>
      <c r="F38" s="91">
        <f t="shared" si="11"/>
        <v>698013.66700000002</v>
      </c>
      <c r="G38" s="91">
        <f t="shared" si="11"/>
        <v>701309.375</v>
      </c>
      <c r="H38" s="91">
        <f t="shared" si="11"/>
        <v>706135.57299999997</v>
      </c>
      <c r="I38" s="91">
        <f t="shared" si="11"/>
        <v>513031.35</v>
      </c>
      <c r="J38" s="91">
        <f t="shared" si="11"/>
        <v>389903.82600000006</v>
      </c>
      <c r="K38" s="91">
        <f t="shared" si="11"/>
        <v>699295.15500000003</v>
      </c>
      <c r="L38" s="91">
        <f t="shared" si="11"/>
        <v>699295.15500000003</v>
      </c>
      <c r="M38" s="91">
        <f t="shared" si="11"/>
        <v>699295.15500000003</v>
      </c>
      <c r="N38" s="91">
        <f t="shared" si="11"/>
        <v>700112.73800000001</v>
      </c>
      <c r="O38" s="91">
        <f t="shared" si="11"/>
        <v>704729.58400000003</v>
      </c>
      <c r="P38" s="91">
        <f t="shared" si="11"/>
        <v>513031.35</v>
      </c>
      <c r="Q38" s="91">
        <f t="shared" si="11"/>
        <v>422699.92700000003</v>
      </c>
      <c r="R38" s="91">
        <f t="shared" si="11"/>
        <v>699295.15500000003</v>
      </c>
      <c r="S38" s="91">
        <f t="shared" si="11"/>
        <v>700406.94099999999</v>
      </c>
      <c r="T38" s="91">
        <f t="shared" si="11"/>
        <v>880880.26000000013</v>
      </c>
      <c r="U38" s="91">
        <f t="shared" si="11"/>
        <v>775756.21499999997</v>
      </c>
      <c r="V38" s="91">
        <f t="shared" si="11"/>
        <v>692369.88600000006</v>
      </c>
      <c r="W38" s="91">
        <f t="shared" si="11"/>
        <v>513031.35</v>
      </c>
      <c r="X38" s="91">
        <f t="shared" si="11"/>
        <v>451467.58800000005</v>
      </c>
      <c r="Y38" s="91">
        <f t="shared" si="11"/>
        <v>723884.49899999995</v>
      </c>
      <c r="Z38" s="91">
        <f t="shared" si="11"/>
        <v>723884.49899999995</v>
      </c>
      <c r="AA38" s="91">
        <f t="shared" si="11"/>
        <v>723884.49899999995</v>
      </c>
      <c r="AB38" s="91">
        <f t="shared" si="11"/>
        <v>723884.49899999995</v>
      </c>
      <c r="AC38" s="91">
        <f>AC33*79.3</f>
        <v>723884.49899999995</v>
      </c>
      <c r="AD38" s="91">
        <f t="shared" si="11"/>
        <v>524737.61600000004</v>
      </c>
    </row>
    <row r="39" spans="1:30" x14ac:dyDescent="0.25"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91"/>
      <c r="O39" s="8"/>
    </row>
    <row r="40" spans="1:30" x14ac:dyDescent="0.25"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</row>
    <row r="42" spans="1:30" x14ac:dyDescent="0.25">
      <c r="C42" s="172"/>
      <c r="D42" s="291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</row>
    <row r="43" spans="1:30" x14ac:dyDescent="0.25">
      <c r="E43" s="43"/>
      <c r="F43" s="133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3"/>
      <c r="Y43" s="43"/>
      <c r="AB43" s="8"/>
    </row>
    <row r="44" spans="1:30" x14ac:dyDescent="0.25">
      <c r="E44" s="43"/>
      <c r="F44" s="43"/>
      <c r="G44" s="43"/>
      <c r="H44" s="124"/>
      <c r="I44" s="43"/>
      <c r="J44" s="43"/>
      <c r="K44" s="124"/>
      <c r="L44" s="43"/>
      <c r="M44" s="43"/>
      <c r="N44" s="43"/>
      <c r="O44" s="124"/>
      <c r="P44" s="43"/>
      <c r="Q44" s="43"/>
      <c r="R44" s="43"/>
      <c r="S44" s="124"/>
      <c r="T44" s="43"/>
      <c r="U44" s="43"/>
      <c r="V44" s="43"/>
      <c r="W44" s="124"/>
      <c r="X44" s="43"/>
      <c r="Y44" s="43"/>
      <c r="Z44" s="43"/>
      <c r="AA44" s="124"/>
      <c r="AB44" s="43"/>
      <c r="AD44" s="43"/>
    </row>
    <row r="45" spans="1:30" x14ac:dyDescent="0.25">
      <c r="P45" s="84"/>
      <c r="R45" s="172"/>
      <c r="AB45" s="8"/>
    </row>
    <row r="46" spans="1:30" x14ac:dyDescent="0.25">
      <c r="P46" s="84"/>
      <c r="R46" s="172"/>
      <c r="AB46" s="8"/>
    </row>
    <row r="47" spans="1:30" x14ac:dyDescent="0.25"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72"/>
      <c r="S47" s="124"/>
      <c r="T47" s="124"/>
      <c r="U47" s="124"/>
      <c r="V47" s="124"/>
      <c r="W47" s="124"/>
      <c r="X47" s="124"/>
      <c r="Y47" s="124"/>
      <c r="Z47" s="124"/>
      <c r="AA47" s="124"/>
      <c r="AB47" s="8"/>
      <c r="AD47" s="124"/>
    </row>
    <row r="48" spans="1:30" x14ac:dyDescent="0.25">
      <c r="P48" s="84"/>
      <c r="R48" s="172"/>
      <c r="AB48" s="8"/>
    </row>
    <row r="49" spans="5:30" x14ac:dyDescent="0.25">
      <c r="P49" s="84"/>
      <c r="R49" s="172"/>
      <c r="AB49" s="8"/>
    </row>
    <row r="50" spans="5:30" x14ac:dyDescent="0.25"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72"/>
      <c r="S50" s="124"/>
      <c r="T50" s="124"/>
      <c r="U50" s="124"/>
      <c r="V50" s="124"/>
      <c r="W50" s="124"/>
      <c r="X50" s="124"/>
      <c r="Y50" s="124"/>
      <c r="Z50" s="124"/>
      <c r="AA50" s="124"/>
      <c r="AB50" s="8"/>
      <c r="AD50" s="124"/>
    </row>
    <row r="51" spans="5:30" x14ac:dyDescent="0.25">
      <c r="Q51" s="84"/>
      <c r="R51" s="172"/>
      <c r="AB51" s="8"/>
    </row>
    <row r="52" spans="5:30" x14ac:dyDescent="0.25">
      <c r="Q52" s="84"/>
      <c r="R52" s="172"/>
    </row>
    <row r="53" spans="5:30" x14ac:dyDescent="0.25">
      <c r="Q53" s="84"/>
      <c r="R53" s="172"/>
    </row>
    <row r="54" spans="5:30" x14ac:dyDescent="0.25">
      <c r="Q54" s="84"/>
      <c r="R54" s="172"/>
    </row>
    <row r="55" spans="5:30" x14ac:dyDescent="0.25">
      <c r="Q55" s="8"/>
      <c r="R55" s="172"/>
    </row>
    <row r="56" spans="5:30" x14ac:dyDescent="0.25">
      <c r="Q56" s="8"/>
      <c r="R56" s="172"/>
    </row>
    <row r="57" spans="5:30" x14ac:dyDescent="0.25">
      <c r="R57" s="172"/>
    </row>
    <row r="58" spans="5:30" x14ac:dyDescent="0.25">
      <c r="R58" s="172"/>
    </row>
    <row r="59" spans="5:30" x14ac:dyDescent="0.25">
      <c r="R59" s="172"/>
    </row>
    <row r="60" spans="5:30" x14ac:dyDescent="0.25">
      <c r="R60" s="172"/>
    </row>
    <row r="61" spans="5:30" x14ac:dyDescent="0.25">
      <c r="R61" s="172"/>
    </row>
    <row r="62" spans="5:30" x14ac:dyDescent="0.25">
      <c r="R62" s="172"/>
    </row>
    <row r="63" spans="5:30" x14ac:dyDescent="0.25">
      <c r="R63" s="172"/>
    </row>
    <row r="64" spans="5:30" x14ac:dyDescent="0.25">
      <c r="R64" s="172"/>
    </row>
    <row r="65" spans="18:18" x14ac:dyDescent="0.25">
      <c r="R65" s="172"/>
    </row>
    <row r="66" spans="18:18" x14ac:dyDescent="0.25">
      <c r="R66" s="124"/>
    </row>
    <row r="67" spans="18:18" x14ac:dyDescent="0.25">
      <c r="R67" s="124"/>
    </row>
    <row r="68" spans="18:18" x14ac:dyDescent="0.25">
      <c r="R68" s="124"/>
    </row>
    <row r="69" spans="18:18" x14ac:dyDescent="0.25">
      <c r="R69" s="124"/>
    </row>
    <row r="70" spans="18:18" x14ac:dyDescent="0.25">
      <c r="R70" s="124"/>
    </row>
    <row r="71" spans="18:18" x14ac:dyDescent="0.25">
      <c r="R71" s="124"/>
    </row>
    <row r="72" spans="18:18" x14ac:dyDescent="0.25">
      <c r="R72" s="124"/>
    </row>
    <row r="73" spans="18:18" x14ac:dyDescent="0.25">
      <c r="R73" s="124"/>
    </row>
    <row r="74" spans="18:18" x14ac:dyDescent="0.25">
      <c r="R74" s="124"/>
    </row>
    <row r="75" spans="18:18" x14ac:dyDescent="0.25">
      <c r="R75" s="124"/>
    </row>
  </sheetData>
  <pageMargins left="0.7" right="0.7" top="0.75" bottom="0.75" header="0.3" footer="0.3"/>
  <pageSetup orientation="portrait" r:id="rId1"/>
  <ignoredErrors>
    <ignoredError sqref="Q31:Q32 Q34 X31:X3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40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D39" sqref="D39"/>
    </sheetView>
  </sheetViews>
  <sheetFormatPr baseColWidth="10" defaultColWidth="11.42578125" defaultRowHeight="15" x14ac:dyDescent="0.25"/>
  <cols>
    <col min="1" max="2" width="11.42578125" style="124"/>
    <col min="3" max="3" width="19.140625" style="124" customWidth="1"/>
    <col min="4" max="4" width="11.42578125" style="124"/>
    <col min="5" max="5" width="18.42578125" style="124" customWidth="1"/>
    <col min="6" max="6" width="14.140625" style="124" customWidth="1"/>
    <col min="7" max="7" width="23.85546875" style="124" customWidth="1"/>
    <col min="8" max="8" width="22.7109375" style="124" customWidth="1"/>
    <col min="9" max="9" width="18.5703125" style="124" customWidth="1"/>
    <col min="10" max="10" width="14.28515625" style="124" customWidth="1"/>
    <col min="11" max="11" width="25.5703125" style="124" customWidth="1"/>
    <col min="12" max="16384" width="11.42578125" style="124"/>
  </cols>
  <sheetData>
    <row r="2" spans="1:12" ht="44.25" x14ac:dyDescent="0.25">
      <c r="A2" s="359" t="s">
        <v>177</v>
      </c>
      <c r="B2" s="360"/>
      <c r="C2" s="360"/>
      <c r="D2" s="360"/>
      <c r="E2" s="360"/>
      <c r="F2" s="360"/>
      <c r="G2" s="360"/>
      <c r="H2" s="360"/>
      <c r="I2" s="360"/>
      <c r="J2" s="360"/>
      <c r="K2" s="360"/>
    </row>
    <row r="3" spans="1:12" x14ac:dyDescent="0.25">
      <c r="A3" s="158" t="s">
        <v>126</v>
      </c>
      <c r="B3" s="158" t="s">
        <v>3</v>
      </c>
      <c r="C3" s="158" t="s">
        <v>127</v>
      </c>
      <c r="D3" s="158" t="s">
        <v>128</v>
      </c>
      <c r="E3" s="159" t="s">
        <v>129</v>
      </c>
      <c r="F3" s="159" t="s">
        <v>130</v>
      </c>
      <c r="G3" s="159" t="s">
        <v>131</v>
      </c>
      <c r="H3" s="159" t="s">
        <v>132</v>
      </c>
      <c r="I3" s="159" t="s">
        <v>167</v>
      </c>
      <c r="J3" s="159" t="s">
        <v>133</v>
      </c>
      <c r="K3" s="159" t="s">
        <v>134</v>
      </c>
    </row>
    <row r="4" spans="1:12" x14ac:dyDescent="0.25">
      <c r="A4" s="160">
        <v>46054</v>
      </c>
      <c r="B4" s="12">
        <f>'KM-Servicio'!N11</f>
        <v>4986</v>
      </c>
      <c r="C4" s="12">
        <f>B4</f>
        <v>4986</v>
      </c>
      <c r="D4" s="12">
        <f>'KM-Servicio'!W11</f>
        <v>4916.8200000000006</v>
      </c>
      <c r="E4" s="12">
        <f>D4</f>
        <v>4916.8200000000006</v>
      </c>
      <c r="F4" s="166">
        <f>'KM-Servicio'!O11</f>
        <v>98.612515042117948</v>
      </c>
      <c r="G4" s="167">
        <f>SUM('KM-Servicio'!B11:C11)</f>
        <v>111</v>
      </c>
      <c r="H4" s="167">
        <f>SUM('KM-Servicio'!D11:E11)</f>
        <v>111</v>
      </c>
      <c r="I4" s="12">
        <f>'Oferta Diaria'!C38</f>
        <v>389903.82600000006</v>
      </c>
      <c r="J4" s="311" t="s">
        <v>136</v>
      </c>
      <c r="K4" s="164"/>
      <c r="L4" s="162"/>
    </row>
    <row r="5" spans="1:12" x14ac:dyDescent="0.25">
      <c r="A5" s="160">
        <v>46055</v>
      </c>
      <c r="B5" s="12">
        <f>'KM-Servicio'!N18</f>
        <v>9799</v>
      </c>
      <c r="C5" s="12">
        <f>B5+C4</f>
        <v>14785</v>
      </c>
      <c r="D5" s="12">
        <f>'KM-Servicio'!W18</f>
        <v>9282.9699999999993</v>
      </c>
      <c r="E5" s="12">
        <f>D5+E4</f>
        <v>14199.79</v>
      </c>
      <c r="F5" s="166">
        <f>'KM-Servicio'!O18</f>
        <v>94.733850392897224</v>
      </c>
      <c r="G5" s="167">
        <f>SUM('KM-Servicio'!B18:C18)</f>
        <v>223</v>
      </c>
      <c r="H5" s="167">
        <f>SUM('KM-Servicio'!D18:E18)</f>
        <v>223</v>
      </c>
      <c r="I5" s="12">
        <f>'Oferta Diaria'!D38</f>
        <v>736727.92700000003</v>
      </c>
      <c r="J5" s="161" t="s">
        <v>137</v>
      </c>
      <c r="K5" s="164"/>
      <c r="L5" s="162"/>
    </row>
    <row r="6" spans="1:12" x14ac:dyDescent="0.25">
      <c r="A6" s="160">
        <v>46056</v>
      </c>
      <c r="B6" s="12">
        <f>'KM-Servicio'!N25</f>
        <v>9348</v>
      </c>
      <c r="C6" s="12">
        <f t="shared" ref="C6:C31" si="0">B6+C5</f>
        <v>24133</v>
      </c>
      <c r="D6" s="12">
        <f>'KM-Servicio'!W25</f>
        <v>8818.35</v>
      </c>
      <c r="E6" s="12">
        <f t="shared" ref="E6:E31" si="1">D6+E5</f>
        <v>23018.14</v>
      </c>
      <c r="F6" s="166">
        <f>'KM-Servicio'!O25</f>
        <v>94.334082156611046</v>
      </c>
      <c r="G6" s="167">
        <f>SUM('KM-Servicio'!B25:C25)</f>
        <v>223</v>
      </c>
      <c r="H6" s="167">
        <f>SUM('KM-Servicio'!D25:E25)</f>
        <v>223</v>
      </c>
      <c r="I6" s="12">
        <f>'Oferta Diaria'!E38</f>
        <v>699295.15500000003</v>
      </c>
      <c r="J6" s="161" t="s">
        <v>137</v>
      </c>
      <c r="K6" s="164"/>
      <c r="L6" s="162"/>
    </row>
    <row r="7" spans="1:12" x14ac:dyDescent="0.25">
      <c r="A7" s="160">
        <v>46057</v>
      </c>
      <c r="B7" s="12">
        <f>'KM-Servicio'!N32</f>
        <v>9354</v>
      </c>
      <c r="C7" s="12">
        <f t="shared" si="0"/>
        <v>33487</v>
      </c>
      <c r="D7" s="12">
        <f>'KM-Servicio'!W32</f>
        <v>8802.19</v>
      </c>
      <c r="E7" s="12">
        <f t="shared" si="1"/>
        <v>31820.33</v>
      </c>
      <c r="F7" s="166">
        <f>'KM-Servicio'!O32</f>
        <v>94.100812486636741</v>
      </c>
      <c r="G7" s="167">
        <f>SUM('KM-Servicio'!B32:C32)</f>
        <v>223</v>
      </c>
      <c r="H7" s="167">
        <f>SUM('KM-Servicio'!D32:E32)</f>
        <v>217</v>
      </c>
      <c r="I7" s="12">
        <f>'Oferta Diaria'!F38</f>
        <v>698013.66700000002</v>
      </c>
      <c r="J7" s="161" t="s">
        <v>137</v>
      </c>
      <c r="K7" s="164"/>
      <c r="L7" s="162"/>
    </row>
    <row r="8" spans="1:12" ht="16.5" customHeight="1" x14ac:dyDescent="0.25">
      <c r="A8" s="160">
        <v>46058</v>
      </c>
      <c r="B8" s="12">
        <f>'KM-Servicio'!N39</f>
        <v>9275</v>
      </c>
      <c r="C8" s="12">
        <f t="shared" si="0"/>
        <v>42762</v>
      </c>
      <c r="D8" s="12">
        <f>'KM-Servicio'!W39</f>
        <v>8843.75</v>
      </c>
      <c r="E8" s="12">
        <f t="shared" si="1"/>
        <v>40664.080000000002</v>
      </c>
      <c r="F8" s="166">
        <f>'KM-Servicio'!O39</f>
        <v>95.350404312668473</v>
      </c>
      <c r="G8" s="167">
        <f>SUM('KM-Servicio'!B39:C39)</f>
        <v>223</v>
      </c>
      <c r="H8" s="167">
        <f>SUM('KM-Servicio'!D39:E39)</f>
        <v>223</v>
      </c>
      <c r="I8" s="12">
        <f>'Oferta Diaria'!G38</f>
        <v>701309.375</v>
      </c>
      <c r="J8" s="161" t="s">
        <v>137</v>
      </c>
      <c r="K8" s="176"/>
      <c r="L8" s="162"/>
    </row>
    <row r="9" spans="1:12" x14ac:dyDescent="0.25">
      <c r="A9" s="160">
        <v>46059</v>
      </c>
      <c r="B9" s="308">
        <f>'KM-Servicio'!N46</f>
        <v>9261</v>
      </c>
      <c r="C9" s="308">
        <f t="shared" si="0"/>
        <v>52023</v>
      </c>
      <c r="D9" s="308">
        <f>'KM-Servicio'!W46</f>
        <v>8904.61</v>
      </c>
      <c r="E9" s="308">
        <f t="shared" si="1"/>
        <v>49568.69</v>
      </c>
      <c r="F9" s="309">
        <f>'KM-Servicio'!O46</f>
        <v>96.151711478242092</v>
      </c>
      <c r="G9" s="310">
        <f>SUM('KM-Servicio'!B46:C46)</f>
        <v>223</v>
      </c>
      <c r="H9" s="310">
        <f>SUM('KM-Servicio'!D46:E46)</f>
        <v>223</v>
      </c>
      <c r="I9" s="308">
        <f>'Oferta Diaria'!H38</f>
        <v>706135.57299999997</v>
      </c>
      <c r="J9" s="161" t="s">
        <v>137</v>
      </c>
      <c r="K9" s="312"/>
      <c r="L9" s="162"/>
    </row>
    <row r="10" spans="1:12" x14ac:dyDescent="0.25">
      <c r="A10" s="160">
        <v>46060</v>
      </c>
      <c r="B10" s="308">
        <f>'KM-Servicio'!N53</f>
        <v>6567</v>
      </c>
      <c r="C10" s="308">
        <f t="shared" si="0"/>
        <v>58590</v>
      </c>
      <c r="D10" s="308">
        <f>'KM-Servicio'!W53</f>
        <v>6469.5</v>
      </c>
      <c r="E10" s="308">
        <f t="shared" si="1"/>
        <v>56038.19</v>
      </c>
      <c r="F10" s="309">
        <f>'KM-Servicio'!O53</f>
        <v>98.51530379168571</v>
      </c>
      <c r="G10" s="310">
        <f>SUM('KM-Servicio'!B53:C53)</f>
        <v>147</v>
      </c>
      <c r="H10" s="310">
        <f>SUM('KM-Servicio'!D53:E53)</f>
        <v>147</v>
      </c>
      <c r="I10" s="308">
        <f>'Oferta Diaria'!I38</f>
        <v>513031.35</v>
      </c>
      <c r="J10" s="311" t="s">
        <v>138</v>
      </c>
      <c r="K10" s="313"/>
      <c r="L10" s="162"/>
    </row>
    <row r="11" spans="1:12" x14ac:dyDescent="0.25">
      <c r="A11" s="160">
        <v>46061</v>
      </c>
      <c r="B11" s="308">
        <f>'KM-Servicio'!N60</f>
        <v>4940</v>
      </c>
      <c r="C11" s="308">
        <f t="shared" si="0"/>
        <v>63530</v>
      </c>
      <c r="D11" s="308">
        <f>'KM-Servicio'!W60</f>
        <v>4916.8200000000006</v>
      </c>
      <c r="E11" s="308">
        <f t="shared" si="1"/>
        <v>60955.01</v>
      </c>
      <c r="F11" s="309">
        <f>'KM-Servicio'!O60</f>
        <v>99.530769230769238</v>
      </c>
      <c r="G11" s="310">
        <f>SUM('KM-Servicio'!B60:C60)</f>
        <v>111</v>
      </c>
      <c r="H11" s="310">
        <f>SUM('KM-Servicio'!D60:E60)</f>
        <v>111</v>
      </c>
      <c r="I11" s="308">
        <f>'Oferta Diaria'!J38</f>
        <v>389903.82600000006</v>
      </c>
      <c r="J11" s="311" t="s">
        <v>136</v>
      </c>
      <c r="K11" s="312"/>
      <c r="L11" s="162"/>
    </row>
    <row r="12" spans="1:12" x14ac:dyDescent="0.25">
      <c r="A12" s="160">
        <v>46062</v>
      </c>
      <c r="B12" s="12">
        <f>'KM-Servicio'!N67</f>
        <v>9299</v>
      </c>
      <c r="C12" s="12">
        <f t="shared" si="0"/>
        <v>72829</v>
      </c>
      <c r="D12" s="12">
        <f>'KM-Servicio'!W67</f>
        <v>8818.35</v>
      </c>
      <c r="E12" s="12">
        <f t="shared" si="1"/>
        <v>69773.36</v>
      </c>
      <c r="F12" s="166">
        <f>'KM-Servicio'!O67</f>
        <v>94.831164641359294</v>
      </c>
      <c r="G12" s="167">
        <f>SUM('KM-Servicio'!B67:C67)</f>
        <v>223</v>
      </c>
      <c r="H12" s="167">
        <f>SUM('KM-Servicio'!D67:E67)</f>
        <v>223</v>
      </c>
      <c r="I12" s="12">
        <f>'Oferta Diaria'!K38</f>
        <v>699295.15500000003</v>
      </c>
      <c r="J12" s="161" t="s">
        <v>137</v>
      </c>
      <c r="K12" s="164"/>
      <c r="L12" s="162"/>
    </row>
    <row r="13" spans="1:12" x14ac:dyDescent="0.25">
      <c r="A13" s="160">
        <v>46063</v>
      </c>
      <c r="B13" s="12">
        <f>'KM-Servicio'!N74</f>
        <v>9334</v>
      </c>
      <c r="C13" s="12">
        <f t="shared" si="0"/>
        <v>82163</v>
      </c>
      <c r="D13" s="12">
        <f>'KM-Servicio'!W74</f>
        <v>8818.35</v>
      </c>
      <c r="E13" s="12">
        <f t="shared" si="1"/>
        <v>78591.710000000006</v>
      </c>
      <c r="F13" s="166">
        <f>'KM-Servicio'!O74</f>
        <v>94.475573173344756</v>
      </c>
      <c r="G13" s="167">
        <f>SUM('KM-Servicio'!B74:C74)</f>
        <v>223</v>
      </c>
      <c r="H13" s="167">
        <f>SUM('KM-Servicio'!D74:E74)</f>
        <v>223</v>
      </c>
      <c r="I13" s="12">
        <f>'Oferta Diaria'!L38</f>
        <v>699295.15500000003</v>
      </c>
      <c r="J13" s="161" t="s">
        <v>137</v>
      </c>
      <c r="K13" s="164"/>
      <c r="L13" s="162"/>
    </row>
    <row r="14" spans="1:12" x14ac:dyDescent="0.25">
      <c r="A14" s="160">
        <v>46064</v>
      </c>
      <c r="B14" s="12">
        <f>'KM-Servicio'!N81</f>
        <v>9333</v>
      </c>
      <c r="C14" s="12">
        <f t="shared" si="0"/>
        <v>91496</v>
      </c>
      <c r="D14" s="12">
        <f>'KM-Servicio'!W81</f>
        <v>8818.35</v>
      </c>
      <c r="E14" s="12">
        <f t="shared" si="1"/>
        <v>87410.060000000012</v>
      </c>
      <c r="F14" s="166">
        <f>'KM-Servicio'!O81</f>
        <v>94.485695917711354</v>
      </c>
      <c r="G14" s="167">
        <f>SUM('KM-Servicio'!B81:C81)</f>
        <v>223</v>
      </c>
      <c r="H14" s="167">
        <f>SUM('KM-Servicio'!D81:E81)</f>
        <v>223</v>
      </c>
      <c r="I14" s="12">
        <f>'Oferta Diaria'!M38</f>
        <v>699295.15500000003</v>
      </c>
      <c r="J14" s="161" t="s">
        <v>137</v>
      </c>
      <c r="K14" s="164"/>
      <c r="L14" s="162"/>
    </row>
    <row r="15" spans="1:12" x14ac:dyDescent="0.25">
      <c r="A15" s="160">
        <v>46065</v>
      </c>
      <c r="B15" s="12">
        <f>'KM-Servicio'!N88</f>
        <v>9295</v>
      </c>
      <c r="C15" s="12">
        <f t="shared" si="0"/>
        <v>100791</v>
      </c>
      <c r="D15" s="12">
        <f>'KM-Servicio'!W88</f>
        <v>8828.66</v>
      </c>
      <c r="E15" s="12">
        <f t="shared" si="1"/>
        <v>96238.720000000016</v>
      </c>
      <c r="F15" s="166">
        <f>'KM-Servicio'!O88</f>
        <v>94.98289402904787</v>
      </c>
      <c r="G15" s="167">
        <f>SUM('KM-Servicio'!B88:C88)</f>
        <v>223</v>
      </c>
      <c r="H15" s="167">
        <f>SUM('KM-Servicio'!D88:E88)</f>
        <v>223</v>
      </c>
      <c r="I15" s="12">
        <f>'Oferta Diaria'!N38</f>
        <v>700112.73800000001</v>
      </c>
      <c r="J15" s="161" t="s">
        <v>137</v>
      </c>
      <c r="K15" s="164"/>
      <c r="L15" s="162"/>
    </row>
    <row r="16" spans="1:12" ht="16.5" customHeight="1" x14ac:dyDescent="0.25">
      <c r="A16" s="160">
        <v>46066</v>
      </c>
      <c r="B16" s="308">
        <f>'KM-Servicio'!N95</f>
        <v>9325</v>
      </c>
      <c r="C16" s="308">
        <f t="shared" si="0"/>
        <v>110116</v>
      </c>
      <c r="D16" s="308">
        <f>'KM-Servicio'!W95</f>
        <v>8886.8799999999992</v>
      </c>
      <c r="E16" s="308">
        <f t="shared" si="1"/>
        <v>105125.60000000002</v>
      </c>
      <c r="F16" s="309">
        <f>'KM-Servicio'!O95</f>
        <v>95.301662198391412</v>
      </c>
      <c r="G16" s="310">
        <f>SUM('KM-Servicio'!B95:C95)</f>
        <v>223</v>
      </c>
      <c r="H16" s="310">
        <f>SUM('KM-Servicio'!D95:E95)</f>
        <v>223</v>
      </c>
      <c r="I16" s="308">
        <f>'Oferta Diaria'!O38</f>
        <v>704729.58400000003</v>
      </c>
      <c r="J16" s="161" t="s">
        <v>137</v>
      </c>
      <c r="K16" s="312"/>
      <c r="L16" s="162"/>
    </row>
    <row r="17" spans="1:12" x14ac:dyDescent="0.25">
      <c r="A17" s="160">
        <v>46067</v>
      </c>
      <c r="B17" s="308">
        <f>'KM-Servicio'!N102</f>
        <v>6486</v>
      </c>
      <c r="C17" s="308">
        <f t="shared" si="0"/>
        <v>116602</v>
      </c>
      <c r="D17" s="308">
        <f>'KM-Servicio'!W102</f>
        <v>6469.5</v>
      </c>
      <c r="E17" s="308">
        <f t="shared" si="1"/>
        <v>111595.10000000002</v>
      </c>
      <c r="F17" s="309">
        <f>'KM-Servicio'!O102</f>
        <v>99.745605920444035</v>
      </c>
      <c r="G17" s="310">
        <f>SUM('KM-Servicio'!B102:C102)</f>
        <v>147</v>
      </c>
      <c r="H17" s="310">
        <f>SUM('KM-Servicio'!D102:E102)</f>
        <v>147</v>
      </c>
      <c r="I17" s="308">
        <f>'Oferta Diaria'!P38</f>
        <v>513031.35</v>
      </c>
      <c r="J17" s="311" t="s">
        <v>138</v>
      </c>
      <c r="K17" s="312"/>
      <c r="L17" s="162"/>
    </row>
    <row r="18" spans="1:12" x14ac:dyDescent="0.25">
      <c r="A18" s="160">
        <v>46068</v>
      </c>
      <c r="B18" s="12">
        <f>'KM-Servicio'!N109</f>
        <v>5392</v>
      </c>
      <c r="C18" s="12">
        <f t="shared" si="0"/>
        <v>121994</v>
      </c>
      <c r="D18" s="12">
        <f>'KM-Servicio'!W109</f>
        <v>5330.3899999999994</v>
      </c>
      <c r="E18" s="12">
        <f t="shared" si="1"/>
        <v>116925.49000000002</v>
      </c>
      <c r="F18" s="166">
        <f>'KM-Servicio'!O109</f>
        <v>98.857381305637972</v>
      </c>
      <c r="G18" s="167">
        <f>SUM('KM-Servicio'!B109:C109)</f>
        <v>111</v>
      </c>
      <c r="H18" s="167">
        <f>SUM('KM-Servicio'!D109:E109)</f>
        <v>111</v>
      </c>
      <c r="I18" s="12">
        <f>'Oferta Diaria'!Q38</f>
        <v>422699.92700000003</v>
      </c>
      <c r="J18" s="311" t="s">
        <v>136</v>
      </c>
      <c r="K18" s="164"/>
      <c r="L18" s="162"/>
    </row>
    <row r="19" spans="1:12" ht="14.25" customHeight="1" x14ac:dyDescent="0.25">
      <c r="A19" s="160">
        <v>46069</v>
      </c>
      <c r="B19" s="12">
        <f>'KM-Servicio'!$N$116</f>
        <v>9182</v>
      </c>
      <c r="C19" s="12">
        <f t="shared" si="0"/>
        <v>131176</v>
      </c>
      <c r="D19" s="12">
        <f>'KM-Servicio'!$W$116</f>
        <v>8818.35</v>
      </c>
      <c r="E19" s="12">
        <f t="shared" si="1"/>
        <v>125743.84000000003</v>
      </c>
      <c r="F19" s="166">
        <f>'KM-Servicio'!O116</f>
        <v>96.039533870616424</v>
      </c>
      <c r="G19" s="167">
        <f>SUM('KM-Servicio'!B116:C116)</f>
        <v>223</v>
      </c>
      <c r="H19" s="167">
        <f>SUM('KM-Servicio'!D116:E116)</f>
        <v>223</v>
      </c>
      <c r="I19" s="12">
        <f>'Oferta Diaria'!R38</f>
        <v>699295.15500000003</v>
      </c>
      <c r="J19" s="161" t="s">
        <v>137</v>
      </c>
      <c r="K19" s="144"/>
    </row>
    <row r="20" spans="1:12" x14ac:dyDescent="0.25">
      <c r="A20" s="160">
        <v>46070</v>
      </c>
      <c r="B20" s="12">
        <f>'KM-Servicio'!$N$123</f>
        <v>9286</v>
      </c>
      <c r="C20" s="12">
        <f t="shared" si="0"/>
        <v>140462</v>
      </c>
      <c r="D20" s="12">
        <f>'KM-Servicio'!$W$123</f>
        <v>8832.3700000000008</v>
      </c>
      <c r="E20" s="12">
        <f t="shared" si="1"/>
        <v>134576.21000000002</v>
      </c>
      <c r="F20" s="166">
        <f>'KM-Servicio'!O123</f>
        <v>95.114904156795191</v>
      </c>
      <c r="G20" s="167">
        <f>SUM('KM-Servicio'!B123:C123)</f>
        <v>223</v>
      </c>
      <c r="H20" s="167">
        <f>SUM('KM-Servicio'!D123:E123)</f>
        <v>223</v>
      </c>
      <c r="I20" s="12">
        <f>'Oferta Diaria'!S38</f>
        <v>700406.94099999999</v>
      </c>
      <c r="J20" s="161" t="s">
        <v>137</v>
      </c>
      <c r="K20" s="164"/>
      <c r="L20" s="162"/>
    </row>
    <row r="21" spans="1:12" x14ac:dyDescent="0.25">
      <c r="A21" s="160">
        <v>46071</v>
      </c>
      <c r="B21" s="12">
        <f>'KM-Servicio'!N130</f>
        <v>11606</v>
      </c>
      <c r="C21" s="12">
        <f t="shared" si="0"/>
        <v>152068</v>
      </c>
      <c r="D21" s="12">
        <f>'KM-Servicio'!$W$130</f>
        <v>11108.2</v>
      </c>
      <c r="E21" s="12">
        <f t="shared" si="1"/>
        <v>145684.41000000003</v>
      </c>
      <c r="F21" s="166">
        <f>'KM-Servicio'!O130</f>
        <v>95.710839221092542</v>
      </c>
      <c r="G21" s="167">
        <f>SUM('KM-Servicio'!B130:C130)</f>
        <v>223</v>
      </c>
      <c r="H21" s="167">
        <f>SUM('KM-Servicio'!D130:E130)</f>
        <v>222</v>
      </c>
      <c r="I21" s="12">
        <f>'Oferta Diaria'!T38</f>
        <v>880880.26000000013</v>
      </c>
      <c r="J21" s="161" t="s">
        <v>137</v>
      </c>
      <c r="K21" s="164"/>
      <c r="L21" s="162"/>
    </row>
    <row r="22" spans="1:12" x14ac:dyDescent="0.25">
      <c r="A22" s="160">
        <v>46072</v>
      </c>
      <c r="B22" s="12">
        <f>'KM-Servicio'!N137</f>
        <v>10206</v>
      </c>
      <c r="C22" s="12">
        <f t="shared" si="0"/>
        <v>162274</v>
      </c>
      <c r="D22" s="12">
        <f>'KM-Servicio'!$W$137</f>
        <v>9782.5499999999993</v>
      </c>
      <c r="E22" s="12">
        <f t="shared" si="1"/>
        <v>155466.96000000002</v>
      </c>
      <c r="F22" s="171">
        <f>'KM-Servicio'!O137</f>
        <v>95.850970017636669</v>
      </c>
      <c r="G22" s="167">
        <f>SUM('KM-Servicio'!B137:C137)</f>
        <v>223</v>
      </c>
      <c r="H22" s="167">
        <f>SUM('KM-Servicio'!D137:E137)</f>
        <v>223</v>
      </c>
      <c r="I22" s="12">
        <f>'Oferta Diaria'!U38</f>
        <v>775756.21499999997</v>
      </c>
      <c r="J22" s="161" t="s">
        <v>137</v>
      </c>
      <c r="K22" s="164"/>
      <c r="L22" s="162"/>
    </row>
    <row r="23" spans="1:12" x14ac:dyDescent="0.25">
      <c r="A23" s="160">
        <v>46073</v>
      </c>
      <c r="B23" s="308">
        <f>'KM-Servicio'!N144</f>
        <v>9129</v>
      </c>
      <c r="C23" s="308">
        <f t="shared" si="0"/>
        <v>171403</v>
      </c>
      <c r="D23" s="308">
        <f>'KM-Servicio'!$W$144</f>
        <v>8731.02</v>
      </c>
      <c r="E23" s="308">
        <f t="shared" si="1"/>
        <v>164197.98000000001</v>
      </c>
      <c r="F23" s="309">
        <f>'KM-Servicio'!O144</f>
        <v>95.640486362142624</v>
      </c>
      <c r="G23" s="310">
        <f>SUM('KM-Servicio'!B144:C144)</f>
        <v>223</v>
      </c>
      <c r="H23" s="310">
        <f>SUM('KM-Servicio'!D144:E144)</f>
        <v>220</v>
      </c>
      <c r="I23" s="308">
        <f>'Oferta Diaria'!V38</f>
        <v>692369.88600000006</v>
      </c>
      <c r="J23" s="161" t="s">
        <v>137</v>
      </c>
      <c r="K23" s="312"/>
      <c r="L23" s="162"/>
    </row>
    <row r="24" spans="1:12" x14ac:dyDescent="0.25">
      <c r="A24" s="160">
        <v>46074</v>
      </c>
      <c r="B24" s="308">
        <f>'KM-Servicio'!N151</f>
        <v>6487</v>
      </c>
      <c r="C24" s="308">
        <f t="shared" si="0"/>
        <v>177890</v>
      </c>
      <c r="D24" s="308">
        <f>'KM-Servicio'!$W$151</f>
        <v>6469.5</v>
      </c>
      <c r="E24" s="308">
        <f t="shared" si="1"/>
        <v>170667.48</v>
      </c>
      <c r="F24" s="309">
        <f>'KM-Servicio'!O151</f>
        <v>99.730229690149528</v>
      </c>
      <c r="G24" s="310">
        <f>SUM('KM-Servicio'!B151:C151)</f>
        <v>147</v>
      </c>
      <c r="H24" s="310">
        <f>SUM('KM-Servicio'!D151:E151)</f>
        <v>147</v>
      </c>
      <c r="I24" s="308">
        <f>'Oferta Diaria'!W38</f>
        <v>513031.35</v>
      </c>
      <c r="J24" s="311" t="s">
        <v>138</v>
      </c>
      <c r="K24" s="312"/>
      <c r="L24" s="162"/>
    </row>
    <row r="25" spans="1:12" x14ac:dyDescent="0.25">
      <c r="A25" s="160">
        <v>46075</v>
      </c>
      <c r="B25" s="12">
        <f>'KM-Servicio'!N158</f>
        <v>5761</v>
      </c>
      <c r="C25" s="12">
        <f t="shared" si="0"/>
        <v>183651</v>
      </c>
      <c r="D25" s="12">
        <f>'KM-Servicio'!$W$158</f>
        <v>5693.1600000000008</v>
      </c>
      <c r="E25" s="12">
        <f t="shared" si="1"/>
        <v>176360.64</v>
      </c>
      <c r="F25" s="166">
        <f>'KM-Servicio'!O158</f>
        <v>98.822426662037856</v>
      </c>
      <c r="G25" s="167">
        <f>SUM('KM-Servicio'!B158:C158)</f>
        <v>111</v>
      </c>
      <c r="H25" s="167">
        <f>SUM('KM-Servicio'!D158:E158)</f>
        <v>111</v>
      </c>
      <c r="I25" s="12">
        <f>'Oferta Diaria'!X38</f>
        <v>451467.58800000005</v>
      </c>
      <c r="J25" s="311" t="s">
        <v>136</v>
      </c>
      <c r="K25" s="164"/>
      <c r="L25" s="162"/>
    </row>
    <row r="26" spans="1:12" x14ac:dyDescent="0.25">
      <c r="A26" s="160">
        <v>46076</v>
      </c>
      <c r="B26" s="12">
        <f>'KM-Servicio'!N167</f>
        <v>9904</v>
      </c>
      <c r="C26" s="12">
        <f t="shared" si="0"/>
        <v>193555</v>
      </c>
      <c r="D26" s="12">
        <f>'KM-Servicio'!$W$167</f>
        <v>9128.43</v>
      </c>
      <c r="E26" s="12">
        <f t="shared" si="1"/>
        <v>185489.07</v>
      </c>
      <c r="F26" s="166">
        <f>'KM-Servicio'!O167</f>
        <v>92.16912358642972</v>
      </c>
      <c r="G26" s="167">
        <f>SUM('KM-Servicio'!B167:C167)</f>
        <v>229</v>
      </c>
      <c r="H26" s="167">
        <f>SUM('KM-Servicio'!D167:E167)</f>
        <v>229</v>
      </c>
      <c r="I26" s="12">
        <f>'Oferta Diaria'!Y38</f>
        <v>723884.49899999995</v>
      </c>
      <c r="J26" s="161" t="s">
        <v>137</v>
      </c>
      <c r="K26" s="164"/>
      <c r="L26" s="162"/>
    </row>
    <row r="27" spans="1:12" x14ac:dyDescent="0.25">
      <c r="A27" s="160">
        <v>46077</v>
      </c>
      <c r="B27" s="12">
        <f>'KM-Servicio'!N176</f>
        <v>9823</v>
      </c>
      <c r="C27" s="12">
        <f t="shared" si="0"/>
        <v>203378</v>
      </c>
      <c r="D27" s="12">
        <f>'KM-Servicio'!$W$176</f>
        <v>9128.43</v>
      </c>
      <c r="E27" s="12">
        <f t="shared" si="1"/>
        <v>194617.5</v>
      </c>
      <c r="F27" s="166">
        <f>'KM-Servicio'!O176</f>
        <v>92.929145882113403</v>
      </c>
      <c r="G27" s="167">
        <f>SUM('KM-Servicio'!B176:C176)</f>
        <v>229</v>
      </c>
      <c r="H27" s="167">
        <f>SUM('KM-Servicio'!D176:E176)</f>
        <v>229</v>
      </c>
      <c r="I27" s="12">
        <f>'Oferta Diaria'!Z38</f>
        <v>723884.49899999995</v>
      </c>
      <c r="J27" s="161" t="s">
        <v>137</v>
      </c>
      <c r="K27" s="164"/>
      <c r="L27" s="162"/>
    </row>
    <row r="28" spans="1:12" x14ac:dyDescent="0.25">
      <c r="A28" s="160">
        <v>46078</v>
      </c>
      <c r="B28" s="308">
        <f>'KM-Servicio'!N185</f>
        <v>9767</v>
      </c>
      <c r="C28" s="308">
        <f t="shared" si="0"/>
        <v>213145</v>
      </c>
      <c r="D28" s="308">
        <f>'KM-Servicio'!$W$185</f>
        <v>9128.43</v>
      </c>
      <c r="E28" s="308">
        <f t="shared" si="1"/>
        <v>203745.93</v>
      </c>
      <c r="F28" s="309">
        <f>'KM-Servicio'!O185</f>
        <v>93.461963755503234</v>
      </c>
      <c r="G28" s="310">
        <f>SUM('KM-Servicio'!B185:C185)</f>
        <v>229</v>
      </c>
      <c r="H28" s="310">
        <f>SUM('KM-Servicio'!D185:E185)</f>
        <v>229</v>
      </c>
      <c r="I28" s="308">
        <f>'Oferta Diaria'!AA38</f>
        <v>723884.49899999995</v>
      </c>
      <c r="J28" s="161" t="s">
        <v>137</v>
      </c>
      <c r="K28" s="312"/>
      <c r="L28" s="162"/>
    </row>
    <row r="29" spans="1:12" x14ac:dyDescent="0.25">
      <c r="A29" s="160">
        <v>46079</v>
      </c>
      <c r="B29" s="12">
        <f>'KM-Servicio'!N194</f>
        <v>9788</v>
      </c>
      <c r="C29" s="12">
        <f t="shared" si="0"/>
        <v>222933</v>
      </c>
      <c r="D29" s="12">
        <f>'KM-Servicio'!$W$194</f>
        <v>9128.43</v>
      </c>
      <c r="E29" s="12">
        <f t="shared" si="1"/>
        <v>212874.36</v>
      </c>
      <c r="F29" s="166">
        <f>'KM-Servicio'!O194</f>
        <v>93.261442582754398</v>
      </c>
      <c r="G29" s="167">
        <f>SUM('KM-Servicio'!B194:C194)</f>
        <v>229</v>
      </c>
      <c r="H29" s="167">
        <f>SUM('KM-Servicio'!D194:E194)</f>
        <v>229</v>
      </c>
      <c r="I29" s="12">
        <f>'Oferta Diaria'!AB38</f>
        <v>723884.49899999995</v>
      </c>
      <c r="J29" s="161" t="s">
        <v>137</v>
      </c>
      <c r="K29" s="164"/>
      <c r="L29" s="162"/>
    </row>
    <row r="30" spans="1:12" x14ac:dyDescent="0.25">
      <c r="A30" s="160">
        <v>46080</v>
      </c>
      <c r="B30" s="308">
        <f>'KM-Servicio'!N203</f>
        <v>10003</v>
      </c>
      <c r="C30" s="308">
        <f t="shared" si="0"/>
        <v>232936</v>
      </c>
      <c r="D30" s="308">
        <f>'KM-Servicio'!$W$203</f>
        <v>9128.43</v>
      </c>
      <c r="E30" s="308">
        <f t="shared" si="1"/>
        <v>222002.78999999998</v>
      </c>
      <c r="F30" s="309">
        <f>'KM-Servicio'!O203</f>
        <v>91.256922923123057</v>
      </c>
      <c r="G30" s="310">
        <f>SUM('KM-Servicio'!B203:C203)</f>
        <v>229</v>
      </c>
      <c r="H30" s="310">
        <f>SUM('KM-Servicio'!D203:E203)</f>
        <v>229</v>
      </c>
      <c r="I30" s="308">
        <f>'Oferta Diaria'!AC38</f>
        <v>723884.49899999995</v>
      </c>
      <c r="J30" s="161" t="s">
        <v>137</v>
      </c>
      <c r="K30" s="312"/>
      <c r="L30" s="162"/>
    </row>
    <row r="31" spans="1:12" x14ac:dyDescent="0.25">
      <c r="A31" s="160">
        <v>46081</v>
      </c>
      <c r="B31" s="308">
        <f>'KM-Servicio'!N212</f>
        <v>6803</v>
      </c>
      <c r="C31" s="308">
        <f t="shared" si="0"/>
        <v>239739</v>
      </c>
      <c r="D31" s="308">
        <f>'KM-Servicio'!$W$212</f>
        <v>6617.1200000000008</v>
      </c>
      <c r="E31" s="308">
        <f t="shared" si="1"/>
        <v>228619.90999999997</v>
      </c>
      <c r="F31" s="309">
        <f>'KM-Servicio'!O212</f>
        <v>97.267676025282981</v>
      </c>
      <c r="G31" s="310">
        <f>SUM('KM-Servicio'!B212:C212)</f>
        <v>153</v>
      </c>
      <c r="H31" s="310">
        <f>SUM('KM-Servicio'!D212:E212)</f>
        <v>153</v>
      </c>
      <c r="I31" s="308">
        <f>'Oferta Diaria'!AD38</f>
        <v>524737.61600000004</v>
      </c>
      <c r="J31" s="311" t="s">
        <v>138</v>
      </c>
      <c r="K31" s="312"/>
      <c r="L31" s="163"/>
    </row>
    <row r="32" spans="1:12" x14ac:dyDescent="0.25">
      <c r="A32" s="160"/>
      <c r="B32" s="12"/>
      <c r="C32" s="12"/>
      <c r="D32" s="12"/>
      <c r="E32" s="12"/>
      <c r="F32" s="166"/>
      <c r="G32" s="167"/>
      <c r="H32" s="167"/>
      <c r="I32" s="12"/>
      <c r="J32" s="161"/>
      <c r="K32" s="164"/>
      <c r="L32" s="163"/>
    </row>
    <row r="33" spans="1:14" x14ac:dyDescent="0.25">
      <c r="A33" s="160"/>
      <c r="B33" s="12"/>
      <c r="C33" s="12"/>
      <c r="D33" s="12"/>
      <c r="E33" s="12"/>
      <c r="F33" s="166"/>
      <c r="G33" s="167"/>
      <c r="H33" s="167"/>
      <c r="I33" s="12"/>
      <c r="J33" s="161"/>
      <c r="K33" s="164"/>
      <c r="L33" s="163"/>
      <c r="M33" s="239"/>
      <c r="N33" s="239"/>
    </row>
    <row r="34" spans="1:14" x14ac:dyDescent="0.25">
      <c r="A34" s="160"/>
      <c r="B34" s="12"/>
      <c r="C34" s="12"/>
      <c r="D34" s="12"/>
      <c r="E34" s="12"/>
      <c r="F34" s="166"/>
      <c r="G34" s="167"/>
      <c r="H34" s="167"/>
      <c r="I34" s="12"/>
      <c r="J34" s="311"/>
      <c r="K34" s="164"/>
      <c r="L34" s="163"/>
      <c r="M34" s="239"/>
      <c r="N34" s="239"/>
    </row>
    <row r="35" spans="1:14" x14ac:dyDescent="0.25">
      <c r="A35" s="160"/>
      <c r="B35" s="12"/>
      <c r="C35" s="12"/>
      <c r="D35" s="12"/>
      <c r="E35" s="12"/>
      <c r="F35" s="166"/>
      <c r="G35" s="167"/>
      <c r="H35" s="167"/>
      <c r="I35" s="12"/>
      <c r="J35" s="175"/>
      <c r="K35" s="164"/>
      <c r="L35" s="163"/>
      <c r="M35" s="239"/>
      <c r="N35" s="239"/>
    </row>
    <row r="36" spans="1:14" x14ac:dyDescent="0.25">
      <c r="A36" s="168" t="s">
        <v>135</v>
      </c>
      <c r="B36" s="169">
        <f>SUM(B4:B34)</f>
        <v>239739</v>
      </c>
      <c r="C36" s="169">
        <f>SUM(C4:C34)</f>
        <v>3414897</v>
      </c>
      <c r="D36" s="169">
        <f>SUM(D4:D34)</f>
        <v>228619.90999999997</v>
      </c>
      <c r="E36" s="169">
        <f>SUM(E4:E34)</f>
        <v>3266888.17</v>
      </c>
      <c r="F36" s="170">
        <f>AVERAGE(F4:F34)</f>
        <v>95.759467529044372</v>
      </c>
      <c r="G36" s="169">
        <f>SUM(G4:G34)</f>
        <v>5528</v>
      </c>
      <c r="H36" s="169">
        <f>SUM(H4:H34)</f>
        <v>5518</v>
      </c>
      <c r="I36" s="169">
        <f>SUM(I4:I34)</f>
        <v>18130147.269000001</v>
      </c>
      <c r="J36" s="30"/>
      <c r="K36" s="168"/>
      <c r="L36" s="239"/>
      <c r="M36" s="239"/>
      <c r="N36" s="239"/>
    </row>
    <row r="40" spans="1:14" x14ac:dyDescent="0.25">
      <c r="F40" s="162"/>
    </row>
  </sheetData>
  <mergeCells count="1">
    <mergeCell ref="A2:K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O74"/>
  <sheetViews>
    <sheetView workbookViewId="0">
      <selection activeCell="F39" sqref="F39"/>
    </sheetView>
  </sheetViews>
  <sheetFormatPr baseColWidth="10" defaultColWidth="11.5703125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61" t="s">
        <v>98</v>
      </c>
      <c r="B3" s="362"/>
      <c r="C3" s="362"/>
      <c r="D3" s="363"/>
    </row>
    <row r="4" spans="1:15" x14ac:dyDescent="0.25">
      <c r="A4" s="96" t="s">
        <v>99</v>
      </c>
      <c r="B4" s="97" t="s">
        <v>100</v>
      </c>
      <c r="C4" s="98" t="s">
        <v>54</v>
      </c>
      <c r="D4" s="98" t="s">
        <v>101</v>
      </c>
    </row>
    <row r="5" spans="1:15" x14ac:dyDescent="0.25">
      <c r="A5" s="34" t="s">
        <v>102</v>
      </c>
      <c r="B5" s="129">
        <f>C5/30</f>
        <v>191.86666666666667</v>
      </c>
      <c r="C5" s="130">
        <f>'KM-Servicio'!J253</f>
        <v>5756</v>
      </c>
      <c r="D5" s="130">
        <f>'KM-Servicio'!C248</f>
        <v>5758</v>
      </c>
    </row>
    <row r="6" spans="1:15" x14ac:dyDescent="0.25">
      <c r="A6" s="34" t="s">
        <v>103</v>
      </c>
      <c r="B6" s="129">
        <f>C6/30</f>
        <v>183.93333333333334</v>
      </c>
      <c r="C6" s="130">
        <f>'KM-Servicio'!K246</f>
        <v>5518</v>
      </c>
      <c r="D6" s="130">
        <f>'KM-Servicio'!D246</f>
        <v>5528</v>
      </c>
    </row>
    <row r="7" spans="1:15" x14ac:dyDescent="0.25">
      <c r="A7" s="34" t="s">
        <v>66</v>
      </c>
      <c r="B7" s="129">
        <f>C7/30</f>
        <v>7638.3936666666668</v>
      </c>
      <c r="C7" s="130">
        <f>'KM-Servicio'!M246</f>
        <v>229151.81</v>
      </c>
      <c r="D7" s="130">
        <f>'KM-Servicio'!F246</f>
        <v>229094.97999999998</v>
      </c>
    </row>
    <row r="8" spans="1:15" x14ac:dyDescent="0.25">
      <c r="A8" s="34" t="s">
        <v>104</v>
      </c>
      <c r="B8" s="129">
        <f>C8/30</f>
        <v>7298.3563333333332</v>
      </c>
      <c r="C8" s="130">
        <f>'KM-Servicio'!L246</f>
        <v>218950.69</v>
      </c>
      <c r="D8" s="130">
        <f>'KM-Servicio'!E246</f>
        <v>219224.88</v>
      </c>
    </row>
    <row r="9" spans="1:15" x14ac:dyDescent="0.25">
      <c r="A9" s="34" t="s">
        <v>105</v>
      </c>
      <c r="B9" s="129">
        <f>C9/30</f>
        <v>794392.94133333338</v>
      </c>
      <c r="C9" s="130">
        <f>'KM-Servicio'!N246</f>
        <v>23831788.240000002</v>
      </c>
      <c r="D9" s="130">
        <f>'KM-Servicio'!G246</f>
        <v>23825877.920000002</v>
      </c>
    </row>
    <row r="10" spans="1:15" x14ac:dyDescent="0.25">
      <c r="A10" s="34" t="s">
        <v>106</v>
      </c>
      <c r="B10" s="129"/>
      <c r="C10" s="131"/>
      <c r="J10" s="101"/>
    </row>
    <row r="11" spans="1:15" x14ac:dyDescent="0.25">
      <c r="A11" s="34" t="s">
        <v>107</v>
      </c>
      <c r="B11" s="129">
        <f>C11/30</f>
        <v>40531.73333333333</v>
      </c>
      <c r="C11" s="198">
        <v>1215952</v>
      </c>
      <c r="D11" s="132" t="s">
        <v>145</v>
      </c>
      <c r="E11" s="99"/>
      <c r="H11" s="101"/>
      <c r="I11" s="101"/>
      <c r="J11" s="101"/>
      <c r="K11" s="101"/>
      <c r="L11" s="104"/>
      <c r="M11" s="100"/>
      <c r="N11" s="100"/>
    </row>
    <row r="12" spans="1:15" ht="15.75" thickBot="1" x14ac:dyDescent="0.3">
      <c r="A12" s="34" t="s">
        <v>108</v>
      </c>
      <c r="B12" s="132"/>
      <c r="C12" s="129"/>
      <c r="D12" s="132"/>
      <c r="F12" s="100"/>
      <c r="G12" s="101"/>
      <c r="H12" s="101"/>
      <c r="I12" s="101"/>
      <c r="J12" s="101"/>
    </row>
    <row r="13" spans="1:15" ht="15.75" thickBot="1" x14ac:dyDescent="0.3">
      <c r="A13" s="364" t="s">
        <v>109</v>
      </c>
      <c r="B13" s="365"/>
      <c r="C13" s="365"/>
      <c r="D13" s="366"/>
      <c r="F13" s="140"/>
      <c r="G13" s="141"/>
      <c r="H13" s="141"/>
      <c r="I13" s="141"/>
      <c r="J13" s="141"/>
      <c r="K13" s="140"/>
      <c r="L13" s="141"/>
      <c r="M13" s="141"/>
      <c r="N13" s="43"/>
    </row>
    <row r="14" spans="1:15" x14ac:dyDescent="0.25">
      <c r="A14" s="102"/>
      <c r="B14" s="97"/>
      <c r="C14" s="98"/>
      <c r="D14" s="98"/>
      <c r="F14" s="142"/>
      <c r="G14" s="142"/>
      <c r="H14" s="140"/>
      <c r="I14" s="140"/>
      <c r="J14" s="140"/>
      <c r="K14" s="140"/>
      <c r="L14" s="140"/>
      <c r="M14" s="43"/>
      <c r="N14" s="43"/>
    </row>
    <row r="15" spans="1:15" x14ac:dyDescent="0.25">
      <c r="A15" s="105"/>
      <c r="B15" s="144"/>
      <c r="C15" s="144"/>
      <c r="D15" s="107"/>
      <c r="F15" s="140"/>
      <c r="G15" s="140"/>
      <c r="H15" s="140"/>
      <c r="I15" s="140"/>
      <c r="J15" s="140"/>
      <c r="K15" s="141"/>
      <c r="L15" s="141"/>
      <c r="M15" s="141"/>
      <c r="N15" s="141"/>
    </row>
    <row r="16" spans="1:15" x14ac:dyDescent="0.25">
      <c r="A16" s="105"/>
      <c r="B16" s="106"/>
      <c r="C16" s="106"/>
      <c r="D16" s="107"/>
      <c r="F16" s="140"/>
      <c r="G16" s="370"/>
      <c r="H16" s="370"/>
      <c r="I16" s="140"/>
      <c r="J16" s="140"/>
      <c r="K16" s="140"/>
      <c r="L16" s="141"/>
      <c r="M16" s="141"/>
      <c r="N16" s="141"/>
      <c r="O16" s="100"/>
    </row>
    <row r="17" spans="1:15" x14ac:dyDescent="0.25">
      <c r="A17" s="105"/>
      <c r="B17" s="106"/>
      <c r="C17" s="106"/>
      <c r="D17" s="107"/>
      <c r="F17" s="140"/>
      <c r="G17" s="370"/>
      <c r="H17" s="370"/>
      <c r="I17" s="140"/>
      <c r="J17" s="141"/>
      <c r="K17" s="141"/>
      <c r="L17" s="141"/>
      <c r="M17" s="141"/>
      <c r="N17" s="141"/>
      <c r="O17" s="101"/>
    </row>
    <row r="18" spans="1:15" x14ac:dyDescent="0.25">
      <c r="A18" s="105"/>
      <c r="B18" s="106"/>
      <c r="C18" s="106"/>
      <c r="D18" s="107"/>
      <c r="F18" s="140"/>
      <c r="G18" s="370"/>
      <c r="H18" s="370"/>
      <c r="I18" s="141"/>
      <c r="J18" s="141"/>
      <c r="K18" s="43"/>
      <c r="L18" s="43"/>
      <c r="M18" s="43"/>
      <c r="N18" s="43"/>
    </row>
    <row r="19" spans="1:15" x14ac:dyDescent="0.25">
      <c r="A19" s="105"/>
      <c r="B19" s="111"/>
      <c r="C19" s="111"/>
      <c r="D19" s="107"/>
      <c r="F19" s="140"/>
      <c r="G19" s="370"/>
      <c r="H19" s="370"/>
      <c r="I19" s="141"/>
      <c r="J19" s="141"/>
      <c r="K19" s="43"/>
      <c r="L19" s="43"/>
      <c r="M19" s="43"/>
      <c r="N19" s="43"/>
    </row>
    <row r="20" spans="1:15" x14ac:dyDescent="0.25">
      <c r="A20" s="105"/>
      <c r="B20" s="106"/>
      <c r="C20" s="106"/>
      <c r="D20" s="107"/>
      <c r="F20" s="140"/>
      <c r="G20" s="370"/>
      <c r="H20" s="370"/>
      <c r="I20" s="141"/>
      <c r="J20" s="141"/>
      <c r="K20" s="43"/>
      <c r="L20" s="43"/>
      <c r="M20" s="43"/>
      <c r="N20" s="43"/>
    </row>
    <row r="21" spans="1:15" x14ac:dyDescent="0.25">
      <c r="A21" s="105"/>
      <c r="B21" s="106"/>
      <c r="C21" s="106"/>
      <c r="D21" s="107"/>
      <c r="F21" s="140"/>
      <c r="G21" s="370"/>
      <c r="H21" s="370"/>
      <c r="I21" s="140"/>
      <c r="J21" s="43"/>
      <c r="K21" s="43"/>
      <c r="L21" s="43"/>
      <c r="M21" s="43"/>
      <c r="N21" s="43"/>
    </row>
    <row r="22" spans="1:15" x14ac:dyDescent="0.25">
      <c r="A22" s="105"/>
      <c r="B22" s="106"/>
      <c r="C22" s="106"/>
      <c r="D22" s="107"/>
      <c r="F22" s="140"/>
      <c r="G22" s="141"/>
      <c r="H22" s="141"/>
      <c r="I22" s="141"/>
      <c r="J22" s="141"/>
      <c r="K22" s="140"/>
      <c r="L22" s="142"/>
      <c r="M22" s="140"/>
      <c r="N22" s="43"/>
    </row>
    <row r="23" spans="1:15" ht="15.75" thickBot="1" x14ac:dyDescent="0.3">
      <c r="A23" s="108"/>
      <c r="B23" s="367"/>
      <c r="C23" s="368"/>
      <c r="D23" s="369"/>
      <c r="F23" s="143"/>
      <c r="G23" s="141"/>
      <c r="H23" s="141"/>
      <c r="I23" s="141"/>
      <c r="J23" s="43"/>
      <c r="K23" s="43"/>
      <c r="L23" s="43"/>
      <c r="M23" s="43"/>
      <c r="N23" s="43"/>
    </row>
    <row r="24" spans="1:15" ht="15.75" thickBot="1" x14ac:dyDescent="0.3">
      <c r="A24" s="364"/>
      <c r="B24" s="365"/>
      <c r="C24" s="365"/>
      <c r="D24" s="366"/>
      <c r="F24" s="141"/>
      <c r="G24" s="141"/>
      <c r="H24" s="141"/>
      <c r="I24" s="140"/>
      <c r="J24" s="142"/>
      <c r="K24" s="140"/>
      <c r="L24" s="141"/>
      <c r="M24" s="141"/>
      <c r="N24" s="43"/>
    </row>
    <row r="25" spans="1:15" x14ac:dyDescent="0.25">
      <c r="A25" s="102"/>
      <c r="B25" s="97"/>
      <c r="C25" s="98"/>
      <c r="D25" s="98"/>
      <c r="F25" s="140"/>
      <c r="G25" s="100"/>
      <c r="H25" s="100"/>
      <c r="I25" s="103"/>
      <c r="J25" s="100"/>
      <c r="K25" s="101"/>
      <c r="L25" s="101"/>
      <c r="M25" s="101"/>
    </row>
    <row r="26" spans="1:15" x14ac:dyDescent="0.25">
      <c r="A26" s="105"/>
      <c r="B26" s="30"/>
      <c r="C26" s="30"/>
      <c r="D26" s="107"/>
      <c r="F26" s="145"/>
      <c r="G26" s="103"/>
      <c r="H26" s="103"/>
      <c r="I26" s="100"/>
      <c r="J26" s="101"/>
      <c r="K26" s="101"/>
      <c r="L26" s="101"/>
      <c r="M26" s="101"/>
    </row>
    <row r="27" spans="1:15" x14ac:dyDescent="0.25">
      <c r="A27" s="105"/>
      <c r="B27" s="128"/>
      <c r="C27" s="128"/>
      <c r="D27" s="107"/>
      <c r="F27" s="145"/>
      <c r="G27" s="100"/>
      <c r="H27" s="100"/>
      <c r="I27" s="100"/>
      <c r="J27" s="100"/>
      <c r="K27" s="100"/>
      <c r="L27" s="100"/>
    </row>
    <row r="28" spans="1:15" x14ac:dyDescent="0.25">
      <c r="A28" s="105"/>
      <c r="B28" s="109"/>
      <c r="C28" s="109"/>
      <c r="D28" s="107"/>
      <c r="F28" s="145"/>
      <c r="G28" s="101"/>
      <c r="H28" s="101"/>
      <c r="I28" s="101"/>
      <c r="J28" s="101"/>
      <c r="K28" s="101"/>
      <c r="L28" s="101"/>
      <c r="M28" s="101"/>
    </row>
    <row r="29" spans="1:15" x14ac:dyDescent="0.25">
      <c r="A29" s="105"/>
      <c r="B29" s="109"/>
      <c r="C29" s="109"/>
      <c r="D29" s="107"/>
      <c r="F29" s="145"/>
      <c r="G29" s="101"/>
      <c r="I29" s="110"/>
    </row>
    <row r="30" spans="1:15" x14ac:dyDescent="0.25">
      <c r="A30" s="105"/>
      <c r="B30" s="111"/>
      <c r="C30" s="111"/>
      <c r="D30" s="107"/>
      <c r="F30" s="145"/>
      <c r="G30" s="101"/>
      <c r="I30" s="100"/>
    </row>
    <row r="31" spans="1:15" x14ac:dyDescent="0.25">
      <c r="A31" s="105"/>
      <c r="B31" s="128"/>
      <c r="C31" s="128"/>
      <c r="D31" s="107"/>
      <c r="F31" s="145"/>
      <c r="G31" s="101"/>
      <c r="I31" s="100"/>
    </row>
    <row r="32" spans="1:15" x14ac:dyDescent="0.25">
      <c r="A32" s="105"/>
      <c r="B32" s="109"/>
      <c r="C32" s="109"/>
      <c r="D32" s="107"/>
      <c r="F32" s="140"/>
      <c r="G32" s="101"/>
      <c r="I32" s="100"/>
    </row>
    <row r="33" spans="1:9" x14ac:dyDescent="0.25">
      <c r="A33" s="112"/>
      <c r="B33" s="109"/>
      <c r="C33" s="109"/>
      <c r="D33" s="113"/>
      <c r="F33" s="110"/>
      <c r="G33" s="101"/>
      <c r="I33" s="100"/>
    </row>
    <row r="34" spans="1:9" ht="15.75" thickBot="1" x14ac:dyDescent="0.3">
      <c r="A34" s="106"/>
      <c r="B34" s="367"/>
      <c r="C34" s="368"/>
      <c r="D34" s="369"/>
      <c r="F34" s="100"/>
      <c r="I34" s="110"/>
    </row>
    <row r="35" spans="1:9" x14ac:dyDescent="0.25">
      <c r="F35" s="100"/>
      <c r="I35" s="100"/>
    </row>
    <row r="36" spans="1:9" x14ac:dyDescent="0.25">
      <c r="F36" s="100"/>
      <c r="I36" s="100"/>
    </row>
    <row r="37" spans="1:9" x14ac:dyDescent="0.25">
      <c r="F37" s="57"/>
      <c r="I37" s="57"/>
    </row>
    <row r="38" spans="1:9" x14ac:dyDescent="0.25">
      <c r="F38" s="100"/>
      <c r="I38" s="100"/>
    </row>
    <row r="39" spans="1:9" x14ac:dyDescent="0.25">
      <c r="F39" s="100"/>
      <c r="I39" s="100"/>
    </row>
    <row r="40" spans="1:9" x14ac:dyDescent="0.25">
      <c r="F40" s="100"/>
      <c r="I40" s="110"/>
    </row>
    <row r="41" spans="1:9" x14ac:dyDescent="0.25">
      <c r="F41" s="100"/>
      <c r="I41" s="100"/>
    </row>
    <row r="42" spans="1:9" x14ac:dyDescent="0.25">
      <c r="F42" s="57"/>
      <c r="I42" s="100"/>
    </row>
    <row r="43" spans="1:9" x14ac:dyDescent="0.25">
      <c r="F43" s="57"/>
      <c r="I43" s="100"/>
    </row>
    <row r="44" spans="1:9" x14ac:dyDescent="0.25">
      <c r="F44" s="57"/>
      <c r="I44" s="100"/>
    </row>
    <row r="45" spans="1:9" x14ac:dyDescent="0.25">
      <c r="F45" s="110"/>
    </row>
    <row r="46" spans="1:9" x14ac:dyDescent="0.25">
      <c r="F46" s="100"/>
    </row>
    <row r="47" spans="1:9" x14ac:dyDescent="0.25">
      <c r="F47" s="100"/>
    </row>
    <row r="48" spans="1:9" x14ac:dyDescent="0.25">
      <c r="F48" s="100"/>
    </row>
    <row r="49" spans="6:6" x14ac:dyDescent="0.25">
      <c r="F49" s="100"/>
    </row>
    <row r="50" spans="6:6" x14ac:dyDescent="0.25">
      <c r="F50" s="100"/>
    </row>
    <row r="51" spans="6:6" x14ac:dyDescent="0.25">
      <c r="F51" s="100"/>
    </row>
    <row r="52" spans="6:6" x14ac:dyDescent="0.25">
      <c r="F52" s="110"/>
    </row>
    <row r="53" spans="6:6" x14ac:dyDescent="0.25">
      <c r="F53" s="100"/>
    </row>
    <row r="54" spans="6:6" x14ac:dyDescent="0.25">
      <c r="F54" s="100"/>
    </row>
    <row r="55" spans="6:6" x14ac:dyDescent="0.25">
      <c r="F55" s="100"/>
    </row>
    <row r="56" spans="6:6" x14ac:dyDescent="0.25">
      <c r="F56" s="57"/>
    </row>
    <row r="57" spans="6:6" x14ac:dyDescent="0.25">
      <c r="F57" s="100"/>
    </row>
    <row r="58" spans="6:6" x14ac:dyDescent="0.25">
      <c r="F58" s="100"/>
    </row>
    <row r="59" spans="6:6" x14ac:dyDescent="0.25">
      <c r="F59" s="100"/>
    </row>
    <row r="60" spans="6:6" x14ac:dyDescent="0.25">
      <c r="F60" s="100"/>
    </row>
    <row r="61" spans="6:6" x14ac:dyDescent="0.25">
      <c r="F61" s="57"/>
    </row>
    <row r="62" spans="6:6" x14ac:dyDescent="0.25">
      <c r="F62" s="57"/>
    </row>
    <row r="63" spans="6:6" x14ac:dyDescent="0.25">
      <c r="F63" s="57"/>
    </row>
    <row r="64" spans="6:6" x14ac:dyDescent="0.25">
      <c r="F64" s="110"/>
    </row>
    <row r="65" spans="6:6" x14ac:dyDescent="0.25">
      <c r="F65" s="100"/>
    </row>
    <row r="66" spans="6:6" x14ac:dyDescent="0.25">
      <c r="F66" s="100"/>
    </row>
    <row r="67" spans="6:6" x14ac:dyDescent="0.25">
      <c r="F67" s="100"/>
    </row>
    <row r="68" spans="6:6" x14ac:dyDescent="0.25">
      <c r="F68" s="100"/>
    </row>
    <row r="69" spans="6:6" x14ac:dyDescent="0.25">
      <c r="F69" s="100"/>
    </row>
    <row r="70" spans="6:6" x14ac:dyDescent="0.25">
      <c r="F70" s="100"/>
    </row>
    <row r="71" spans="6:6" x14ac:dyDescent="0.25">
      <c r="F71" s="57"/>
    </row>
    <row r="73" spans="6:6" x14ac:dyDescent="0.25">
      <c r="F73" s="57"/>
    </row>
    <row r="74" spans="6:6" x14ac:dyDescent="0.25">
      <c r="F74" s="57"/>
    </row>
  </sheetData>
  <mergeCells count="11">
    <mergeCell ref="G21:H21"/>
    <mergeCell ref="G16:H16"/>
    <mergeCell ref="G17:H17"/>
    <mergeCell ref="G18:H18"/>
    <mergeCell ref="G19:H19"/>
    <mergeCell ref="G20:H20"/>
    <mergeCell ref="A3:D3"/>
    <mergeCell ref="A13:D13"/>
    <mergeCell ref="A24:D24"/>
    <mergeCell ref="B23:D23"/>
    <mergeCell ref="B34:D3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SharedWithUsers xmlns="ffac592c-cdc9-47d3-9b5f-572462ebd9e4">
      <UserInfo>
        <DisplayName/>
        <AccountId xsi:nil="true"/>
        <AccountType/>
      </UserInfo>
    </SharedWithUsers>
    <lcf76f155ced4ddcb4097134ff3c332f xmlns="a49c09fe-4018-4f3a-9927-d6e5af32fdd5">
      <Terms xmlns="http://schemas.microsoft.com/office/infopath/2007/PartnerControls"/>
    </lcf76f155ced4ddcb4097134ff3c332f>
    <TaxCatchAll xmlns="ffac592c-cdc9-47d3-9b5f-572462ebd9e4" xsi:nil="true"/>
    <_Flow_SignoffStatus xmlns="a49c09fe-4018-4f3a-9927-d6e5af32fdd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F0025A-7FBD-41CA-948E-842EDA2D51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9A31A4-B059-4FF4-9E6B-ACAC8BAF1913}">
  <ds:schemaRefs>
    <ds:schemaRef ds:uri="http://schemas.microsoft.com/office/2006/metadata/properties"/>
    <ds:schemaRef ds:uri="http://schemas.microsoft.com/office/infopath/2007/PartnerControls"/>
    <ds:schemaRef ds:uri="a49c09fe-4018-4f3a-9927-d6e5af32fdd5"/>
    <ds:schemaRef ds:uri="ffac592c-cdc9-47d3-9b5f-572462ebd9e4"/>
  </ds:schemaRefs>
</ds:datastoreItem>
</file>

<file path=customXml/itemProps3.xml><?xml version="1.0" encoding="utf-8"?>
<ds:datastoreItem xmlns:ds="http://schemas.openxmlformats.org/officeDocument/2006/customXml" ds:itemID="{F6CAE7A2-8E0E-423B-9141-5C6F416F96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Data Ocupacion</vt:lpstr>
      <vt:lpstr>Oferta Diaria</vt:lpstr>
      <vt:lpstr>UMR Resumen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2026-07-09T21:59:55Z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0x010100E3C748FF7EC2ED4E8EAD43CD1EEC2D0E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