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BEC15471-B973-4801-83DB-DC0C980A4BC4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75" i="1" l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6" i="2"/>
  <c r="X215" i="2"/>
  <c r="C221" i="2"/>
  <c r="B221" i="2"/>
  <c r="H220" i="2"/>
  <c r="H219" i="2"/>
  <c r="X219" i="2" s="1"/>
  <c r="H218" i="2"/>
  <c r="X218" i="2" s="1"/>
  <c r="H217" i="2"/>
  <c r="X217" i="2" s="1"/>
  <c r="H216" i="2"/>
  <c r="H215" i="2"/>
  <c r="H221" i="2" s="1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X221" i="2" l="1"/>
  <c r="I86" i="1"/>
  <c r="B88" i="1"/>
  <c r="C60" i="2"/>
  <c r="B60" i="2"/>
  <c r="C53" i="2"/>
  <c r="B53" i="2"/>
  <c r="C46" i="2"/>
  <c r="B46" i="2"/>
  <c r="C88" i="2" l="1"/>
  <c r="B88" i="2"/>
  <c r="C81" i="2"/>
  <c r="B81" i="2"/>
  <c r="C74" i="2"/>
  <c r="B74" i="2"/>
  <c r="C67" i="2"/>
  <c r="B67" i="2"/>
  <c r="C39" i="2"/>
  <c r="B39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S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J92" i="1"/>
  <c r="K92" i="1"/>
  <c r="I93" i="1"/>
  <c r="J93" i="1"/>
  <c r="K93" i="1"/>
  <c r="K86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32" i="2"/>
  <c r="B32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86" i="1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B85" i="1" l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H85" i="1"/>
  <c r="I85" i="1"/>
  <c r="J85" i="1"/>
  <c r="M85" i="1"/>
  <c r="N85" i="1"/>
  <c r="Q88" i="1" l="1"/>
  <c r="M88" i="1"/>
  <c r="L88" i="1"/>
  <c r="K88" i="1"/>
  <c r="J88" i="1"/>
  <c r="N88" i="1"/>
  <c r="I88" i="1"/>
  <c r="H88" i="1"/>
  <c r="G88" i="1"/>
  <c r="F88" i="1"/>
  <c r="D88" i="1"/>
  <c r="C88" i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8" i="2" l="1"/>
  <c r="N116" i="2"/>
  <c r="B19" i="13" s="1"/>
  <c r="B31" i="13"/>
  <c r="N102" i="2"/>
  <c r="N39" i="2"/>
  <c r="N95" i="2"/>
  <c r="B16" i="13" s="1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84" i="2" l="1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J95" i="2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D19" i="13" l="1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O102" i="2"/>
  <c r="F17" i="13" s="1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M95" i="2"/>
  <c r="K123" i="2"/>
  <c r="K102" i="2"/>
  <c r="M102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822E99B2-A07C-47F7-B6A5-546BC6A1164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T6" authorId="0" shapeId="0" xr:uid="{EC30EE0C-9230-4D67-B698-2735DBDA267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37928</t>
        </r>
      </text>
    </comment>
    <comment ref="Q7" authorId="0" shapeId="0" xr:uid="{31D772D3-B39F-444E-B1DB-22044EFCFDE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37822</t>
        </r>
      </text>
    </comment>
    <comment ref="Q12" authorId="0" shapeId="0" xr:uid="{0EAF158D-CADD-4E8F-99D0-A73953AFFD9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T13" authorId="0" shapeId="0" xr:uid="{29D98E94-4317-490C-A3A9-9641640D30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37929</t>
        </r>
      </text>
    </comment>
    <comment ref="Q14" authorId="0" shapeId="0" xr:uid="{0BB93078-6D62-4E63-8464-7907F01685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37877</t>
        </r>
      </text>
    </comment>
    <comment ref="Q19" authorId="0" shapeId="0" xr:uid="{C27131D9-9E79-4882-B1F1-0E63C859D67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T20" authorId="0" shapeId="0" xr:uid="{61496F24-09AB-43F7-98E9-1293A7064B3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38009</t>
        </r>
      </text>
    </comment>
    <comment ref="Q21" authorId="0" shapeId="0" xr:uid="{F6AD63FB-A9BA-405D-86B8-22816B59953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37923</t>
        </r>
      </text>
    </comment>
    <comment ref="Q26" authorId="0" shapeId="0" xr:uid="{38B46ED9-39EC-48CB-8F9E-45DED001A8D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T27" authorId="0" shapeId="0" xr:uid="{A61D4349-6735-4783-B236-6BD02B4C43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38102</t>
        </r>
      </text>
    </comment>
    <comment ref="Q28" authorId="0" shapeId="0" xr:uid="{2BB791D9-7DAB-4153-B35D-1987308C48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38007</t>
        </r>
      </text>
    </comment>
    <comment ref="Q33" authorId="0" shapeId="0" xr:uid="{5ED0F34B-5DBB-4812-AB46-593D38072E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T34" authorId="0" shapeId="0" xr:uid="{1645CEAB-2BED-4865-BF50-90D7224E23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38293</t>
        </r>
      </text>
    </comment>
    <comment ref="Q35" authorId="0" shapeId="0" xr:uid="{D3316304-7D23-419F-8BA0-4316D1BD8A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38105</t>
        </r>
      </text>
    </comment>
    <comment ref="Q54" authorId="0" shapeId="0" xr:uid="{CF1BDFFC-B73A-4E30-AB57-8C1293BBA2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T55" authorId="0" shapeId="0" xr:uid="{12A2BE35-7604-42D1-8A05-A63E704E78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38335</t>
        </r>
      </text>
    </comment>
    <comment ref="Q56" authorId="0" shapeId="0" xr:uid="{F0FA5619-803A-45CE-8B38-72C8C3BA36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38286</t>
        </r>
      </text>
    </comment>
    <comment ref="Q61" authorId="0" shapeId="0" xr:uid="{332E7E66-6421-417D-8271-D208ADD078A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T62" authorId="0" shapeId="0" xr:uid="{0065A6E3-26E1-4F83-92A5-81C37EAAA2D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38517
Estación El Belloto, anden 2. Servicio 652 XT-17-12 (viaje 145), 653 XT-11-09 (viaje 149), 654 XT-24-13 (viaje 153) son acoplados para cumplir con oferta de equipos en unidad múltiple.</t>
        </r>
      </text>
    </comment>
    <comment ref="Q63" authorId="0" shapeId="0" xr:uid="{9BD34943-9DF0-464E-B1AA-F92A2814291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38438 
Estación El Belloto, vía 1. Servicio 473 XT-16-20 (viaje 22), 474XT-03-05 (viaje 28), 655 XT-13-26 (viaje 30), 475 XT-09-21 (viaje 34), 658 XT-19-15 (viaje 46) y 610 XT-28-31 (viaje 54) son desacoplados.</t>
        </r>
      </text>
    </comment>
    <comment ref="Q68" authorId="0" shapeId="0" xr:uid="{9E019303-6C9C-46C1-BDCB-7D3D0E9B5D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0" authorId="0" shapeId="0" xr:uid="{A20408AB-4376-4010-9AE1-BB43C7E5CC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38580</t>
        </r>
      </text>
    </comment>
    <comment ref="Q75" authorId="0" shapeId="0" xr:uid="{C5D342E0-7093-4A2C-A84E-24971C9B78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T76" authorId="0" shapeId="0" xr:uid="{35265C1F-8565-4412-B3F8-D149B4E965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38804</t>
        </r>
      </text>
    </comment>
    <comment ref="Q77" authorId="0" shapeId="0" xr:uid="{6189AA96-09DB-450D-AF90-563BCC84B0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38769</t>
        </r>
      </text>
    </comment>
    <comment ref="Q82" authorId="0" shapeId="0" xr:uid="{C0211ED1-D49A-4937-9ECC-84BCE16E9B5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T83" authorId="0" shapeId="0" xr:uid="{36D409F1-E8D2-4D69-9EA0-6F033EAE95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38886
14:30 Estación El Belloto, anden 2. Servicio 656 XT-17-04 (viaje 121) y 657 XT-09-06 (viaje 123), son acoplados para cumplir con oferta de equipos en unidad múltiple. 38886
</t>
        </r>
      </text>
    </comment>
    <comment ref="Q84" authorId="0" shapeId="0" xr:uid="{3147FD7F-51CA-48A8-BBE1-EF42C00613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38871 
08:08 Estación El Belloto, vía 1. Servicio 474 XT-32-33 (viaje 28), 657 XT-31-30 (viaje 42), 658 XT-27-24 (viaje 46) y 654 XT-14-06 (viaje 74) son desacoplados. 38871</t>
        </r>
      </text>
    </comment>
    <comment ref="R84" authorId="0" shapeId="0" xr:uid="{6D6817C5-93DD-430F-824E-5031DE92B83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38870 Estación Sgto. Aldea, anden 1. Servicio 473 XT-02-22 (viaje 22) y 475 XT-03-08 (viaje 34) son desacoplados.</t>
        </r>
      </text>
    </comment>
    <comment ref="Q103" authorId="0" shapeId="0" xr:uid="{214F84A3-0539-4CEF-B853-65504E3B94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T104" authorId="0" shapeId="0" xr:uid="{5DE922E7-ED1B-4C5E-AFEA-ECEB56F1BB3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</t>
        </r>
      </text>
    </comment>
    <comment ref="Q105" authorId="0" shapeId="0" xr:uid="{5A3DA56B-0DAA-488C-BC4B-C8D6C0C61A2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39023</t>
        </r>
      </text>
    </comment>
    <comment ref="Q110" authorId="0" shapeId="0" xr:uid="{173F260C-3553-456D-81E0-C0A3059F53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T111" authorId="0" shapeId="0" xr:uid="{7C2620F3-AD67-42DE-ACED-6E215DE48A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39313 14:30 Estación El Belloto, anden 2. Servicio 656 XT-22-13 (viaje 121), 657 XT-23-16 (viaje 123) y 652 XT-35-28 (viaje 145) son acoplados para cumplir con oferta de equipos en unidad múltiple 39313</t>
        </r>
      </text>
    </comment>
    <comment ref="Q112" authorId="0" shapeId="0" xr:uid="{38B2E6FA-1E7E-4B37-AAC1-4D228A31075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39132 Estación El Belloto, vía 1. Servicio 473 XT-01-18 (viaje 22), 474 XT-19-13 (viaje 28), 655 XT-28-33 (viaje 30), 475 XT-12-05 (viaje 34) y 657 XT-02-24 (viaje 42) son desacoplados.</t>
        </r>
      </text>
    </comment>
    <comment ref="Q152" authorId="0" shapeId="0" xr:uid="{9D1114E4-DC93-4A93-BB6B-F26A2BF7A9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T153" authorId="0" shapeId="0" xr:uid="{AA291257-7CBF-4870-B7EC-7F843EF87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39852</t>
        </r>
      </text>
    </comment>
    <comment ref="Q154" authorId="0" shapeId="0" xr:uid="{5E1FDC2B-5830-41FA-AB9F-1752F6D058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39813</t>
        </r>
      </text>
    </comment>
    <comment ref="Q159" authorId="0" shapeId="0" xr:uid="{A1085B1C-BEBF-4D0A-986D-56349583E93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1" authorId="0" shapeId="0" xr:uid="{78E48C86-7396-43E0-9ECF-E7A598EAFB6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39926</t>
        </r>
      </text>
    </comment>
    <comment ref="Q166" authorId="0" shapeId="0" xr:uid="{4D8C3B07-DF1C-40B9-B412-1D449E81CC0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T167" authorId="0" shapeId="0" xr:uid="{1D48BD04-5619-4364-8530-06B99FA4EFB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40181 Estación El Belloto, anden 2. Servicio 656 XT-33-34 (viaje 121) y 657 XT-32-29 (viaje 123) son acoplados para cumplir con oferta de equipos en unidad múltiple</t>
        </r>
      </text>
    </comment>
    <comment ref="Q168" authorId="0" shapeId="0" xr:uid="{4357FD43-D988-479F-A2A2-C09200E79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40114 Estación El Belloto, vía 1. Servicio 473 XT-23-14 (viaje 22), 474 XT-34-29 (viaje 28), 655 XT-16-13 (viaje 30) y 657 XT-01-18 (viaje 42) son desacoplados.</t>
        </r>
      </text>
    </comment>
    <comment ref="Q173" authorId="0" shapeId="0" xr:uid="{957E2C3C-8EFF-474D-B306-4241C2D503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T174" authorId="0" shapeId="0" xr:uid="{3342C0F8-C533-41F1-8F95-405B493E108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40307</t>
        </r>
      </text>
    </comment>
    <comment ref="Q175" authorId="0" shapeId="0" xr:uid="{F9A106ED-22A3-4324-9572-496F3B75D9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40263</t>
        </r>
      </text>
    </comment>
    <comment ref="Q180" authorId="0" shapeId="0" xr:uid="{A011AFA3-BBC0-4BE4-8DD5-0294F243CC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  <comment ref="T181" authorId="0" shapeId="0" xr:uid="{86C79D9E-F42E-4FE3-872D-E833D0C0EF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40415
Estación El Belloto, anden 2. Servicio 656 XT-29-30 (viaje 121) y 657 XT-33-35 (viaje 123) son acoplados para cumplir con oferta de equipos en unidad múltiple</t>
        </r>
      </text>
    </comment>
    <comment ref="Q182" authorId="0" shapeId="0" xr:uid="{3DAB6D1D-76BD-461B-9B4B-6CA9F9D3247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40393 Estación El Belloto, vía 1. Servicio 473 XT-09-16 (viaje 22), 474 XT-25-16 (viaje 28), 655 XT-24-21 (viaje 30) y 475 XT-35-28 (viaje 34) son desacoplados.</t>
        </r>
      </text>
    </comment>
  </commentList>
</comments>
</file>

<file path=xl/sharedStrings.xml><?xml version="1.0" encoding="utf-8"?>
<sst xmlns="http://schemas.openxmlformats.org/spreadsheetml/2006/main" count="734" uniqueCount="187">
  <si>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</si>
  <si>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</si>
  <si>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</si>
  <si>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</si>
  <si>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</si>
  <si>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</si>
  <si>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</si>
  <si>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</si>
  <si>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</si>
  <si>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</si>
  <si>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</si>
  <si>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</si>
  <si>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</si>
  <si>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</si>
  <si>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</si>
  <si>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</si>
  <si>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</si>
  <si>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</si>
  <si>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</si>
  <si>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</si>
  <si>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</si>
  <si>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</si>
  <si>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</si>
  <si>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</si>
  <si>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</si>
  <si>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</si>
  <si>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</si>
  <si>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</si>
  <si>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</si>
  <si>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</si>
  <si>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</si>
  <si>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</si>
  <si>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</si>
  <si>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</si>
  <si>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</si>
  <si>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</si>
  <si>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</si>
  <si>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</si>
  <si>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</si>
  <si>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</si>
  <si>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</si>
  <si>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</si>
  <si>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</si>
  <si>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</si>
  <si>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</si>
  <si>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</si>
  <si>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</si>
  <si>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</si>
  <si>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</si>
  <si>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</si>
  <si>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</si>
  <si>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</si>
  <si>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</si>
  <si>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</si>
  <si>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</si>
  <si>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</si>
  <si>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</si>
  <si>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</si>
  <si>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</si>
  <si>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</si>
  <si>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</si>
  <si>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</si>
  <si>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</si>
  <si>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</si>
  <si>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</si>
  <si>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</si>
  <si>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</si>
  <si>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</si>
  <si>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</si>
  <si>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</si>
  <si>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</si>
  <si>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</si>
  <si>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</si>
  <si>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</si>
  <si>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</si>
  <si>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</si>
  <si>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</si>
  <si>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</si>
  <si>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</si>
  <si>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</si>
  <si>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</si>
  <si>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</si>
  <si>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</si>
  <si>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</si>
  <si>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</si>
  <si>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</si>
  <si>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</si>
  <si>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</si>
  <si>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</si>
  <si>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</si>
  <si>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</si>
  <si>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</si>
  <si>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</si>
  <si>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</si>
  <si>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</si>
  <si>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</si>
  <si>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</si>
  <si>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</si>
  <si>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</si>
  <si>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</si>
  <si>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</si>
  <si>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</si>
  <si>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</si>
  <si>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</si>
  <si>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</si>
  <si>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</si>
  <si>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</si>
  <si>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</si>
  <si>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</si>
  <si>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</si>
  <si>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</si>
  <si>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</si>
  <si>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</si>
  <si>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</si>
  <si>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</si>
  <si>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</si>
  <si>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</si>
  <si>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</si>
  <si>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</si>
  <si>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</si>
  <si>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</si>
  <si>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</si>
  <si>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</si>
  <si>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</si>
  <si>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</si>
  <si>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</si>
  <si>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</si>
  <si>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</si>
  <si>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</si>
  <si>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</si>
  <si>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</si>
  <si>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</si>
  <si>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</si>
  <si>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</si>
  <si>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</si>
  <si>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</si>
  <si>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</si>
  <si>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</si>
  <si>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</si>
  <si>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</si>
  <si>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</si>
  <si>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</si>
  <si>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</si>
  <si>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</si>
  <si>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</si>
  <si>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</si>
  <si>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</si>
  <si>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</si>
  <si>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</si>
  <si>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</si>
  <si>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</si>
  <si>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</si>
  <si>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</si>
  <si>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</si>
  <si>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</si>
  <si>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</si>
  <si>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</si>
  <si>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</si>
  <si>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</si>
  <si>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</si>
  <si>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</si>
  <si>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</si>
  <si>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</si>
  <si>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</si>
  <si>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</si>
  <si>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</si>
  <si>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</si>
  <si>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</si>
  <si>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</si>
  <si>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</si>
  <si>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</si>
  <si>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</si>
  <si>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</si>
  <si>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</si>
  <si>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</si>
  <si>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</si>
  <si>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</si>
  <si>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</si>
  <si>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</si>
  <si>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</si>
  <si>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</si>
  <si>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</si>
  <si>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</si>
  <si>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Junio 2026</t>
  </si>
  <si>
    <t>Junio 2026</t>
  </si>
  <si>
    <t>2 servicios (2xx y 4xx) suprimidos por averia</t>
  </si>
  <si>
    <t>Estación Puerto. Servicio 423 (viaje 64) es suprimido por falla del servicio 601.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</si>
</sst>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7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53" fillId="0" borderId="2" xfId="0" applyNumberFormat="1" applyFont="1" applyFill="1" applyBorder="1" applyAlignment="1">
      <alignment horizontal="center" vertical="center" wrapText="1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4" fillId="0" borderId="0" xfId="2" applyFont="1" applyFill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59" borderId="86" xfId="0" applyFill="1" applyBorder="1" applyAlignment="1">
      <alignment vertical="center" wrapText="1"/>
    </xf>
    <xf numFmtId="0" fontId="0" fillId="60" borderId="86" xfId="0" applyFill="1" applyBorder="1" applyAlignment="1">
      <alignment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zoomScaleNormal="100" workbookViewId="0">
      <selection activeCell="AF50" sqref="AF50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6" t="s">
        <v>0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</row>
    <row r="2" spans="1:34" x14ac:dyDescent="0.25">
      <c r="A2" s="1"/>
      <c r="B2" s="61">
        <v>46174</v>
      </c>
      <c r="C2" s="61">
        <v>46175</v>
      </c>
      <c r="D2" s="61">
        <v>46176</v>
      </c>
      <c r="E2" s="61">
        <v>46177</v>
      </c>
      <c r="F2" s="61">
        <v>46178</v>
      </c>
      <c r="G2" s="61">
        <v>46179</v>
      </c>
      <c r="H2" s="61">
        <v>46180</v>
      </c>
      <c r="I2" s="61">
        <v>46181</v>
      </c>
      <c r="J2" s="61">
        <v>46182</v>
      </c>
      <c r="K2" s="61">
        <v>46183</v>
      </c>
      <c r="L2" s="61">
        <v>46184</v>
      </c>
      <c r="M2" s="61">
        <v>46185</v>
      </c>
      <c r="N2" s="61">
        <v>46186</v>
      </c>
      <c r="O2" s="61">
        <v>46187</v>
      </c>
      <c r="P2" s="61">
        <v>46188</v>
      </c>
      <c r="Q2" s="61">
        <v>46189</v>
      </c>
      <c r="R2" s="61">
        <v>46190</v>
      </c>
      <c r="S2" s="61">
        <v>46191</v>
      </c>
      <c r="T2" s="61">
        <v>46192</v>
      </c>
      <c r="U2" s="61">
        <v>46193</v>
      </c>
      <c r="V2" s="61">
        <v>46194</v>
      </c>
      <c r="W2" s="61">
        <v>46195</v>
      </c>
      <c r="X2" s="61">
        <v>46196</v>
      </c>
      <c r="Y2" s="61">
        <v>46197</v>
      </c>
      <c r="Z2" s="61">
        <v>46198</v>
      </c>
      <c r="AA2" s="61">
        <v>46199</v>
      </c>
      <c r="AB2" s="61">
        <v>46200</v>
      </c>
      <c r="AC2" s="61">
        <v>46201</v>
      </c>
      <c r="AD2" s="61">
        <v>46202</v>
      </c>
      <c r="AE2" s="61">
        <v>46203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10">
        <v>2130851</v>
      </c>
      <c r="C5" s="310">
        <v>2131380</v>
      </c>
      <c r="D5" s="310">
        <v>2131941</v>
      </c>
      <c r="E5" s="310">
        <v>2132205</v>
      </c>
      <c r="F5" s="310">
        <v>2132295</v>
      </c>
      <c r="G5" s="310">
        <v>2132815</v>
      </c>
      <c r="H5" s="310">
        <v>2133077</v>
      </c>
      <c r="I5" s="310">
        <v>2133280</v>
      </c>
      <c r="J5" s="310">
        <v>2133528</v>
      </c>
      <c r="K5" s="310">
        <v>2133978</v>
      </c>
      <c r="L5" s="310">
        <v>2134326</v>
      </c>
      <c r="M5" s="310">
        <v>2134742</v>
      </c>
      <c r="N5" s="310">
        <v>2135105</v>
      </c>
      <c r="O5" s="310">
        <v>2135126</v>
      </c>
      <c r="P5" s="310">
        <v>2135578</v>
      </c>
      <c r="Q5" s="310">
        <v>2135780</v>
      </c>
      <c r="R5" s="310">
        <v>2136343</v>
      </c>
      <c r="S5" s="310">
        <v>2136902</v>
      </c>
      <c r="T5" s="310">
        <v>2137339</v>
      </c>
      <c r="U5" s="310">
        <v>2137860</v>
      </c>
      <c r="V5" s="310">
        <v>2138335</v>
      </c>
      <c r="W5" s="310">
        <v>2138733</v>
      </c>
      <c r="X5" s="310">
        <v>2139294</v>
      </c>
      <c r="Y5" s="310">
        <v>2139812</v>
      </c>
      <c r="Z5" s="310">
        <v>2140262</v>
      </c>
      <c r="AA5" s="310">
        <v>2140360</v>
      </c>
      <c r="AB5" s="310">
        <v>2140360</v>
      </c>
      <c r="AC5" s="329">
        <v>2140360</v>
      </c>
      <c r="AD5" s="225">
        <v>2140380</v>
      </c>
      <c r="AE5" s="225"/>
    </row>
    <row r="6" spans="1:34" x14ac:dyDescent="0.25">
      <c r="A6" s="5" t="s">
        <v>5</v>
      </c>
      <c r="B6" s="310">
        <v>2093377</v>
      </c>
      <c r="C6" s="310">
        <v>2093939</v>
      </c>
      <c r="D6" s="310">
        <v>2094501</v>
      </c>
      <c r="E6" s="310">
        <v>2094900</v>
      </c>
      <c r="F6" s="310">
        <v>2095418</v>
      </c>
      <c r="G6" s="310">
        <v>2095937</v>
      </c>
      <c r="H6" s="310">
        <v>2096412</v>
      </c>
      <c r="I6" s="310">
        <v>2096974</v>
      </c>
      <c r="J6" s="310">
        <v>2097535</v>
      </c>
      <c r="K6" s="310">
        <v>2097780</v>
      </c>
      <c r="L6" s="310">
        <v>2098032</v>
      </c>
      <c r="M6" s="310">
        <v>2098287</v>
      </c>
      <c r="N6" s="310">
        <v>2098805</v>
      </c>
      <c r="O6" s="310">
        <v>2099281</v>
      </c>
      <c r="P6" s="310">
        <v>2099886</v>
      </c>
      <c r="Q6" s="310">
        <v>2100131</v>
      </c>
      <c r="R6" s="310">
        <v>2100616</v>
      </c>
      <c r="S6" s="310">
        <v>2101178</v>
      </c>
      <c r="T6" s="310">
        <v>2101671</v>
      </c>
      <c r="U6" s="310">
        <v>2101671</v>
      </c>
      <c r="V6" s="310">
        <v>2101671</v>
      </c>
      <c r="W6" s="310">
        <v>2101770</v>
      </c>
      <c r="X6" s="310">
        <v>2101966</v>
      </c>
      <c r="Y6" s="310">
        <v>2102253</v>
      </c>
      <c r="Z6" s="310">
        <v>2102815</v>
      </c>
      <c r="AA6" s="310">
        <v>2103293</v>
      </c>
      <c r="AB6" s="310">
        <v>2103336</v>
      </c>
      <c r="AC6" s="329">
        <v>2103855</v>
      </c>
      <c r="AD6" s="225">
        <v>2104374</v>
      </c>
      <c r="AE6" s="225"/>
    </row>
    <row r="7" spans="1:34" x14ac:dyDescent="0.25">
      <c r="A7" s="5" t="s">
        <v>6</v>
      </c>
      <c r="B7" s="310">
        <v>2173498</v>
      </c>
      <c r="C7" s="310">
        <v>2173952</v>
      </c>
      <c r="D7" s="310">
        <v>2174146</v>
      </c>
      <c r="E7" s="310">
        <v>2174564</v>
      </c>
      <c r="F7" s="310">
        <v>2175083</v>
      </c>
      <c r="G7" s="310">
        <v>2175083</v>
      </c>
      <c r="H7" s="310">
        <v>2175083</v>
      </c>
      <c r="I7" s="310">
        <v>2175556</v>
      </c>
      <c r="J7" s="310">
        <v>2175728</v>
      </c>
      <c r="K7" s="310">
        <v>2175818</v>
      </c>
      <c r="L7" s="310">
        <v>2176272</v>
      </c>
      <c r="M7" s="310">
        <v>2176748</v>
      </c>
      <c r="N7" s="310">
        <v>2176748</v>
      </c>
      <c r="O7" s="310">
        <v>2176748</v>
      </c>
      <c r="P7" s="310">
        <v>2176942</v>
      </c>
      <c r="Q7" s="310">
        <v>2177192</v>
      </c>
      <c r="R7" s="310">
        <v>2177737</v>
      </c>
      <c r="S7" s="310">
        <v>2178231</v>
      </c>
      <c r="T7" s="310">
        <v>2178503</v>
      </c>
      <c r="U7" s="310">
        <v>2178548</v>
      </c>
      <c r="V7" s="310">
        <v>2179024</v>
      </c>
      <c r="W7" s="310">
        <v>2179587</v>
      </c>
      <c r="X7" s="310">
        <v>2180106</v>
      </c>
      <c r="Y7" s="310">
        <v>2180710</v>
      </c>
      <c r="Z7" s="310">
        <v>2181152</v>
      </c>
      <c r="AA7" s="310">
        <v>2181631</v>
      </c>
      <c r="AB7" s="310">
        <v>2182152</v>
      </c>
      <c r="AC7" s="329">
        <v>2182629</v>
      </c>
      <c r="AD7" s="225">
        <v>2182931</v>
      </c>
      <c r="AE7" s="225"/>
    </row>
    <row r="8" spans="1:34" x14ac:dyDescent="0.25">
      <c r="A8" s="6" t="s">
        <v>7</v>
      </c>
      <c r="B8" s="310">
        <v>2177203</v>
      </c>
      <c r="C8" s="310">
        <v>2177554</v>
      </c>
      <c r="D8" s="310">
        <v>2177806</v>
      </c>
      <c r="E8" s="310">
        <v>2178307</v>
      </c>
      <c r="F8" s="310">
        <v>2178757</v>
      </c>
      <c r="G8" s="310">
        <v>2178757</v>
      </c>
      <c r="H8" s="310">
        <v>2178757</v>
      </c>
      <c r="I8" s="310">
        <v>2178961</v>
      </c>
      <c r="J8" s="310">
        <v>2179379</v>
      </c>
      <c r="K8" s="310">
        <v>2179899</v>
      </c>
      <c r="L8" s="310">
        <v>2180421</v>
      </c>
      <c r="M8" s="310">
        <v>2180734</v>
      </c>
      <c r="N8" s="310">
        <v>2180734</v>
      </c>
      <c r="O8" s="310">
        <v>2180734</v>
      </c>
      <c r="P8" s="310">
        <v>2181022</v>
      </c>
      <c r="Q8" s="310">
        <v>2181515</v>
      </c>
      <c r="R8" s="310">
        <v>2181778</v>
      </c>
      <c r="S8" s="310">
        <v>2181947</v>
      </c>
      <c r="T8" s="310">
        <v>2182508</v>
      </c>
      <c r="U8" s="310">
        <v>2183069</v>
      </c>
      <c r="V8" s="310">
        <v>2183587</v>
      </c>
      <c r="W8" s="310">
        <v>2184123</v>
      </c>
      <c r="X8" s="310">
        <v>2184316</v>
      </c>
      <c r="Y8" s="310">
        <v>2184568</v>
      </c>
      <c r="Z8" s="310">
        <v>2184819</v>
      </c>
      <c r="AA8" s="310">
        <v>2185238</v>
      </c>
      <c r="AB8" s="310">
        <v>2185757</v>
      </c>
      <c r="AC8" s="329">
        <v>2186231</v>
      </c>
      <c r="AD8" s="225">
        <v>2186275</v>
      </c>
      <c r="AE8" s="225"/>
    </row>
    <row r="9" spans="1:34" x14ac:dyDescent="0.25">
      <c r="A9" s="6" t="s">
        <v>8</v>
      </c>
      <c r="B9" s="310">
        <v>2093690</v>
      </c>
      <c r="C9" s="310">
        <v>2094126</v>
      </c>
      <c r="D9" s="310">
        <v>2094645</v>
      </c>
      <c r="E9" s="310">
        <v>2095097</v>
      </c>
      <c r="F9" s="310">
        <v>2095641</v>
      </c>
      <c r="G9" s="310">
        <v>2096116</v>
      </c>
      <c r="H9" s="310">
        <v>2096547</v>
      </c>
      <c r="I9" s="310">
        <v>2096747</v>
      </c>
      <c r="J9" s="310">
        <v>2096998</v>
      </c>
      <c r="K9" s="310">
        <v>2097543</v>
      </c>
      <c r="L9" s="310">
        <v>2098103</v>
      </c>
      <c r="M9" s="310">
        <v>2098315</v>
      </c>
      <c r="N9" s="310">
        <v>2098315</v>
      </c>
      <c r="O9" s="310">
        <v>2098315</v>
      </c>
      <c r="P9" s="310">
        <v>2098566</v>
      </c>
      <c r="Q9" s="310">
        <v>2098815</v>
      </c>
      <c r="R9" s="310">
        <v>2099067</v>
      </c>
      <c r="S9" s="310">
        <v>2099261</v>
      </c>
      <c r="T9" s="310">
        <v>2099512</v>
      </c>
      <c r="U9" s="310">
        <v>2099512</v>
      </c>
      <c r="V9" s="310">
        <v>2099512</v>
      </c>
      <c r="W9" s="310">
        <v>2100013</v>
      </c>
      <c r="X9" s="310">
        <v>2100271</v>
      </c>
      <c r="Y9" s="310">
        <v>2100552</v>
      </c>
      <c r="Z9" s="310">
        <v>2101157</v>
      </c>
      <c r="AA9" s="310">
        <v>2101635</v>
      </c>
      <c r="AB9" s="310">
        <v>2101682</v>
      </c>
      <c r="AC9" s="329">
        <v>2101858</v>
      </c>
      <c r="AD9" s="225">
        <v>2102077</v>
      </c>
      <c r="AE9" s="225"/>
    </row>
    <row r="10" spans="1:34" x14ac:dyDescent="0.25">
      <c r="A10" s="6" t="s">
        <v>9</v>
      </c>
      <c r="B10" s="310">
        <v>2203182</v>
      </c>
      <c r="C10" s="310">
        <v>2203376</v>
      </c>
      <c r="D10" s="310">
        <v>2203621</v>
      </c>
      <c r="E10" s="310">
        <v>2203961</v>
      </c>
      <c r="F10" s="310">
        <v>2204565</v>
      </c>
      <c r="G10" s="310">
        <v>2205126</v>
      </c>
      <c r="H10" s="310">
        <v>2205171</v>
      </c>
      <c r="I10" s="310">
        <v>2205622</v>
      </c>
      <c r="J10" s="310">
        <v>2205827</v>
      </c>
      <c r="K10" s="310">
        <v>2206380</v>
      </c>
      <c r="L10" s="310">
        <v>2206943</v>
      </c>
      <c r="M10" s="310">
        <v>2207360</v>
      </c>
      <c r="N10" s="310">
        <v>2207595</v>
      </c>
      <c r="O10" s="310">
        <v>2208076</v>
      </c>
      <c r="P10" s="310">
        <v>2208445</v>
      </c>
      <c r="Q10" s="310">
        <v>2208524</v>
      </c>
      <c r="R10" s="310">
        <v>2208806</v>
      </c>
      <c r="S10" s="310">
        <v>2209000</v>
      </c>
      <c r="T10" s="310">
        <v>2209251</v>
      </c>
      <c r="U10" s="310">
        <v>2209251</v>
      </c>
      <c r="V10" s="310">
        <v>2209251</v>
      </c>
      <c r="W10" s="310">
        <v>2209503</v>
      </c>
      <c r="X10" s="310">
        <v>2210004</v>
      </c>
      <c r="Y10" s="310">
        <v>2210223</v>
      </c>
      <c r="Z10" s="310">
        <v>2210716</v>
      </c>
      <c r="AA10" s="310">
        <v>2210979</v>
      </c>
      <c r="AB10" s="310">
        <v>2210979</v>
      </c>
      <c r="AC10" s="329">
        <v>2210979</v>
      </c>
      <c r="AD10" s="225">
        <v>2210979</v>
      </c>
      <c r="AE10" s="225"/>
    </row>
    <row r="11" spans="1:34" x14ac:dyDescent="0.25">
      <c r="A11" s="6" t="s">
        <v>10</v>
      </c>
      <c r="B11" s="310">
        <v>2241495</v>
      </c>
      <c r="C11" s="310">
        <v>2241497</v>
      </c>
      <c r="D11" s="310">
        <v>2241700</v>
      </c>
      <c r="E11" s="310">
        <v>2241843</v>
      </c>
      <c r="F11" s="310">
        <v>2241843</v>
      </c>
      <c r="G11" s="310">
        <v>2241843</v>
      </c>
      <c r="H11" s="310">
        <v>2241845</v>
      </c>
      <c r="I11" s="310">
        <v>2241877</v>
      </c>
      <c r="J11" s="310">
        <v>2241877</v>
      </c>
      <c r="K11" s="310">
        <v>2241877</v>
      </c>
      <c r="L11" s="310">
        <v>2241897</v>
      </c>
      <c r="M11" s="310">
        <v>2242339</v>
      </c>
      <c r="N11" s="310">
        <v>2242339</v>
      </c>
      <c r="O11" s="310">
        <v>2242339</v>
      </c>
      <c r="P11" s="310">
        <v>2242542</v>
      </c>
      <c r="Q11" s="310">
        <v>2242830</v>
      </c>
      <c r="R11" s="310">
        <v>2243392</v>
      </c>
      <c r="S11" s="310">
        <v>2243653</v>
      </c>
      <c r="T11" s="310">
        <v>2244172</v>
      </c>
      <c r="U11" s="310">
        <v>2244172</v>
      </c>
      <c r="V11" s="310">
        <v>2244346</v>
      </c>
      <c r="W11" s="310">
        <v>2244634</v>
      </c>
      <c r="X11" s="310">
        <v>2244734</v>
      </c>
      <c r="Y11" s="310">
        <v>2244916</v>
      </c>
      <c r="Z11" s="310">
        <v>2245461</v>
      </c>
      <c r="AA11" s="310">
        <v>2246064</v>
      </c>
      <c r="AB11" s="310">
        <v>2246542</v>
      </c>
      <c r="AC11" s="329">
        <v>2247016</v>
      </c>
      <c r="AD11" s="225">
        <v>2247405</v>
      </c>
      <c r="AE11" s="225"/>
    </row>
    <row r="12" spans="1:34" x14ac:dyDescent="0.25">
      <c r="A12" s="5" t="s">
        <v>11</v>
      </c>
      <c r="B12" s="310">
        <v>2135039</v>
      </c>
      <c r="C12" s="310">
        <v>2135474</v>
      </c>
      <c r="D12" s="310">
        <v>2136011</v>
      </c>
      <c r="E12" s="310">
        <v>2136273</v>
      </c>
      <c r="F12" s="310">
        <v>2136511</v>
      </c>
      <c r="G12" s="310">
        <v>2136511</v>
      </c>
      <c r="H12" s="310">
        <v>2136511</v>
      </c>
      <c r="I12" s="310">
        <v>2136679</v>
      </c>
      <c r="J12" s="310">
        <v>2137114</v>
      </c>
      <c r="K12" s="310">
        <v>2137633</v>
      </c>
      <c r="L12" s="310">
        <v>2137923</v>
      </c>
      <c r="M12" s="310">
        <v>2138175</v>
      </c>
      <c r="N12" s="310">
        <v>2138367</v>
      </c>
      <c r="O12" s="310">
        <v>2138884</v>
      </c>
      <c r="P12" s="310">
        <v>2139488</v>
      </c>
      <c r="Q12" s="310">
        <v>2139938</v>
      </c>
      <c r="R12" s="310">
        <v>2140189</v>
      </c>
      <c r="S12" s="310">
        <v>2140449</v>
      </c>
      <c r="T12" s="310">
        <v>2140763</v>
      </c>
      <c r="U12" s="310">
        <v>2141283</v>
      </c>
      <c r="V12" s="310">
        <v>2141758</v>
      </c>
      <c r="W12" s="310">
        <v>2142318</v>
      </c>
      <c r="X12" s="310">
        <v>2142879</v>
      </c>
      <c r="Y12" s="310">
        <v>2143371</v>
      </c>
      <c r="Z12" s="310">
        <v>2143566</v>
      </c>
      <c r="AA12" s="310">
        <v>2144050</v>
      </c>
      <c r="AB12" s="310">
        <v>2144611</v>
      </c>
      <c r="AC12" s="329">
        <v>2144745</v>
      </c>
      <c r="AD12" s="225">
        <v>2145263</v>
      </c>
      <c r="AE12" s="225"/>
    </row>
    <row r="13" spans="1:34" x14ac:dyDescent="0.25">
      <c r="A13" s="5" t="s">
        <v>12</v>
      </c>
      <c r="B13" s="310">
        <v>2121697</v>
      </c>
      <c r="C13" s="310">
        <v>2121975</v>
      </c>
      <c r="D13" s="310">
        <v>2122103</v>
      </c>
      <c r="E13" s="310">
        <v>2122546</v>
      </c>
      <c r="F13" s="310">
        <v>2123048</v>
      </c>
      <c r="G13" s="310">
        <v>2123480</v>
      </c>
      <c r="H13" s="310">
        <v>2123911</v>
      </c>
      <c r="I13" s="310">
        <v>2124360</v>
      </c>
      <c r="J13" s="310">
        <v>2124511</v>
      </c>
      <c r="K13" s="310">
        <v>2124841</v>
      </c>
      <c r="L13" s="310">
        <v>2125272</v>
      </c>
      <c r="M13" s="310">
        <v>2125807</v>
      </c>
      <c r="N13" s="310">
        <v>2125807</v>
      </c>
      <c r="O13" s="310">
        <v>2125807</v>
      </c>
      <c r="P13" s="310">
        <v>2126069</v>
      </c>
      <c r="Q13" s="310">
        <v>2126316</v>
      </c>
      <c r="R13" s="310">
        <v>2126835</v>
      </c>
      <c r="S13" s="310">
        <v>2127271</v>
      </c>
      <c r="T13" s="310">
        <v>2127722</v>
      </c>
      <c r="U13" s="310">
        <v>2127722</v>
      </c>
      <c r="V13" s="310">
        <v>2127722</v>
      </c>
      <c r="W13" s="310">
        <v>2127984</v>
      </c>
      <c r="X13" s="310">
        <v>2128356</v>
      </c>
      <c r="Y13" s="310">
        <v>2128916</v>
      </c>
      <c r="Z13" s="310">
        <v>2129366</v>
      </c>
      <c r="AA13" s="310">
        <v>2129611</v>
      </c>
      <c r="AB13" s="310">
        <v>2129654</v>
      </c>
      <c r="AC13" s="329">
        <v>2130173</v>
      </c>
      <c r="AD13" s="225">
        <v>2130691</v>
      </c>
      <c r="AE13" s="225"/>
    </row>
    <row r="14" spans="1:34" x14ac:dyDescent="0.25">
      <c r="A14" s="5" t="s">
        <v>13</v>
      </c>
      <c r="B14" s="310">
        <v>2189362</v>
      </c>
      <c r="C14" s="310">
        <v>2189564</v>
      </c>
      <c r="D14" s="310">
        <v>2189816</v>
      </c>
      <c r="E14" s="310">
        <v>2190316</v>
      </c>
      <c r="F14" s="310">
        <v>2190876</v>
      </c>
      <c r="G14" s="310">
        <v>2191351</v>
      </c>
      <c r="H14" s="310">
        <v>2191370</v>
      </c>
      <c r="I14" s="310">
        <v>2191674</v>
      </c>
      <c r="J14" s="310">
        <v>2192105</v>
      </c>
      <c r="K14" s="310">
        <v>2192625</v>
      </c>
      <c r="L14" s="310">
        <v>2193228</v>
      </c>
      <c r="M14" s="310">
        <v>2193404</v>
      </c>
      <c r="N14" s="310">
        <v>2193404</v>
      </c>
      <c r="O14" s="310">
        <v>2193405</v>
      </c>
      <c r="P14" s="310">
        <v>2193692</v>
      </c>
      <c r="Q14" s="310">
        <v>2194279</v>
      </c>
      <c r="R14" s="310">
        <v>2194537</v>
      </c>
      <c r="S14" s="310">
        <v>2195124</v>
      </c>
      <c r="T14" s="310">
        <v>2195601</v>
      </c>
      <c r="U14" s="310">
        <v>2196082</v>
      </c>
      <c r="V14" s="310">
        <v>2196513</v>
      </c>
      <c r="W14" s="310">
        <v>2197073</v>
      </c>
      <c r="X14" s="310">
        <v>2197430</v>
      </c>
      <c r="Y14" s="310">
        <v>2197880</v>
      </c>
      <c r="Z14" s="310">
        <v>2198134</v>
      </c>
      <c r="AA14" s="310">
        <v>2198568</v>
      </c>
      <c r="AB14" s="310">
        <v>2199130</v>
      </c>
      <c r="AC14" s="329">
        <v>2199173</v>
      </c>
      <c r="AD14" s="225">
        <v>2199262</v>
      </c>
      <c r="AE14" s="225"/>
    </row>
    <row r="15" spans="1:34" x14ac:dyDescent="0.25">
      <c r="A15" s="6" t="s">
        <v>14</v>
      </c>
      <c r="B15" s="310">
        <v>2218133</v>
      </c>
      <c r="C15" s="310">
        <v>2218625</v>
      </c>
      <c r="D15" s="310">
        <v>2218931</v>
      </c>
      <c r="E15" s="310">
        <v>2219098</v>
      </c>
      <c r="F15" s="310">
        <v>2219531</v>
      </c>
      <c r="G15" s="310">
        <v>2219559</v>
      </c>
      <c r="H15" s="310">
        <v>2219823</v>
      </c>
      <c r="I15" s="310">
        <v>2220086</v>
      </c>
      <c r="J15" s="310">
        <v>2220536</v>
      </c>
      <c r="K15" s="310">
        <v>2220730</v>
      </c>
      <c r="L15" s="310">
        <v>2220923</v>
      </c>
      <c r="M15" s="310">
        <v>2221366</v>
      </c>
      <c r="N15" s="310">
        <v>2221366</v>
      </c>
      <c r="O15" s="310">
        <v>2221366</v>
      </c>
      <c r="P15" s="310">
        <v>2221584</v>
      </c>
      <c r="Q15" s="310">
        <v>2222103</v>
      </c>
      <c r="R15" s="310">
        <v>2222706</v>
      </c>
      <c r="S15" s="310">
        <v>2223143</v>
      </c>
      <c r="T15" s="310">
        <v>2223509</v>
      </c>
      <c r="U15" s="310">
        <v>2223509</v>
      </c>
      <c r="V15" s="310">
        <v>2223509</v>
      </c>
      <c r="W15" s="310">
        <v>2223771</v>
      </c>
      <c r="X15" s="310">
        <v>2224332</v>
      </c>
      <c r="Y15" s="310">
        <v>2224808</v>
      </c>
      <c r="Z15" s="310">
        <v>2225411</v>
      </c>
      <c r="AA15" s="310">
        <v>2225903</v>
      </c>
      <c r="AB15" s="310">
        <v>2225903</v>
      </c>
      <c r="AC15" s="329">
        <v>2225903</v>
      </c>
      <c r="AD15" s="225">
        <v>2225903</v>
      </c>
      <c r="AE15" s="225"/>
      <c r="AH15" t="s">
        <v>144</v>
      </c>
    </row>
    <row r="16" spans="1:34" x14ac:dyDescent="0.25">
      <c r="A16" s="6" t="s">
        <v>15</v>
      </c>
      <c r="B16" s="310">
        <v>2062663</v>
      </c>
      <c r="C16" s="310">
        <v>2063181</v>
      </c>
      <c r="D16" s="310">
        <v>2063375</v>
      </c>
      <c r="E16" s="310">
        <v>2063627</v>
      </c>
      <c r="F16" s="310">
        <v>2063814</v>
      </c>
      <c r="G16" s="310">
        <v>2063814</v>
      </c>
      <c r="H16" s="310">
        <v>2063814</v>
      </c>
      <c r="I16" s="310">
        <v>2064064</v>
      </c>
      <c r="J16" s="310">
        <v>2064440</v>
      </c>
      <c r="K16" s="310">
        <v>2064960</v>
      </c>
      <c r="L16" s="310">
        <v>2065563</v>
      </c>
      <c r="M16" s="310">
        <v>2066166</v>
      </c>
      <c r="N16" s="310">
        <v>2066686</v>
      </c>
      <c r="O16" s="310">
        <v>2067161</v>
      </c>
      <c r="P16" s="310">
        <v>2067653</v>
      </c>
      <c r="Q16" s="310">
        <v>2067847</v>
      </c>
      <c r="R16" s="310">
        <v>2068134</v>
      </c>
      <c r="S16" s="310">
        <v>2068694</v>
      </c>
      <c r="T16" s="310">
        <v>2069211</v>
      </c>
      <c r="U16" s="310">
        <v>2069728</v>
      </c>
      <c r="V16" s="310">
        <v>2069902</v>
      </c>
      <c r="W16" s="310">
        <v>2070267</v>
      </c>
      <c r="X16" s="310">
        <v>2070369</v>
      </c>
      <c r="Y16" s="310">
        <v>2070709</v>
      </c>
      <c r="Z16" s="310">
        <v>2071227</v>
      </c>
      <c r="AA16" s="310">
        <v>2071591</v>
      </c>
      <c r="AB16" s="310">
        <v>2071591</v>
      </c>
      <c r="AC16" s="329">
        <v>2071591</v>
      </c>
      <c r="AD16" s="225">
        <v>2071591</v>
      </c>
      <c r="AE16" s="225"/>
    </row>
    <row r="17" spans="1:32" x14ac:dyDescent="0.25">
      <c r="A17" s="6" t="s">
        <v>16</v>
      </c>
      <c r="B17" s="310">
        <v>2167535</v>
      </c>
      <c r="C17" s="310">
        <v>2167820</v>
      </c>
      <c r="D17" s="310">
        <v>2168149</v>
      </c>
      <c r="E17" s="310">
        <v>2168580</v>
      </c>
      <c r="F17" s="310">
        <v>2169011</v>
      </c>
      <c r="G17" s="310">
        <v>2169039</v>
      </c>
      <c r="H17" s="310">
        <v>2169062</v>
      </c>
      <c r="I17" s="310">
        <v>2169305</v>
      </c>
      <c r="J17" s="310">
        <v>2169572</v>
      </c>
      <c r="K17" s="310">
        <v>2170131</v>
      </c>
      <c r="L17" s="310">
        <v>2170693</v>
      </c>
      <c r="M17" s="310">
        <v>2171252</v>
      </c>
      <c r="N17" s="310">
        <v>2171814</v>
      </c>
      <c r="O17" s="310">
        <v>2171945</v>
      </c>
      <c r="P17" s="310">
        <v>2172396</v>
      </c>
      <c r="Q17" s="310">
        <v>2172810</v>
      </c>
      <c r="R17" s="310">
        <v>2173136</v>
      </c>
      <c r="S17" s="310">
        <v>2173494</v>
      </c>
      <c r="T17" s="310">
        <v>2174053</v>
      </c>
      <c r="U17" s="310">
        <v>2174613</v>
      </c>
      <c r="V17" s="310">
        <v>2174656</v>
      </c>
      <c r="W17" s="310">
        <v>2175259</v>
      </c>
      <c r="X17" s="310">
        <v>2175777</v>
      </c>
      <c r="Y17" s="310">
        <v>2175978</v>
      </c>
      <c r="Z17" s="310">
        <v>2176393</v>
      </c>
      <c r="AA17" s="310">
        <v>2176763</v>
      </c>
      <c r="AB17" s="310">
        <v>2176763</v>
      </c>
      <c r="AC17" s="329">
        <v>2176763</v>
      </c>
      <c r="AD17" s="225">
        <v>2176763</v>
      </c>
      <c r="AE17" s="225"/>
    </row>
    <row r="18" spans="1:32" x14ac:dyDescent="0.25">
      <c r="A18" s="6" t="s">
        <v>17</v>
      </c>
      <c r="B18" s="310">
        <v>2139580</v>
      </c>
      <c r="C18" s="310">
        <v>2139835</v>
      </c>
      <c r="D18" s="310">
        <v>2140286</v>
      </c>
      <c r="E18" s="310">
        <v>2140478</v>
      </c>
      <c r="F18" s="310">
        <v>2140729</v>
      </c>
      <c r="G18" s="310">
        <v>2140729</v>
      </c>
      <c r="H18" s="310">
        <v>2140729</v>
      </c>
      <c r="I18" s="310">
        <v>2141076</v>
      </c>
      <c r="J18" s="310">
        <v>2141578</v>
      </c>
      <c r="K18" s="310">
        <v>2141866</v>
      </c>
      <c r="L18" s="310">
        <v>2142453</v>
      </c>
      <c r="M18" s="310">
        <v>2142972</v>
      </c>
      <c r="N18" s="310">
        <v>2143491</v>
      </c>
      <c r="O18" s="310">
        <v>2143966</v>
      </c>
      <c r="P18" s="310">
        <v>2144528</v>
      </c>
      <c r="Q18" s="310">
        <v>2144980</v>
      </c>
      <c r="R18" s="310">
        <v>2145174</v>
      </c>
      <c r="S18" s="310">
        <v>2145423</v>
      </c>
      <c r="T18" s="310">
        <v>2145494</v>
      </c>
      <c r="U18" s="310">
        <v>2146015</v>
      </c>
      <c r="V18" s="310">
        <v>2146192</v>
      </c>
      <c r="W18" s="310">
        <v>2146367</v>
      </c>
      <c r="X18" s="310">
        <v>2146816</v>
      </c>
      <c r="Y18" s="310">
        <v>2147010</v>
      </c>
      <c r="Z18" s="310">
        <v>2147259</v>
      </c>
      <c r="AA18" s="310">
        <v>2147343</v>
      </c>
      <c r="AB18" s="310">
        <v>2147863</v>
      </c>
      <c r="AC18" s="329">
        <v>2148339</v>
      </c>
      <c r="AD18" s="225">
        <v>2148475</v>
      </c>
      <c r="AE18" s="225"/>
    </row>
    <row r="19" spans="1:32" x14ac:dyDescent="0.25">
      <c r="A19" s="6" t="s">
        <v>18</v>
      </c>
      <c r="B19" s="310">
        <v>2227421</v>
      </c>
      <c r="C19" s="310">
        <v>2227938</v>
      </c>
      <c r="D19" s="310">
        <v>2228544</v>
      </c>
      <c r="E19" s="310">
        <v>2229066</v>
      </c>
      <c r="F19" s="310">
        <v>2229601</v>
      </c>
      <c r="G19" s="310">
        <v>2229601</v>
      </c>
      <c r="H19" s="310">
        <v>2229620</v>
      </c>
      <c r="I19" s="310">
        <v>2230062</v>
      </c>
      <c r="J19" s="310">
        <v>2230666</v>
      </c>
      <c r="K19" s="310">
        <v>2231269</v>
      </c>
      <c r="L19" s="310">
        <v>2231829</v>
      </c>
      <c r="M19" s="310">
        <v>2232433</v>
      </c>
      <c r="N19" s="310">
        <v>2232956</v>
      </c>
      <c r="O19" s="310">
        <v>2233475</v>
      </c>
      <c r="P19" s="310">
        <v>2233875</v>
      </c>
      <c r="Q19" s="310">
        <v>2234328</v>
      </c>
      <c r="R19" s="310">
        <v>2234872</v>
      </c>
      <c r="S19" s="310">
        <v>2235237</v>
      </c>
      <c r="T19" s="310">
        <v>2235430</v>
      </c>
      <c r="U19" s="310">
        <v>2235430</v>
      </c>
      <c r="V19" s="310">
        <v>2235430</v>
      </c>
      <c r="W19" s="310">
        <v>2235509</v>
      </c>
      <c r="X19" s="310">
        <v>2236029</v>
      </c>
      <c r="Y19" s="310">
        <v>2236480</v>
      </c>
      <c r="Z19" s="310">
        <v>2236674</v>
      </c>
      <c r="AA19" s="310">
        <v>2236752</v>
      </c>
      <c r="AB19" s="310">
        <v>2236752</v>
      </c>
      <c r="AC19" s="329">
        <v>2236752</v>
      </c>
      <c r="AD19" s="225">
        <v>2236752</v>
      </c>
      <c r="AE19" s="225"/>
    </row>
    <row r="20" spans="1:32" x14ac:dyDescent="0.25">
      <c r="A20" s="6" t="s">
        <v>19</v>
      </c>
      <c r="B20" s="310">
        <v>2198115</v>
      </c>
      <c r="C20" s="310">
        <v>2198309</v>
      </c>
      <c r="D20" s="310">
        <v>2198777</v>
      </c>
      <c r="E20" s="310">
        <v>2199363</v>
      </c>
      <c r="F20" s="310">
        <v>2199879</v>
      </c>
      <c r="G20" s="310">
        <v>2200396</v>
      </c>
      <c r="H20" s="310">
        <v>2200482</v>
      </c>
      <c r="I20" s="310">
        <v>2200932</v>
      </c>
      <c r="J20" s="310">
        <v>2201126</v>
      </c>
      <c r="K20" s="310">
        <v>2201439</v>
      </c>
      <c r="L20" s="310">
        <v>2201439</v>
      </c>
      <c r="M20" s="310">
        <v>2201909</v>
      </c>
      <c r="N20" s="310">
        <v>2201909</v>
      </c>
      <c r="O20" s="310">
        <v>2201909</v>
      </c>
      <c r="P20" s="310">
        <v>2202396</v>
      </c>
      <c r="Q20" s="310">
        <v>2202771</v>
      </c>
      <c r="R20" s="310">
        <v>2203332</v>
      </c>
      <c r="S20" s="310">
        <v>2203824</v>
      </c>
      <c r="T20" s="310">
        <v>2204001</v>
      </c>
      <c r="U20" s="310">
        <v>2204001</v>
      </c>
      <c r="V20" s="310">
        <v>2204001</v>
      </c>
      <c r="W20" s="310">
        <v>2204305</v>
      </c>
      <c r="X20" s="310">
        <v>2204822</v>
      </c>
      <c r="Y20" s="310">
        <v>2205254</v>
      </c>
      <c r="Z20" s="310">
        <v>2205619</v>
      </c>
      <c r="AA20" s="310">
        <v>2205883</v>
      </c>
      <c r="AB20" s="310">
        <v>2205883</v>
      </c>
      <c r="AC20" s="329">
        <v>2205883</v>
      </c>
      <c r="AD20" s="225">
        <v>2205883</v>
      </c>
      <c r="AE20" s="225"/>
    </row>
    <row r="21" spans="1:32" x14ac:dyDescent="0.25">
      <c r="A21" s="6" t="s">
        <v>20</v>
      </c>
      <c r="B21" s="310">
        <v>2202549</v>
      </c>
      <c r="C21" s="310">
        <v>2203001</v>
      </c>
      <c r="D21" s="310">
        <v>2203092</v>
      </c>
      <c r="E21" s="310">
        <v>2203611</v>
      </c>
      <c r="F21" s="310">
        <v>2203968</v>
      </c>
      <c r="G21" s="310">
        <v>2204012</v>
      </c>
      <c r="H21" s="310">
        <v>2204489</v>
      </c>
      <c r="I21" s="310">
        <v>2205050</v>
      </c>
      <c r="J21" s="310">
        <v>2205507</v>
      </c>
      <c r="K21" s="310">
        <v>2205766</v>
      </c>
      <c r="L21" s="310">
        <v>2206293</v>
      </c>
      <c r="M21" s="310">
        <v>2206784</v>
      </c>
      <c r="N21" s="310">
        <v>2206784</v>
      </c>
      <c r="O21" s="310">
        <v>2206784</v>
      </c>
      <c r="P21" s="310">
        <v>2207036</v>
      </c>
      <c r="Q21" s="310">
        <v>2207579</v>
      </c>
      <c r="R21" s="310">
        <v>2207933</v>
      </c>
      <c r="S21" s="310">
        <v>2208452</v>
      </c>
      <c r="T21" s="310">
        <v>2209011</v>
      </c>
      <c r="U21" s="310">
        <v>2209055</v>
      </c>
      <c r="V21" s="310">
        <v>2209574</v>
      </c>
      <c r="W21" s="310">
        <v>2209832</v>
      </c>
      <c r="X21" s="310">
        <v>2210206</v>
      </c>
      <c r="Y21" s="310">
        <v>2210465</v>
      </c>
      <c r="Z21" s="310">
        <v>2210646</v>
      </c>
      <c r="AA21" s="310">
        <v>2210908</v>
      </c>
      <c r="AB21" s="310">
        <v>2210908</v>
      </c>
      <c r="AC21" s="329">
        <v>2210908</v>
      </c>
      <c r="AD21" s="225">
        <v>2210908</v>
      </c>
      <c r="AE21" s="225"/>
    </row>
    <row r="22" spans="1:32" x14ac:dyDescent="0.25">
      <c r="A22" s="6" t="s">
        <v>21</v>
      </c>
      <c r="B22" s="310">
        <v>2131790</v>
      </c>
      <c r="C22" s="310">
        <v>2132035</v>
      </c>
      <c r="D22" s="310">
        <v>2132477</v>
      </c>
      <c r="E22" s="310">
        <v>2133039</v>
      </c>
      <c r="F22" s="310">
        <v>2133296</v>
      </c>
      <c r="G22" s="310">
        <v>2133296</v>
      </c>
      <c r="H22" s="310">
        <v>2133296</v>
      </c>
      <c r="I22" s="310">
        <v>2133555</v>
      </c>
      <c r="J22" s="310">
        <v>2133663</v>
      </c>
      <c r="K22" s="310">
        <v>2133857</v>
      </c>
      <c r="L22" s="310">
        <v>2134108</v>
      </c>
      <c r="M22" s="310">
        <v>2134359</v>
      </c>
      <c r="N22" s="310">
        <v>2134359</v>
      </c>
      <c r="O22" s="310">
        <v>2134359</v>
      </c>
      <c r="P22" s="310">
        <v>2134610</v>
      </c>
      <c r="Q22" s="310">
        <v>2134861</v>
      </c>
      <c r="R22" s="310">
        <v>2135089</v>
      </c>
      <c r="S22" s="310">
        <v>2135607</v>
      </c>
      <c r="T22" s="310">
        <v>2136098</v>
      </c>
      <c r="U22" s="310">
        <v>2136659</v>
      </c>
      <c r="V22" s="310">
        <v>2137053</v>
      </c>
      <c r="W22" s="310">
        <v>2137656</v>
      </c>
      <c r="X22" s="310">
        <v>2138044</v>
      </c>
      <c r="Y22" s="310">
        <v>2138288</v>
      </c>
      <c r="Z22" s="310">
        <v>2138539</v>
      </c>
      <c r="AA22" s="310">
        <v>2138972</v>
      </c>
      <c r="AB22" s="310">
        <v>2138972</v>
      </c>
      <c r="AC22" s="329">
        <v>2138972</v>
      </c>
      <c r="AD22" s="225">
        <v>2138972</v>
      </c>
      <c r="AE22" s="225"/>
    </row>
    <row r="23" spans="1:32" x14ac:dyDescent="0.25">
      <c r="A23" s="6" t="s">
        <v>22</v>
      </c>
      <c r="B23" s="310">
        <v>2159713</v>
      </c>
      <c r="C23" s="310">
        <v>2160086</v>
      </c>
      <c r="D23" s="310">
        <v>2160646</v>
      </c>
      <c r="E23" s="310">
        <v>2161250</v>
      </c>
      <c r="F23" s="310">
        <v>2161639</v>
      </c>
      <c r="G23" s="310">
        <v>2162199</v>
      </c>
      <c r="H23" s="310">
        <v>2162243</v>
      </c>
      <c r="I23" s="310">
        <v>2162803</v>
      </c>
      <c r="J23" s="310">
        <v>2163047</v>
      </c>
      <c r="K23" s="310">
        <v>2163299</v>
      </c>
      <c r="L23" s="310">
        <v>2163782</v>
      </c>
      <c r="M23" s="310">
        <v>2164301</v>
      </c>
      <c r="N23" s="310">
        <v>2164861</v>
      </c>
      <c r="O23" s="310">
        <v>2164907</v>
      </c>
      <c r="P23" s="310">
        <v>2165360</v>
      </c>
      <c r="Q23" s="310">
        <v>2165554</v>
      </c>
      <c r="R23" s="310">
        <v>2166075</v>
      </c>
      <c r="S23" s="310">
        <v>2166154</v>
      </c>
      <c r="T23" s="310">
        <v>2166672</v>
      </c>
      <c r="U23" s="310">
        <v>2167233</v>
      </c>
      <c r="V23" s="310">
        <v>2167276</v>
      </c>
      <c r="W23" s="310">
        <v>2167730</v>
      </c>
      <c r="X23" s="310">
        <v>2167992</v>
      </c>
      <c r="Y23" s="310">
        <v>2168204</v>
      </c>
      <c r="Z23" s="310">
        <v>2168679</v>
      </c>
      <c r="AA23" s="310">
        <v>2169283</v>
      </c>
      <c r="AB23" s="310">
        <v>2169801</v>
      </c>
      <c r="AC23" s="329">
        <v>2170232</v>
      </c>
      <c r="AD23" s="225">
        <v>2170707</v>
      </c>
      <c r="AE23" s="225"/>
    </row>
    <row r="24" spans="1:32" x14ac:dyDescent="0.25">
      <c r="A24" s="5" t="s">
        <v>23</v>
      </c>
      <c r="B24" s="310">
        <v>2201313</v>
      </c>
      <c r="C24" s="310">
        <v>2201713</v>
      </c>
      <c r="D24" s="310">
        <v>2201971</v>
      </c>
      <c r="E24" s="310">
        <v>2202220</v>
      </c>
      <c r="F24" s="310">
        <v>2202467</v>
      </c>
      <c r="G24" s="310">
        <v>2202467</v>
      </c>
      <c r="H24" s="310">
        <v>2202467</v>
      </c>
      <c r="I24" s="310">
        <v>2202717</v>
      </c>
      <c r="J24" s="310">
        <v>2203114</v>
      </c>
      <c r="K24" s="310">
        <v>2203316</v>
      </c>
      <c r="L24" s="310">
        <v>2203749</v>
      </c>
      <c r="M24" s="310">
        <v>2203820</v>
      </c>
      <c r="N24" s="310">
        <v>2203820</v>
      </c>
      <c r="O24" s="310">
        <v>2203820</v>
      </c>
      <c r="P24" s="310">
        <v>2204340</v>
      </c>
      <c r="Q24" s="310">
        <v>2204874</v>
      </c>
      <c r="R24" s="310">
        <v>2205068</v>
      </c>
      <c r="S24" s="310">
        <v>2205440</v>
      </c>
      <c r="T24" s="310">
        <v>2206000</v>
      </c>
      <c r="U24" s="310">
        <v>2206560</v>
      </c>
      <c r="V24" s="310">
        <v>2206690</v>
      </c>
      <c r="W24" s="310">
        <v>2207054</v>
      </c>
      <c r="X24" s="310">
        <v>2207317</v>
      </c>
      <c r="Y24" s="310">
        <v>2207816</v>
      </c>
      <c r="Z24" s="310">
        <v>2208334</v>
      </c>
      <c r="AA24" s="310">
        <v>2208851</v>
      </c>
      <c r="AB24" s="310">
        <v>2209411</v>
      </c>
      <c r="AC24" s="329">
        <v>2209454</v>
      </c>
      <c r="AD24" s="225">
        <v>2209884</v>
      </c>
      <c r="AE24" s="225"/>
    </row>
    <row r="25" spans="1:32" x14ac:dyDescent="0.25">
      <c r="A25" s="6" t="s">
        <v>24</v>
      </c>
      <c r="B25" s="310">
        <v>2217215</v>
      </c>
      <c r="C25" s="310">
        <v>2217648</v>
      </c>
      <c r="D25" s="310">
        <v>2218082</v>
      </c>
      <c r="E25" s="310">
        <v>2218687</v>
      </c>
      <c r="F25" s="310">
        <v>2219139</v>
      </c>
      <c r="G25" s="310">
        <v>2219139</v>
      </c>
      <c r="H25" s="310">
        <v>2219139</v>
      </c>
      <c r="I25" s="310">
        <v>2219332</v>
      </c>
      <c r="J25" s="310">
        <v>2219582</v>
      </c>
      <c r="K25" s="310">
        <v>2219894</v>
      </c>
      <c r="L25" s="310">
        <v>2220258</v>
      </c>
      <c r="M25" s="310">
        <v>2220510</v>
      </c>
      <c r="N25" s="310">
        <v>2220510</v>
      </c>
      <c r="O25" s="310">
        <v>2220510</v>
      </c>
      <c r="P25" s="310">
        <v>2220703</v>
      </c>
      <c r="Q25" s="310">
        <v>2220960</v>
      </c>
      <c r="R25" s="310">
        <v>2221479</v>
      </c>
      <c r="S25" s="310">
        <v>2221737</v>
      </c>
      <c r="T25" s="310">
        <v>2222323</v>
      </c>
      <c r="U25" s="310">
        <v>2222842</v>
      </c>
      <c r="V25" s="310">
        <v>2223318</v>
      </c>
      <c r="W25" s="310">
        <v>2223563</v>
      </c>
      <c r="X25" s="310">
        <v>2223754</v>
      </c>
      <c r="Y25" s="310">
        <v>2224257</v>
      </c>
      <c r="Z25" s="310">
        <v>2224517</v>
      </c>
      <c r="AA25" s="310">
        <v>2224882</v>
      </c>
      <c r="AB25" s="310">
        <v>2224882</v>
      </c>
      <c r="AC25" s="329">
        <v>2224882</v>
      </c>
      <c r="AD25" s="225">
        <v>2224882</v>
      </c>
      <c r="AE25" s="225"/>
    </row>
    <row r="26" spans="1:32" x14ac:dyDescent="0.25">
      <c r="A26" s="6" t="s">
        <v>25</v>
      </c>
      <c r="B26" s="310">
        <v>2214236</v>
      </c>
      <c r="C26" s="310">
        <v>2214736</v>
      </c>
      <c r="D26" s="310">
        <v>2215168</v>
      </c>
      <c r="E26" s="310">
        <v>2215476</v>
      </c>
      <c r="F26" s="310">
        <v>2216036</v>
      </c>
      <c r="G26" s="310">
        <v>2216596</v>
      </c>
      <c r="H26" s="310">
        <v>2217072</v>
      </c>
      <c r="I26" s="310">
        <v>2217504</v>
      </c>
      <c r="J26" s="310">
        <v>2217956</v>
      </c>
      <c r="K26" s="310">
        <v>2218205</v>
      </c>
      <c r="L26" s="310">
        <v>2218398</v>
      </c>
      <c r="M26" s="310">
        <v>2218925</v>
      </c>
      <c r="N26" s="310">
        <v>2219485</v>
      </c>
      <c r="O26" s="310">
        <v>2220003</v>
      </c>
      <c r="P26" s="310">
        <v>2220128</v>
      </c>
      <c r="Q26" s="310">
        <v>2220690</v>
      </c>
      <c r="R26" s="310">
        <v>2220841</v>
      </c>
      <c r="S26" s="310">
        <v>2221035</v>
      </c>
      <c r="T26" s="310">
        <v>2221537</v>
      </c>
      <c r="U26" s="310">
        <v>2221537</v>
      </c>
      <c r="V26" s="310">
        <v>2221556</v>
      </c>
      <c r="W26" s="310">
        <v>2221972</v>
      </c>
      <c r="X26" s="310">
        <v>2222532</v>
      </c>
      <c r="Y26" s="310">
        <v>2223024</v>
      </c>
      <c r="Z26" s="310">
        <v>2223371</v>
      </c>
      <c r="AA26" s="310">
        <v>2223937</v>
      </c>
      <c r="AB26" s="310">
        <v>2224450</v>
      </c>
      <c r="AC26" s="329">
        <v>2224453</v>
      </c>
      <c r="AD26" s="225">
        <v>2224455</v>
      </c>
      <c r="AE26" s="225"/>
    </row>
    <row r="27" spans="1:32" x14ac:dyDescent="0.25">
      <c r="A27" s="6" t="s">
        <v>26</v>
      </c>
      <c r="B27" s="310">
        <v>2181940</v>
      </c>
      <c r="C27" s="310">
        <v>2182372</v>
      </c>
      <c r="D27" s="310">
        <v>2182693</v>
      </c>
      <c r="E27" s="310">
        <v>2183118</v>
      </c>
      <c r="F27" s="310">
        <v>2183406</v>
      </c>
      <c r="G27" s="310">
        <v>2183967</v>
      </c>
      <c r="H27" s="310">
        <v>2184485</v>
      </c>
      <c r="I27" s="310">
        <v>2185090</v>
      </c>
      <c r="J27" s="310">
        <v>2185608</v>
      </c>
      <c r="K27" s="310">
        <v>2185896</v>
      </c>
      <c r="L27" s="310">
        <v>2186142</v>
      </c>
      <c r="M27" s="310">
        <v>2186704</v>
      </c>
      <c r="N27" s="310">
        <v>2187186</v>
      </c>
      <c r="O27" s="310">
        <v>2187186</v>
      </c>
      <c r="P27" s="310">
        <v>2187619</v>
      </c>
      <c r="Q27" s="310">
        <v>2188053</v>
      </c>
      <c r="R27" s="310">
        <v>2188257</v>
      </c>
      <c r="S27" s="310">
        <v>2188508</v>
      </c>
      <c r="T27" s="310">
        <v>2188936</v>
      </c>
      <c r="U27" s="310">
        <v>2189457</v>
      </c>
      <c r="V27" s="310">
        <v>2189891</v>
      </c>
      <c r="W27" s="310">
        <v>2190328</v>
      </c>
      <c r="X27" s="310">
        <v>2190778</v>
      </c>
      <c r="Y27" s="310">
        <v>2191042</v>
      </c>
      <c r="Z27" s="310">
        <v>2191458</v>
      </c>
      <c r="AA27" s="310">
        <v>2191717</v>
      </c>
      <c r="AB27" s="310">
        <v>2191717</v>
      </c>
      <c r="AC27" s="329">
        <v>2191754</v>
      </c>
      <c r="AD27" s="225">
        <v>2191754</v>
      </c>
      <c r="AE27" s="225"/>
    </row>
    <row r="28" spans="1:32" x14ac:dyDescent="0.25">
      <c r="A28" s="6" t="s">
        <v>27</v>
      </c>
      <c r="B28" s="310">
        <v>2148156</v>
      </c>
      <c r="C28" s="310">
        <v>2148676</v>
      </c>
      <c r="D28" s="310">
        <v>2149202</v>
      </c>
      <c r="E28" s="310">
        <v>2149557</v>
      </c>
      <c r="F28" s="310">
        <v>2150119</v>
      </c>
      <c r="G28" s="310">
        <v>2150638</v>
      </c>
      <c r="H28" s="310">
        <v>2151113</v>
      </c>
      <c r="I28" s="310">
        <v>2151673</v>
      </c>
      <c r="J28" s="310">
        <v>2151932</v>
      </c>
      <c r="K28" s="310">
        <v>2152518</v>
      </c>
      <c r="L28" s="310">
        <v>2152826</v>
      </c>
      <c r="M28" s="310">
        <v>2153072</v>
      </c>
      <c r="N28" s="310">
        <v>2153072</v>
      </c>
      <c r="O28" s="310">
        <v>2153072</v>
      </c>
      <c r="P28" s="310">
        <v>2153446</v>
      </c>
      <c r="Q28" s="310">
        <v>2154007</v>
      </c>
      <c r="R28" s="310">
        <v>2154441</v>
      </c>
      <c r="S28" s="310">
        <v>2154748</v>
      </c>
      <c r="T28" s="310">
        <v>2154991</v>
      </c>
      <c r="U28" s="310">
        <v>2154991</v>
      </c>
      <c r="V28" s="310">
        <v>2154991</v>
      </c>
      <c r="W28" s="310">
        <v>2155243</v>
      </c>
      <c r="X28" s="310">
        <v>2155747</v>
      </c>
      <c r="Y28" s="310">
        <v>2155923</v>
      </c>
      <c r="Z28" s="310">
        <v>2156444</v>
      </c>
      <c r="AA28" s="310">
        <v>2156645</v>
      </c>
      <c r="AB28" s="310">
        <v>2156645</v>
      </c>
      <c r="AC28" s="329">
        <v>2156645</v>
      </c>
      <c r="AD28" s="225">
        <v>2156645</v>
      </c>
      <c r="AE28" s="225"/>
    </row>
    <row r="29" spans="1:32" x14ac:dyDescent="0.25">
      <c r="A29" s="5" t="s">
        <v>28</v>
      </c>
      <c r="B29" s="310">
        <v>2101043</v>
      </c>
      <c r="C29" s="310">
        <v>2101607</v>
      </c>
      <c r="D29" s="310">
        <v>2102235</v>
      </c>
      <c r="E29" s="310">
        <v>2102481</v>
      </c>
      <c r="F29" s="310">
        <v>2103001</v>
      </c>
      <c r="G29" s="310">
        <v>2103176</v>
      </c>
      <c r="H29" s="310">
        <v>2103654</v>
      </c>
      <c r="I29" s="310">
        <v>2104214</v>
      </c>
      <c r="J29" s="310">
        <v>2104732</v>
      </c>
      <c r="K29" s="310">
        <v>2105010</v>
      </c>
      <c r="L29" s="310">
        <v>2105205</v>
      </c>
      <c r="M29" s="310">
        <v>2105361</v>
      </c>
      <c r="N29" s="310">
        <v>2105361</v>
      </c>
      <c r="O29" s="310">
        <v>2105361</v>
      </c>
      <c r="P29" s="310">
        <v>2105883</v>
      </c>
      <c r="Q29" s="310">
        <v>2106142</v>
      </c>
      <c r="R29" s="310">
        <v>2106333</v>
      </c>
      <c r="S29" s="310">
        <v>2106521</v>
      </c>
      <c r="T29" s="310">
        <v>2106773</v>
      </c>
      <c r="U29" s="310">
        <v>2106773</v>
      </c>
      <c r="V29" s="310">
        <v>2106773</v>
      </c>
      <c r="W29" s="310">
        <v>2107359</v>
      </c>
      <c r="X29" s="310">
        <v>2107879</v>
      </c>
      <c r="Y29" s="310">
        <v>2108225</v>
      </c>
      <c r="Z29" s="310">
        <v>2108590</v>
      </c>
      <c r="AA29" s="310">
        <v>2108784</v>
      </c>
      <c r="AB29" s="310">
        <v>2108784</v>
      </c>
      <c r="AC29" s="329">
        <v>2108784</v>
      </c>
      <c r="AD29" s="225">
        <v>2108784</v>
      </c>
      <c r="AE29" s="225"/>
      <c r="AF29" s="124"/>
    </row>
    <row r="30" spans="1:32" x14ac:dyDescent="0.25">
      <c r="A30" s="6" t="s">
        <v>29</v>
      </c>
      <c r="B30" s="310">
        <v>1846132</v>
      </c>
      <c r="C30" s="310">
        <v>1846660</v>
      </c>
      <c r="D30" s="310">
        <v>1847220</v>
      </c>
      <c r="E30" s="310">
        <v>1847782</v>
      </c>
      <c r="F30" s="310">
        <v>1848342</v>
      </c>
      <c r="G30" s="310">
        <v>1848902</v>
      </c>
      <c r="H30" s="310">
        <v>1849383</v>
      </c>
      <c r="I30" s="310">
        <v>1849695</v>
      </c>
      <c r="J30" s="310">
        <v>1850255</v>
      </c>
      <c r="K30" s="310">
        <v>1850647</v>
      </c>
      <c r="L30" s="310">
        <v>1851081</v>
      </c>
      <c r="M30" s="310">
        <v>1851533</v>
      </c>
      <c r="N30" s="310">
        <v>1851533</v>
      </c>
      <c r="O30" s="310">
        <v>1851533</v>
      </c>
      <c r="P30" s="310">
        <v>1851847</v>
      </c>
      <c r="Q30" s="310">
        <v>1852297</v>
      </c>
      <c r="R30" s="310">
        <v>1852630</v>
      </c>
      <c r="S30" s="310">
        <v>1853064</v>
      </c>
      <c r="T30" s="310">
        <v>1853516</v>
      </c>
      <c r="U30" s="310">
        <v>1853516</v>
      </c>
      <c r="V30" s="310">
        <v>1853516</v>
      </c>
      <c r="W30" s="310">
        <v>1853718</v>
      </c>
      <c r="X30" s="310">
        <v>1854145</v>
      </c>
      <c r="Y30" s="310">
        <v>1854748</v>
      </c>
      <c r="Z30" s="310">
        <v>1855100</v>
      </c>
      <c r="AA30" s="310">
        <v>1855380</v>
      </c>
      <c r="AB30" s="310">
        <v>1855380</v>
      </c>
      <c r="AC30" s="329">
        <v>1855380</v>
      </c>
      <c r="AD30" s="225">
        <v>1855380</v>
      </c>
      <c r="AE30" s="225"/>
    </row>
    <row r="31" spans="1:32" x14ac:dyDescent="0.25">
      <c r="A31" s="7" t="s">
        <v>30</v>
      </c>
      <c r="B31" s="310">
        <v>2149027</v>
      </c>
      <c r="C31" s="310">
        <v>2149460</v>
      </c>
      <c r="D31" s="310">
        <v>2149833</v>
      </c>
      <c r="E31" s="310">
        <v>2150420</v>
      </c>
      <c r="F31" s="310">
        <v>2150787</v>
      </c>
      <c r="G31" s="310">
        <v>2150806</v>
      </c>
      <c r="H31" s="310">
        <v>2150808</v>
      </c>
      <c r="I31" s="310">
        <v>2151068</v>
      </c>
      <c r="J31" s="310">
        <v>2151568</v>
      </c>
      <c r="K31" s="310">
        <v>2152127</v>
      </c>
      <c r="L31" s="310">
        <v>2152439</v>
      </c>
      <c r="M31" s="310">
        <v>2152571</v>
      </c>
      <c r="N31" s="310">
        <v>2152571</v>
      </c>
      <c r="O31" s="310">
        <v>2152661</v>
      </c>
      <c r="P31" s="310">
        <v>2153221</v>
      </c>
      <c r="Q31" s="310">
        <v>2153713</v>
      </c>
      <c r="R31" s="310">
        <v>2153914</v>
      </c>
      <c r="S31" s="310">
        <v>2154365</v>
      </c>
      <c r="T31" s="310">
        <v>2154615</v>
      </c>
      <c r="U31" s="310">
        <v>2154615</v>
      </c>
      <c r="V31" s="310">
        <v>2154616</v>
      </c>
      <c r="W31" s="310">
        <v>2154963</v>
      </c>
      <c r="X31" s="310">
        <v>2155212</v>
      </c>
      <c r="Y31" s="310">
        <v>2155474</v>
      </c>
      <c r="Z31" s="310">
        <v>2155731</v>
      </c>
      <c r="AA31" s="310">
        <v>2156078</v>
      </c>
      <c r="AB31" s="310">
        <v>2156638</v>
      </c>
      <c r="AC31" s="329">
        <v>2156941</v>
      </c>
      <c r="AD31" s="225">
        <v>2156941</v>
      </c>
      <c r="AE31" s="225"/>
    </row>
    <row r="32" spans="1:32" s="124" customFormat="1" x14ac:dyDescent="0.25">
      <c r="A32" s="6" t="s">
        <v>111</v>
      </c>
      <c r="B32" s="310">
        <v>746769</v>
      </c>
      <c r="C32" s="310">
        <v>747015</v>
      </c>
      <c r="D32" s="310">
        <v>747518</v>
      </c>
      <c r="E32" s="310">
        <v>747866</v>
      </c>
      <c r="F32" s="310">
        <v>748128</v>
      </c>
      <c r="G32" s="310">
        <v>748128</v>
      </c>
      <c r="H32" s="310">
        <v>748128</v>
      </c>
      <c r="I32" s="310">
        <v>748690</v>
      </c>
      <c r="J32" s="310">
        <v>748935</v>
      </c>
      <c r="K32" s="310">
        <v>749014</v>
      </c>
      <c r="L32" s="310">
        <v>749276</v>
      </c>
      <c r="M32" s="310">
        <v>749837</v>
      </c>
      <c r="N32" s="310">
        <v>749880</v>
      </c>
      <c r="O32" s="310">
        <v>750230</v>
      </c>
      <c r="P32" s="310">
        <v>750751</v>
      </c>
      <c r="Q32" s="310">
        <v>750891</v>
      </c>
      <c r="R32" s="310">
        <v>751325</v>
      </c>
      <c r="S32" s="310">
        <v>751844</v>
      </c>
      <c r="T32" s="310">
        <v>751939</v>
      </c>
      <c r="U32" s="310">
        <v>751939</v>
      </c>
      <c r="V32" s="310">
        <v>751939</v>
      </c>
      <c r="W32" s="310">
        <v>752082</v>
      </c>
      <c r="X32" s="310">
        <v>752532</v>
      </c>
      <c r="Y32" s="310">
        <v>752784</v>
      </c>
      <c r="Z32" s="310">
        <v>753035</v>
      </c>
      <c r="AA32" s="310">
        <v>753287</v>
      </c>
      <c r="AB32" s="310">
        <v>753287</v>
      </c>
      <c r="AC32" s="329">
        <v>753287</v>
      </c>
      <c r="AD32" s="225">
        <v>753287</v>
      </c>
      <c r="AE32" s="225"/>
    </row>
    <row r="33" spans="1:31" s="124" customFormat="1" x14ac:dyDescent="0.25">
      <c r="A33" s="5" t="s">
        <v>112</v>
      </c>
      <c r="B33" s="310">
        <v>679698</v>
      </c>
      <c r="C33" s="310">
        <v>679940</v>
      </c>
      <c r="D33" s="310">
        <v>680139</v>
      </c>
      <c r="E33" s="310">
        <v>680335</v>
      </c>
      <c r="F33" s="310">
        <v>680693</v>
      </c>
      <c r="G33" s="310">
        <v>680722</v>
      </c>
      <c r="H33" s="310">
        <v>680725</v>
      </c>
      <c r="I33" s="310">
        <v>681331</v>
      </c>
      <c r="J33" s="310">
        <v>681854</v>
      </c>
      <c r="K33" s="310">
        <v>682201</v>
      </c>
      <c r="L33" s="310">
        <v>682413</v>
      </c>
      <c r="M33" s="310">
        <v>682742</v>
      </c>
      <c r="N33" s="310">
        <v>682832</v>
      </c>
      <c r="O33" s="310">
        <v>683182</v>
      </c>
      <c r="P33" s="310">
        <v>683448</v>
      </c>
      <c r="Q33" s="310">
        <v>683968</v>
      </c>
      <c r="R33" s="310">
        <v>684418</v>
      </c>
      <c r="S33" s="310">
        <v>684793</v>
      </c>
      <c r="T33" s="310">
        <v>685229</v>
      </c>
      <c r="U33" s="310">
        <v>685229</v>
      </c>
      <c r="V33" s="310">
        <v>685229</v>
      </c>
      <c r="W33" s="310">
        <v>685492</v>
      </c>
      <c r="X33" s="310">
        <v>685856</v>
      </c>
      <c r="Y33" s="310">
        <v>686075</v>
      </c>
      <c r="Z33" s="310">
        <v>686426</v>
      </c>
      <c r="AA33" s="310">
        <v>686861</v>
      </c>
      <c r="AB33" s="310">
        <v>686861</v>
      </c>
      <c r="AC33" s="329">
        <v>686861</v>
      </c>
      <c r="AD33" s="225">
        <v>686861</v>
      </c>
      <c r="AE33" s="225"/>
    </row>
    <row r="34" spans="1:31" s="124" customFormat="1" x14ac:dyDescent="0.25">
      <c r="A34" s="6" t="s">
        <v>113</v>
      </c>
      <c r="B34" s="310">
        <v>723809</v>
      </c>
      <c r="C34" s="310">
        <v>723809</v>
      </c>
      <c r="D34" s="310">
        <v>723829</v>
      </c>
      <c r="E34" s="310">
        <v>723936</v>
      </c>
      <c r="F34" s="310">
        <v>724130</v>
      </c>
      <c r="G34" s="310">
        <v>724130</v>
      </c>
      <c r="H34" s="310">
        <v>724130</v>
      </c>
      <c r="I34" s="310">
        <v>724551</v>
      </c>
      <c r="J34" s="310">
        <v>725071</v>
      </c>
      <c r="K34" s="310">
        <v>725677</v>
      </c>
      <c r="L34" s="310">
        <v>726113</v>
      </c>
      <c r="M34" s="310">
        <v>726313</v>
      </c>
      <c r="N34" s="310">
        <v>726313</v>
      </c>
      <c r="O34" s="310">
        <v>726313</v>
      </c>
      <c r="P34" s="310">
        <v>726383</v>
      </c>
      <c r="Q34" s="310">
        <v>726901</v>
      </c>
      <c r="R34" s="310">
        <v>727505</v>
      </c>
      <c r="S34" s="310">
        <v>727955</v>
      </c>
      <c r="T34" s="310">
        <v>728149</v>
      </c>
      <c r="U34" s="310">
        <v>728149</v>
      </c>
      <c r="V34" s="310">
        <v>728149</v>
      </c>
      <c r="W34" s="310">
        <v>728400</v>
      </c>
      <c r="X34" s="310">
        <v>728659</v>
      </c>
      <c r="Y34" s="310">
        <v>729110</v>
      </c>
      <c r="Z34" s="310">
        <v>729209</v>
      </c>
      <c r="AA34" s="310">
        <v>729428</v>
      </c>
      <c r="AB34" s="310">
        <v>729428</v>
      </c>
      <c r="AC34" s="329">
        <v>729428</v>
      </c>
      <c r="AD34" s="225">
        <v>729428</v>
      </c>
      <c r="AE34" s="225"/>
    </row>
    <row r="35" spans="1:31" s="124" customFormat="1" x14ac:dyDescent="0.25">
      <c r="A35" s="7" t="s">
        <v>114</v>
      </c>
      <c r="B35" s="310">
        <v>741091</v>
      </c>
      <c r="C35" s="310">
        <v>741653</v>
      </c>
      <c r="D35" s="310">
        <v>742104</v>
      </c>
      <c r="E35" s="310">
        <v>742286</v>
      </c>
      <c r="F35" s="310">
        <v>742479</v>
      </c>
      <c r="G35" s="310">
        <v>742479</v>
      </c>
      <c r="H35" s="310">
        <v>742479</v>
      </c>
      <c r="I35" s="310">
        <v>742827</v>
      </c>
      <c r="J35" s="310">
        <v>743387</v>
      </c>
      <c r="K35" s="310">
        <v>743965</v>
      </c>
      <c r="L35" s="310">
        <v>744483</v>
      </c>
      <c r="M35" s="310">
        <v>744745</v>
      </c>
      <c r="N35" s="310">
        <v>745108</v>
      </c>
      <c r="O35" s="310">
        <v>745131</v>
      </c>
      <c r="P35" s="310">
        <v>745238</v>
      </c>
      <c r="Q35" s="310">
        <v>745450</v>
      </c>
      <c r="R35" s="310">
        <v>745799</v>
      </c>
      <c r="S35" s="310">
        <v>746315</v>
      </c>
      <c r="T35" s="310">
        <v>746835</v>
      </c>
      <c r="U35" s="310">
        <v>746840</v>
      </c>
      <c r="V35" s="310">
        <v>746843</v>
      </c>
      <c r="W35" s="310">
        <v>747405</v>
      </c>
      <c r="X35" s="310">
        <v>747649</v>
      </c>
      <c r="Y35" s="310">
        <v>747728</v>
      </c>
      <c r="Z35" s="310">
        <v>748161</v>
      </c>
      <c r="AA35" s="310">
        <v>748680</v>
      </c>
      <c r="AB35" s="310">
        <v>749197</v>
      </c>
      <c r="AC35" s="329">
        <v>749199</v>
      </c>
      <c r="AD35" s="225">
        <v>749373</v>
      </c>
      <c r="AE35" s="225"/>
    </row>
    <row r="36" spans="1:31" s="124" customFormat="1" x14ac:dyDescent="0.25">
      <c r="A36" s="5" t="s">
        <v>115</v>
      </c>
      <c r="B36" s="310">
        <v>715320</v>
      </c>
      <c r="C36" s="310">
        <v>715573</v>
      </c>
      <c r="D36" s="310">
        <v>715921</v>
      </c>
      <c r="E36" s="310">
        <v>716182</v>
      </c>
      <c r="F36" s="310">
        <v>716264</v>
      </c>
      <c r="G36" s="310">
        <v>716264</v>
      </c>
      <c r="H36" s="310">
        <v>716264</v>
      </c>
      <c r="I36" s="310">
        <v>716787</v>
      </c>
      <c r="J36" s="310">
        <v>717311</v>
      </c>
      <c r="K36" s="310">
        <v>717830</v>
      </c>
      <c r="L36" s="310">
        <v>718119</v>
      </c>
      <c r="M36" s="310">
        <v>718371</v>
      </c>
      <c r="N36" s="310">
        <v>718371</v>
      </c>
      <c r="O36" s="310">
        <v>718371</v>
      </c>
      <c r="P36" s="310">
        <v>718876</v>
      </c>
      <c r="Q36" s="310">
        <v>719228</v>
      </c>
      <c r="R36" s="310">
        <v>719662</v>
      </c>
      <c r="S36" s="310">
        <v>720112</v>
      </c>
      <c r="T36" s="310">
        <v>720427</v>
      </c>
      <c r="U36" s="310">
        <v>720427</v>
      </c>
      <c r="V36" s="310">
        <v>720427</v>
      </c>
      <c r="W36" s="310">
        <v>720777</v>
      </c>
      <c r="X36" s="310">
        <v>721211</v>
      </c>
      <c r="Y36" s="310">
        <v>721644</v>
      </c>
      <c r="Z36" s="310">
        <v>721846</v>
      </c>
      <c r="AA36" s="310">
        <v>722098</v>
      </c>
      <c r="AB36" s="310">
        <v>722098</v>
      </c>
      <c r="AC36" s="329">
        <v>722098</v>
      </c>
      <c r="AD36" s="225">
        <v>722098</v>
      </c>
      <c r="AE36" s="225"/>
    </row>
    <row r="37" spans="1:31" s="124" customFormat="1" x14ac:dyDescent="0.25">
      <c r="A37" s="6" t="s">
        <v>116</v>
      </c>
      <c r="B37" s="310">
        <v>755828</v>
      </c>
      <c r="C37" s="310">
        <v>756315</v>
      </c>
      <c r="D37" s="310">
        <v>756834</v>
      </c>
      <c r="E37" s="310">
        <v>757103</v>
      </c>
      <c r="F37" s="310">
        <v>757353</v>
      </c>
      <c r="G37" s="310">
        <v>757353</v>
      </c>
      <c r="H37" s="310">
        <v>757353</v>
      </c>
      <c r="I37" s="310">
        <v>757353</v>
      </c>
      <c r="J37" s="310">
        <v>757353</v>
      </c>
      <c r="K37" s="310">
        <v>757500</v>
      </c>
      <c r="L37" s="310">
        <v>757792</v>
      </c>
      <c r="M37" s="340">
        <v>757995</v>
      </c>
      <c r="N37" s="310">
        <v>758517</v>
      </c>
      <c r="O37" s="310">
        <v>758995</v>
      </c>
      <c r="P37" s="310">
        <v>759557</v>
      </c>
      <c r="Q37" s="310">
        <v>759992</v>
      </c>
      <c r="R37" s="310">
        <v>760274</v>
      </c>
      <c r="S37" s="310">
        <v>760468</v>
      </c>
      <c r="T37" s="310">
        <v>760720</v>
      </c>
      <c r="U37" s="310">
        <v>760720</v>
      </c>
      <c r="V37" s="310">
        <v>760720</v>
      </c>
      <c r="W37" s="310">
        <v>761026</v>
      </c>
      <c r="X37" s="310">
        <v>761118</v>
      </c>
      <c r="Y37" s="310">
        <v>761638</v>
      </c>
      <c r="Z37" s="310">
        <v>761939</v>
      </c>
      <c r="AA37" s="310">
        <v>762459</v>
      </c>
      <c r="AB37" s="310">
        <v>762459</v>
      </c>
      <c r="AC37" s="329">
        <v>762893</v>
      </c>
      <c r="AD37" s="225">
        <v>763369</v>
      </c>
      <c r="AE37" s="225"/>
    </row>
    <row r="38" spans="1:31" x14ac:dyDescent="0.25">
      <c r="A38" s="7" t="s">
        <v>117</v>
      </c>
      <c r="B38" s="310">
        <v>408860</v>
      </c>
      <c r="C38" s="310">
        <v>409027</v>
      </c>
      <c r="D38" s="310">
        <v>409229</v>
      </c>
      <c r="E38" s="310">
        <v>409423</v>
      </c>
      <c r="F38" s="310">
        <v>409673</v>
      </c>
      <c r="G38" s="310">
        <v>409673</v>
      </c>
      <c r="H38" s="310">
        <v>409673</v>
      </c>
      <c r="I38" s="310">
        <v>409923</v>
      </c>
      <c r="J38" s="310">
        <v>410172</v>
      </c>
      <c r="K38" s="310">
        <v>410361</v>
      </c>
      <c r="L38" s="310">
        <v>410440</v>
      </c>
      <c r="M38" s="310">
        <v>410440</v>
      </c>
      <c r="N38" s="310">
        <v>410440</v>
      </c>
      <c r="O38" s="310">
        <v>410440</v>
      </c>
      <c r="P38" s="310">
        <v>410442</v>
      </c>
      <c r="Q38" s="310">
        <v>410465</v>
      </c>
      <c r="R38" s="310">
        <v>410627</v>
      </c>
      <c r="S38" s="310">
        <v>410706</v>
      </c>
      <c r="T38" s="310">
        <v>410706</v>
      </c>
      <c r="U38" s="310">
        <v>410706</v>
      </c>
      <c r="V38" s="310">
        <v>410710</v>
      </c>
      <c r="W38" s="310">
        <v>411143</v>
      </c>
      <c r="X38" s="310">
        <v>411506</v>
      </c>
      <c r="Y38" s="310">
        <v>411881</v>
      </c>
      <c r="Z38" s="310">
        <v>412316</v>
      </c>
      <c r="AA38" s="310">
        <v>412834</v>
      </c>
      <c r="AB38" s="310">
        <v>413351</v>
      </c>
      <c r="AC38" s="329">
        <v>413353</v>
      </c>
      <c r="AD38" s="225">
        <v>413527</v>
      </c>
      <c r="AE38" s="225"/>
    </row>
    <row r="39" spans="1:31" x14ac:dyDescent="0.25">
      <c r="A39" s="5" t="s">
        <v>118</v>
      </c>
      <c r="B39" s="310">
        <v>733279</v>
      </c>
      <c r="C39" s="310">
        <v>733348</v>
      </c>
      <c r="D39" s="310">
        <v>733351</v>
      </c>
      <c r="E39" s="310">
        <v>733701</v>
      </c>
      <c r="F39" s="310">
        <v>733912</v>
      </c>
      <c r="G39" s="310">
        <v>733912</v>
      </c>
      <c r="H39" s="310">
        <v>733912</v>
      </c>
      <c r="I39" s="310">
        <v>734143</v>
      </c>
      <c r="J39" s="310">
        <v>734405</v>
      </c>
      <c r="K39" s="310">
        <v>734929</v>
      </c>
      <c r="L39" s="310">
        <v>735225</v>
      </c>
      <c r="M39" s="310">
        <v>735785</v>
      </c>
      <c r="N39" s="310">
        <v>736303</v>
      </c>
      <c r="O39" s="310">
        <v>736346</v>
      </c>
      <c r="P39" s="310">
        <v>736952</v>
      </c>
      <c r="Q39" s="310">
        <v>737383</v>
      </c>
      <c r="R39" s="310">
        <v>737820</v>
      </c>
      <c r="S39" s="310">
        <v>738340</v>
      </c>
      <c r="T39" s="310">
        <v>738543</v>
      </c>
      <c r="U39" s="310">
        <v>738543</v>
      </c>
      <c r="V39" s="310">
        <v>738543</v>
      </c>
      <c r="W39" s="310">
        <v>738797</v>
      </c>
      <c r="X39" s="310">
        <v>738872</v>
      </c>
      <c r="Y39" s="310">
        <v>739324</v>
      </c>
      <c r="Z39" s="310">
        <v>739422</v>
      </c>
      <c r="AA39" s="310">
        <v>739727</v>
      </c>
      <c r="AB39" s="310">
        <v>739727</v>
      </c>
      <c r="AC39" s="329">
        <v>740163</v>
      </c>
      <c r="AD39" s="225">
        <v>740636</v>
      </c>
      <c r="AE39" s="225"/>
    </row>
    <row r="40" spans="1:31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39"/>
      <c r="L40" s="325"/>
      <c r="M40" s="325"/>
      <c r="N40" s="310"/>
      <c r="O40" s="310"/>
      <c r="P40" s="310"/>
      <c r="Q40" s="310"/>
      <c r="R40" s="310"/>
      <c r="S40" s="310"/>
      <c r="T40" s="310"/>
      <c r="U40" s="310"/>
      <c r="V40" s="310"/>
      <c r="W40" s="325"/>
      <c r="X40" s="325"/>
      <c r="Y40" s="325"/>
      <c r="Z40" s="310"/>
      <c r="AA40" s="310"/>
      <c r="AB40" s="310"/>
      <c r="AC40" s="325"/>
      <c r="AD40" s="339"/>
      <c r="AE40" s="339"/>
    </row>
    <row r="41" spans="1:31" s="124" customFormat="1" x14ac:dyDescent="0.25">
      <c r="A41" s="336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225">
        <v>3675</v>
      </c>
      <c r="AE41" s="225"/>
    </row>
    <row r="42" spans="1:31" s="124" customFormat="1" x14ac:dyDescent="0.25">
      <c r="A42" s="336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225">
        <v>2001</v>
      </c>
      <c r="AE42" s="225"/>
    </row>
    <row r="43" spans="1:31" s="124" customFormat="1" x14ac:dyDescent="0.25">
      <c r="A43" s="337" t="s">
        <v>177</v>
      </c>
      <c r="B43" s="310">
        <v>9795</v>
      </c>
      <c r="C43" s="310">
        <v>10054</v>
      </c>
      <c r="D43" s="310">
        <v>10313</v>
      </c>
      <c r="E43" s="310">
        <v>10491</v>
      </c>
      <c r="F43" s="310">
        <v>10702</v>
      </c>
      <c r="G43" s="310">
        <v>10702</v>
      </c>
      <c r="H43" s="310">
        <v>10702</v>
      </c>
      <c r="I43" s="310">
        <v>10962</v>
      </c>
      <c r="J43" s="310">
        <v>11308</v>
      </c>
      <c r="K43" s="310">
        <v>11569</v>
      </c>
      <c r="L43" s="310">
        <v>11833</v>
      </c>
      <c r="M43" s="310">
        <v>12043</v>
      </c>
      <c r="N43" s="310">
        <v>12043</v>
      </c>
      <c r="O43" s="310">
        <v>12043</v>
      </c>
      <c r="P43" s="310">
        <v>12304</v>
      </c>
      <c r="Q43" s="310">
        <v>12564</v>
      </c>
      <c r="R43" s="310">
        <v>12564</v>
      </c>
      <c r="S43" s="310">
        <v>12775</v>
      </c>
      <c r="T43" s="310">
        <v>12861</v>
      </c>
      <c r="U43" s="310">
        <v>12861</v>
      </c>
      <c r="V43" s="310">
        <v>12861</v>
      </c>
      <c r="W43" s="310">
        <v>13123</v>
      </c>
      <c r="X43" s="310">
        <v>13383</v>
      </c>
      <c r="Y43" s="310">
        <v>13645</v>
      </c>
      <c r="Z43" s="310">
        <v>13856</v>
      </c>
      <c r="AA43" s="310">
        <v>14116</v>
      </c>
      <c r="AB43" s="310">
        <v>14116</v>
      </c>
      <c r="AC43" s="310">
        <v>14116</v>
      </c>
      <c r="AD43" s="225">
        <v>14116</v>
      </c>
      <c r="AE43" s="225"/>
    </row>
    <row r="44" spans="1:31" s="124" customFormat="1" x14ac:dyDescent="0.25">
      <c r="A44" s="336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225">
        <v>1802</v>
      </c>
      <c r="AE44" s="225"/>
    </row>
    <row r="45" spans="1:31" s="124" customFormat="1" x14ac:dyDescent="0.25">
      <c r="A45" s="337" t="s">
        <v>180</v>
      </c>
      <c r="B45" s="310">
        <v>2123</v>
      </c>
      <c r="C45" s="310">
        <v>2123</v>
      </c>
      <c r="D45" s="310">
        <v>2123</v>
      </c>
      <c r="E45" s="310">
        <v>2123</v>
      </c>
      <c r="F45" s="310">
        <v>2123</v>
      </c>
      <c r="G45" s="310">
        <v>2123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225">
        <v>2123</v>
      </c>
      <c r="AE45" s="225"/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0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0"/>
      <c r="AC46" s="212"/>
    </row>
    <row r="47" spans="1:31" ht="18" x14ac:dyDescent="0.25">
      <c r="A47" s="346" t="s">
        <v>31</v>
      </c>
      <c r="B47" s="346"/>
      <c r="C47" s="346"/>
      <c r="D47" s="346"/>
      <c r="E47" s="346"/>
      <c r="F47" s="346"/>
      <c r="G47" s="346"/>
      <c r="H47" s="346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6"/>
      <c r="AC47" s="346"/>
    </row>
    <row r="48" spans="1:31" x14ac:dyDescent="0.25">
      <c r="A48" s="9"/>
      <c r="B48" s="62">
        <v>46174</v>
      </c>
      <c r="C48" s="62">
        <v>46175</v>
      </c>
      <c r="D48" s="62">
        <v>46176</v>
      </c>
      <c r="E48" s="62">
        <v>46177</v>
      </c>
      <c r="F48" s="62">
        <v>46178</v>
      </c>
      <c r="G48" s="62">
        <v>46179</v>
      </c>
      <c r="H48" s="62">
        <v>46180</v>
      </c>
      <c r="I48" s="62">
        <v>46181</v>
      </c>
      <c r="J48" s="62">
        <v>46182</v>
      </c>
      <c r="K48" s="62">
        <v>46183</v>
      </c>
      <c r="L48" s="62">
        <v>46184</v>
      </c>
      <c r="M48" s="62">
        <v>46185</v>
      </c>
      <c r="N48" s="62">
        <v>46186</v>
      </c>
      <c r="O48" s="62">
        <v>46187</v>
      </c>
      <c r="P48" s="62">
        <v>46188</v>
      </c>
      <c r="Q48" s="62">
        <v>46189</v>
      </c>
      <c r="R48" s="62">
        <v>46190</v>
      </c>
      <c r="S48" s="62">
        <v>46191</v>
      </c>
      <c r="T48" s="62">
        <v>46192</v>
      </c>
      <c r="U48" s="62">
        <v>46193</v>
      </c>
      <c r="V48" s="62">
        <v>46194</v>
      </c>
      <c r="W48" s="62">
        <v>46195</v>
      </c>
      <c r="X48" s="62">
        <v>46196</v>
      </c>
      <c r="Y48" s="62">
        <v>46197</v>
      </c>
      <c r="Z48" s="62">
        <v>46198</v>
      </c>
      <c r="AA48" s="62">
        <v>46199</v>
      </c>
      <c r="AB48" s="62">
        <v>46200</v>
      </c>
      <c r="AC48" s="62">
        <v>46201</v>
      </c>
      <c r="AD48" s="62">
        <v>46202</v>
      </c>
      <c r="AE48" s="62">
        <v>46203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262</v>
      </c>
      <c r="C51" s="12">
        <f t="shared" ref="C51:S51" si="0">C5-B5</f>
        <v>529</v>
      </c>
      <c r="D51" s="12">
        <f t="shared" si="0"/>
        <v>561</v>
      </c>
      <c r="E51" s="12">
        <f t="shared" si="0"/>
        <v>264</v>
      </c>
      <c r="F51" s="12">
        <f t="shared" si="0"/>
        <v>90</v>
      </c>
      <c r="G51" s="12">
        <f t="shared" si="0"/>
        <v>520</v>
      </c>
      <c r="H51" s="12">
        <f t="shared" si="0"/>
        <v>262</v>
      </c>
      <c r="I51" s="12">
        <f t="shared" si="0"/>
        <v>203</v>
      </c>
      <c r="J51" s="12">
        <f t="shared" si="0"/>
        <v>248</v>
      </c>
      <c r="K51" s="12">
        <f t="shared" si="0"/>
        <v>450</v>
      </c>
      <c r="L51" s="12">
        <f t="shared" si="0"/>
        <v>348</v>
      </c>
      <c r="M51" s="12">
        <f t="shared" si="0"/>
        <v>416</v>
      </c>
      <c r="N51" s="12">
        <f t="shared" si="0"/>
        <v>363</v>
      </c>
      <c r="O51" s="12">
        <f t="shared" si="0"/>
        <v>21</v>
      </c>
      <c r="P51" s="12">
        <f t="shared" si="0"/>
        <v>452</v>
      </c>
      <c r="Q51" s="12">
        <f t="shared" si="0"/>
        <v>202</v>
      </c>
      <c r="R51" s="12">
        <f t="shared" si="0"/>
        <v>563</v>
      </c>
      <c r="S51" s="12">
        <f t="shared" si="0"/>
        <v>559</v>
      </c>
      <c r="T51" s="12">
        <f t="shared" ref="T51:AE66" si="1">T5-S5</f>
        <v>437</v>
      </c>
      <c r="U51" s="12">
        <f t="shared" si="1"/>
        <v>521</v>
      </c>
      <c r="V51" s="12">
        <f>V5-U5</f>
        <v>475</v>
      </c>
      <c r="W51" s="12">
        <f t="shared" si="1"/>
        <v>398</v>
      </c>
      <c r="X51" s="12">
        <f t="shared" si="1"/>
        <v>561</v>
      </c>
      <c r="Y51" s="12">
        <f t="shared" si="1"/>
        <v>518</v>
      </c>
      <c r="Z51" s="12">
        <f t="shared" si="1"/>
        <v>450</v>
      </c>
      <c r="AA51" s="12">
        <f t="shared" si="1"/>
        <v>98</v>
      </c>
      <c r="AB51" s="12">
        <f t="shared" si="1"/>
        <v>0</v>
      </c>
      <c r="AC51" s="12">
        <f t="shared" si="1"/>
        <v>0</v>
      </c>
      <c r="AD51" s="12">
        <f t="shared" si="1"/>
        <v>20</v>
      </c>
      <c r="AE51" s="12">
        <f t="shared" si="1"/>
        <v>-2140380</v>
      </c>
    </row>
    <row r="52" spans="1:31" x14ac:dyDescent="0.25">
      <c r="A52" s="11" t="s">
        <v>5</v>
      </c>
      <c r="B52" s="225">
        <v>605</v>
      </c>
      <c r="C52" s="12">
        <f t="shared" ref="C52:S52" si="2">C6-B6</f>
        <v>562</v>
      </c>
      <c r="D52" s="12">
        <f t="shared" si="2"/>
        <v>562</v>
      </c>
      <c r="E52" s="12">
        <f t="shared" si="2"/>
        <v>399</v>
      </c>
      <c r="F52" s="12">
        <f t="shared" si="2"/>
        <v>518</v>
      </c>
      <c r="G52" s="12">
        <f t="shared" si="2"/>
        <v>519</v>
      </c>
      <c r="H52" s="12">
        <f t="shared" si="2"/>
        <v>475</v>
      </c>
      <c r="I52" s="12">
        <f t="shared" si="2"/>
        <v>562</v>
      </c>
      <c r="J52" s="12">
        <f t="shared" si="2"/>
        <v>561</v>
      </c>
      <c r="K52" s="12">
        <f t="shared" si="2"/>
        <v>245</v>
      </c>
      <c r="L52" s="12">
        <f t="shared" si="2"/>
        <v>252</v>
      </c>
      <c r="M52" s="12">
        <f t="shared" si="2"/>
        <v>255</v>
      </c>
      <c r="N52" s="12">
        <f t="shared" si="2"/>
        <v>518</v>
      </c>
      <c r="O52" s="12">
        <f t="shared" si="2"/>
        <v>476</v>
      </c>
      <c r="P52" s="12">
        <f t="shared" si="2"/>
        <v>605</v>
      </c>
      <c r="Q52" s="12">
        <f t="shared" si="2"/>
        <v>245</v>
      </c>
      <c r="R52" s="12">
        <f t="shared" si="2"/>
        <v>485</v>
      </c>
      <c r="S52" s="12">
        <f t="shared" si="2"/>
        <v>562</v>
      </c>
      <c r="T52" s="12">
        <f t="shared" ref="T52:AE52" si="3">T6-S6</f>
        <v>493</v>
      </c>
      <c r="U52" s="12">
        <f t="shared" si="3"/>
        <v>0</v>
      </c>
      <c r="V52" s="12">
        <f t="shared" si="3"/>
        <v>0</v>
      </c>
      <c r="W52" s="12">
        <f t="shared" si="3"/>
        <v>99</v>
      </c>
      <c r="X52" s="12">
        <f t="shared" si="3"/>
        <v>196</v>
      </c>
      <c r="Y52" s="12">
        <f t="shared" si="3"/>
        <v>287</v>
      </c>
      <c r="Z52" s="12">
        <f t="shared" si="3"/>
        <v>562</v>
      </c>
      <c r="AA52" s="12">
        <f t="shared" si="3"/>
        <v>478</v>
      </c>
      <c r="AB52" s="12">
        <f t="shared" si="3"/>
        <v>43</v>
      </c>
      <c r="AC52" s="12">
        <f t="shared" si="1"/>
        <v>519</v>
      </c>
      <c r="AD52" s="12">
        <f t="shared" si="3"/>
        <v>519</v>
      </c>
      <c r="AE52" s="12">
        <f t="shared" si="3"/>
        <v>-2104374</v>
      </c>
    </row>
    <row r="53" spans="1:31" x14ac:dyDescent="0.25">
      <c r="A53" s="11" t="s">
        <v>6</v>
      </c>
      <c r="B53" s="225">
        <v>520</v>
      </c>
      <c r="C53" s="12">
        <f t="shared" ref="C53:S53" si="4">C7-B7</f>
        <v>454</v>
      </c>
      <c r="D53" s="12">
        <f t="shared" si="4"/>
        <v>194</v>
      </c>
      <c r="E53" s="12">
        <f t="shared" si="4"/>
        <v>418</v>
      </c>
      <c r="F53" s="12">
        <f t="shared" si="4"/>
        <v>519</v>
      </c>
      <c r="G53" s="12">
        <f t="shared" si="4"/>
        <v>0</v>
      </c>
      <c r="H53" s="12">
        <f t="shared" si="4"/>
        <v>0</v>
      </c>
      <c r="I53" s="12">
        <f t="shared" si="4"/>
        <v>473</v>
      </c>
      <c r="J53" s="12">
        <f t="shared" si="4"/>
        <v>172</v>
      </c>
      <c r="K53" s="12">
        <f t="shared" si="4"/>
        <v>90</v>
      </c>
      <c r="L53" s="12">
        <f t="shared" si="4"/>
        <v>454</v>
      </c>
      <c r="M53" s="12">
        <f t="shared" si="4"/>
        <v>476</v>
      </c>
      <c r="N53" s="12">
        <f t="shared" si="4"/>
        <v>0</v>
      </c>
      <c r="O53" s="12">
        <f t="shared" si="4"/>
        <v>0</v>
      </c>
      <c r="P53" s="12">
        <f t="shared" si="4"/>
        <v>194</v>
      </c>
      <c r="Q53" s="12">
        <f t="shared" si="4"/>
        <v>250</v>
      </c>
      <c r="R53" s="12">
        <f t="shared" si="4"/>
        <v>545</v>
      </c>
      <c r="S53" s="12">
        <f t="shared" si="4"/>
        <v>494</v>
      </c>
      <c r="T53" s="12">
        <f t="shared" ref="T53:AE53" si="5">T7-S7</f>
        <v>272</v>
      </c>
      <c r="U53" s="12">
        <f t="shared" si="5"/>
        <v>45</v>
      </c>
      <c r="V53" s="12">
        <f t="shared" si="5"/>
        <v>476</v>
      </c>
      <c r="W53" s="12">
        <f t="shared" si="5"/>
        <v>563</v>
      </c>
      <c r="X53" s="12">
        <f t="shared" si="5"/>
        <v>519</v>
      </c>
      <c r="Y53" s="12">
        <f t="shared" si="5"/>
        <v>604</v>
      </c>
      <c r="Z53" s="12">
        <f t="shared" si="5"/>
        <v>442</v>
      </c>
      <c r="AA53" s="12">
        <f t="shared" si="5"/>
        <v>479</v>
      </c>
      <c r="AB53" s="12">
        <f t="shared" si="5"/>
        <v>521</v>
      </c>
      <c r="AC53" s="12">
        <f t="shared" si="1"/>
        <v>477</v>
      </c>
      <c r="AD53" s="12">
        <f t="shared" si="5"/>
        <v>302</v>
      </c>
      <c r="AE53" s="12">
        <f t="shared" si="5"/>
        <v>-2182931</v>
      </c>
    </row>
    <row r="54" spans="1:31" x14ac:dyDescent="0.25">
      <c r="A54" s="13" t="s">
        <v>7</v>
      </c>
      <c r="B54" s="225">
        <v>438</v>
      </c>
      <c r="C54" s="12">
        <f t="shared" ref="C54:S54" si="6">C8-B8</f>
        <v>351</v>
      </c>
      <c r="D54" s="12">
        <f t="shared" si="6"/>
        <v>252</v>
      </c>
      <c r="E54" s="12">
        <f t="shared" si="6"/>
        <v>501</v>
      </c>
      <c r="F54" s="12">
        <f t="shared" si="6"/>
        <v>450</v>
      </c>
      <c r="G54" s="12">
        <f t="shared" si="6"/>
        <v>0</v>
      </c>
      <c r="H54" s="12">
        <f t="shared" si="6"/>
        <v>0</v>
      </c>
      <c r="I54" s="12">
        <f t="shared" si="6"/>
        <v>204</v>
      </c>
      <c r="J54" s="12">
        <f t="shared" si="6"/>
        <v>418</v>
      </c>
      <c r="K54" s="12">
        <f t="shared" si="6"/>
        <v>520</v>
      </c>
      <c r="L54" s="12">
        <f t="shared" si="6"/>
        <v>522</v>
      </c>
      <c r="M54" s="12">
        <f t="shared" si="6"/>
        <v>313</v>
      </c>
      <c r="N54" s="12">
        <f t="shared" si="6"/>
        <v>0</v>
      </c>
      <c r="O54" s="12">
        <f t="shared" si="6"/>
        <v>0</v>
      </c>
      <c r="P54" s="12">
        <f t="shared" si="6"/>
        <v>288</v>
      </c>
      <c r="Q54" s="12">
        <f t="shared" si="6"/>
        <v>493</v>
      </c>
      <c r="R54" s="12">
        <f t="shared" si="6"/>
        <v>263</v>
      </c>
      <c r="S54" s="12">
        <f t="shared" si="6"/>
        <v>169</v>
      </c>
      <c r="T54" s="12">
        <f t="shared" ref="T54:AE54" si="7">T8-S8</f>
        <v>561</v>
      </c>
      <c r="U54" s="12">
        <f t="shared" si="7"/>
        <v>561</v>
      </c>
      <c r="V54" s="12">
        <f t="shared" si="7"/>
        <v>518</v>
      </c>
      <c r="W54" s="12">
        <f t="shared" si="7"/>
        <v>536</v>
      </c>
      <c r="X54" s="12">
        <f t="shared" si="7"/>
        <v>193</v>
      </c>
      <c r="Y54" s="12">
        <f t="shared" si="7"/>
        <v>252</v>
      </c>
      <c r="Z54" s="12">
        <f t="shared" si="7"/>
        <v>251</v>
      </c>
      <c r="AA54" s="12">
        <f t="shared" si="7"/>
        <v>419</v>
      </c>
      <c r="AB54" s="12">
        <f t="shared" si="7"/>
        <v>519</v>
      </c>
      <c r="AC54" s="12">
        <f t="shared" si="1"/>
        <v>474</v>
      </c>
      <c r="AD54" s="12">
        <f t="shared" si="7"/>
        <v>44</v>
      </c>
      <c r="AE54" s="12">
        <f t="shared" si="7"/>
        <v>-2186275</v>
      </c>
    </row>
    <row r="55" spans="1:31" x14ac:dyDescent="0.25">
      <c r="A55" s="13" t="s">
        <v>8</v>
      </c>
      <c r="B55" s="225">
        <v>306</v>
      </c>
      <c r="C55" s="12">
        <f t="shared" ref="C55:S55" si="8">C9-B9</f>
        <v>436</v>
      </c>
      <c r="D55" s="12">
        <f t="shared" si="8"/>
        <v>519</v>
      </c>
      <c r="E55" s="12">
        <f t="shared" si="8"/>
        <v>452</v>
      </c>
      <c r="F55" s="12">
        <f t="shared" si="8"/>
        <v>544</v>
      </c>
      <c r="G55" s="12">
        <f t="shared" si="8"/>
        <v>475</v>
      </c>
      <c r="H55" s="12">
        <f t="shared" si="8"/>
        <v>431</v>
      </c>
      <c r="I55" s="12">
        <f t="shared" si="8"/>
        <v>200</v>
      </c>
      <c r="J55" s="12">
        <f t="shared" si="8"/>
        <v>251</v>
      </c>
      <c r="K55" s="12">
        <f t="shared" si="8"/>
        <v>545</v>
      </c>
      <c r="L55" s="12">
        <f t="shared" si="8"/>
        <v>560</v>
      </c>
      <c r="M55" s="12">
        <f t="shared" si="8"/>
        <v>212</v>
      </c>
      <c r="N55" s="12">
        <f t="shared" si="8"/>
        <v>0</v>
      </c>
      <c r="O55" s="12">
        <f t="shared" si="8"/>
        <v>0</v>
      </c>
      <c r="P55" s="12">
        <f t="shared" si="8"/>
        <v>251</v>
      </c>
      <c r="Q55" s="12">
        <f t="shared" si="8"/>
        <v>249</v>
      </c>
      <c r="R55" s="12">
        <f t="shared" si="8"/>
        <v>252</v>
      </c>
      <c r="S55" s="12">
        <f t="shared" si="8"/>
        <v>194</v>
      </c>
      <c r="T55" s="12">
        <f t="shared" ref="T55:AE55" si="9">T9-S9</f>
        <v>251</v>
      </c>
      <c r="U55" s="12">
        <f t="shared" si="9"/>
        <v>0</v>
      </c>
      <c r="V55" s="12">
        <f t="shared" si="9"/>
        <v>0</v>
      </c>
      <c r="W55" s="12">
        <f t="shared" si="9"/>
        <v>501</v>
      </c>
      <c r="X55" s="12">
        <f t="shared" si="9"/>
        <v>258</v>
      </c>
      <c r="Y55" s="12">
        <f t="shared" si="9"/>
        <v>281</v>
      </c>
      <c r="Z55" s="12">
        <f t="shared" si="9"/>
        <v>605</v>
      </c>
      <c r="AA55" s="12">
        <f t="shared" si="9"/>
        <v>478</v>
      </c>
      <c r="AB55" s="12">
        <f t="shared" si="9"/>
        <v>47</v>
      </c>
      <c r="AC55" s="12">
        <f t="shared" si="1"/>
        <v>176</v>
      </c>
      <c r="AD55" s="12">
        <f t="shared" si="9"/>
        <v>219</v>
      </c>
      <c r="AE55" s="12">
        <f t="shared" si="9"/>
        <v>-2102077</v>
      </c>
    </row>
    <row r="56" spans="1:31" x14ac:dyDescent="0.25">
      <c r="A56" s="13" t="s">
        <v>9</v>
      </c>
      <c r="B56" s="225">
        <v>453</v>
      </c>
      <c r="C56" s="12">
        <f t="shared" ref="C56:S56" si="10">C10-B10</f>
        <v>194</v>
      </c>
      <c r="D56" s="12">
        <f t="shared" si="10"/>
        <v>245</v>
      </c>
      <c r="E56" s="12">
        <f t="shared" si="10"/>
        <v>340</v>
      </c>
      <c r="F56" s="12">
        <f t="shared" si="10"/>
        <v>604</v>
      </c>
      <c r="G56" s="12">
        <f t="shared" si="10"/>
        <v>561</v>
      </c>
      <c r="H56" s="12">
        <f t="shared" si="10"/>
        <v>45</v>
      </c>
      <c r="I56" s="12">
        <f t="shared" si="10"/>
        <v>451</v>
      </c>
      <c r="J56" s="12">
        <f t="shared" si="10"/>
        <v>205</v>
      </c>
      <c r="K56" s="12">
        <f t="shared" si="10"/>
        <v>553</v>
      </c>
      <c r="L56" s="12">
        <f t="shared" si="10"/>
        <v>563</v>
      </c>
      <c r="M56" s="12">
        <f t="shared" si="10"/>
        <v>417</v>
      </c>
      <c r="N56" s="12">
        <f t="shared" si="10"/>
        <v>235</v>
      </c>
      <c r="O56" s="12">
        <f t="shared" si="10"/>
        <v>481</v>
      </c>
      <c r="P56" s="12">
        <f t="shared" si="10"/>
        <v>369</v>
      </c>
      <c r="Q56" s="12">
        <f t="shared" si="10"/>
        <v>79</v>
      </c>
      <c r="R56" s="12">
        <f t="shared" si="10"/>
        <v>282</v>
      </c>
      <c r="S56" s="12">
        <f t="shared" si="10"/>
        <v>194</v>
      </c>
      <c r="T56" s="12">
        <f t="shared" ref="T56:AE56" si="11">T10-S10</f>
        <v>251</v>
      </c>
      <c r="U56" s="12">
        <f t="shared" si="11"/>
        <v>0</v>
      </c>
      <c r="V56" s="12">
        <f t="shared" si="11"/>
        <v>0</v>
      </c>
      <c r="W56" s="12">
        <f t="shared" si="11"/>
        <v>252</v>
      </c>
      <c r="X56" s="12">
        <f t="shared" si="11"/>
        <v>501</v>
      </c>
      <c r="Y56" s="12">
        <f t="shared" si="11"/>
        <v>219</v>
      </c>
      <c r="Z56" s="12">
        <f t="shared" si="11"/>
        <v>493</v>
      </c>
      <c r="AA56" s="12">
        <f t="shared" si="11"/>
        <v>263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-2210979</v>
      </c>
    </row>
    <row r="57" spans="1:31" x14ac:dyDescent="0.25">
      <c r="A57" s="13" t="s">
        <v>10</v>
      </c>
      <c r="B57" s="225">
        <v>180</v>
      </c>
      <c r="C57" s="12">
        <f t="shared" ref="C57:S57" si="12">C11-B11</f>
        <v>2</v>
      </c>
      <c r="D57" s="12">
        <f t="shared" si="12"/>
        <v>203</v>
      </c>
      <c r="E57" s="12">
        <f t="shared" si="12"/>
        <v>143</v>
      </c>
      <c r="F57" s="12">
        <f t="shared" si="12"/>
        <v>0</v>
      </c>
      <c r="G57" s="12">
        <f t="shared" si="12"/>
        <v>0</v>
      </c>
      <c r="H57" s="12">
        <f t="shared" si="12"/>
        <v>2</v>
      </c>
      <c r="I57" s="12">
        <f t="shared" si="12"/>
        <v>32</v>
      </c>
      <c r="J57" s="12">
        <f t="shared" si="12"/>
        <v>0</v>
      </c>
      <c r="K57" s="12">
        <f t="shared" si="12"/>
        <v>0</v>
      </c>
      <c r="L57" s="12">
        <f t="shared" si="12"/>
        <v>20</v>
      </c>
      <c r="M57" s="12">
        <f t="shared" si="12"/>
        <v>442</v>
      </c>
      <c r="N57" s="12">
        <f t="shared" si="12"/>
        <v>0</v>
      </c>
      <c r="O57" s="12">
        <f t="shared" si="12"/>
        <v>0</v>
      </c>
      <c r="P57" s="12">
        <f t="shared" si="12"/>
        <v>203</v>
      </c>
      <c r="Q57" s="12">
        <f t="shared" si="12"/>
        <v>288</v>
      </c>
      <c r="R57" s="12">
        <f t="shared" si="12"/>
        <v>562</v>
      </c>
      <c r="S57" s="12">
        <f t="shared" si="12"/>
        <v>261</v>
      </c>
      <c r="T57" s="12">
        <f t="shared" ref="T57:AE57" si="13">T11-S11</f>
        <v>519</v>
      </c>
      <c r="U57" s="12">
        <f t="shared" si="13"/>
        <v>0</v>
      </c>
      <c r="V57" s="12">
        <f t="shared" si="13"/>
        <v>174</v>
      </c>
      <c r="W57" s="12">
        <f t="shared" si="13"/>
        <v>288</v>
      </c>
      <c r="X57" s="12">
        <f t="shared" si="13"/>
        <v>100</v>
      </c>
      <c r="Y57" s="12">
        <f t="shared" si="13"/>
        <v>182</v>
      </c>
      <c r="Z57" s="12">
        <f t="shared" si="13"/>
        <v>545</v>
      </c>
      <c r="AA57" s="12">
        <f t="shared" si="13"/>
        <v>603</v>
      </c>
      <c r="AB57" s="12">
        <f t="shared" si="13"/>
        <v>478</v>
      </c>
      <c r="AC57" s="12">
        <f t="shared" si="1"/>
        <v>474</v>
      </c>
      <c r="AD57" s="12">
        <f t="shared" si="13"/>
        <v>389</v>
      </c>
      <c r="AE57" s="12">
        <f t="shared" si="13"/>
        <v>-2247405</v>
      </c>
    </row>
    <row r="58" spans="1:31" x14ac:dyDescent="0.25">
      <c r="A58" s="11" t="s">
        <v>11</v>
      </c>
      <c r="B58" s="225">
        <v>363</v>
      </c>
      <c r="C58" s="12">
        <f t="shared" ref="C58:S58" si="14">C12-B12</f>
        <v>435</v>
      </c>
      <c r="D58" s="12">
        <f t="shared" si="14"/>
        <v>537</v>
      </c>
      <c r="E58" s="12">
        <f t="shared" si="14"/>
        <v>262</v>
      </c>
      <c r="F58" s="12">
        <f t="shared" si="14"/>
        <v>238</v>
      </c>
      <c r="G58" s="12">
        <f t="shared" si="14"/>
        <v>0</v>
      </c>
      <c r="H58" s="12">
        <f t="shared" si="14"/>
        <v>0</v>
      </c>
      <c r="I58" s="12">
        <f t="shared" si="14"/>
        <v>168</v>
      </c>
      <c r="J58" s="12">
        <f t="shared" si="14"/>
        <v>435</v>
      </c>
      <c r="K58" s="12">
        <f t="shared" si="14"/>
        <v>519</v>
      </c>
      <c r="L58" s="12">
        <f t="shared" si="14"/>
        <v>290</v>
      </c>
      <c r="M58" s="12">
        <f t="shared" si="14"/>
        <v>252</v>
      </c>
      <c r="N58" s="12">
        <f t="shared" si="14"/>
        <v>192</v>
      </c>
      <c r="O58" s="12">
        <f t="shared" si="14"/>
        <v>517</v>
      </c>
      <c r="P58" s="12">
        <f t="shared" si="14"/>
        <v>604</v>
      </c>
      <c r="Q58" s="12">
        <f t="shared" si="14"/>
        <v>450</v>
      </c>
      <c r="R58" s="12">
        <f t="shared" si="14"/>
        <v>251</v>
      </c>
      <c r="S58" s="12">
        <f t="shared" si="14"/>
        <v>260</v>
      </c>
      <c r="T58" s="12">
        <f t="shared" ref="T58:AE58" si="15">T12-S12</f>
        <v>314</v>
      </c>
      <c r="U58" s="12">
        <f t="shared" si="15"/>
        <v>520</v>
      </c>
      <c r="V58" s="12">
        <f t="shared" si="15"/>
        <v>475</v>
      </c>
      <c r="W58" s="12">
        <f t="shared" si="15"/>
        <v>560</v>
      </c>
      <c r="X58" s="12">
        <f t="shared" si="15"/>
        <v>561</v>
      </c>
      <c r="Y58" s="12">
        <f t="shared" si="15"/>
        <v>492</v>
      </c>
      <c r="Z58" s="12">
        <f t="shared" si="15"/>
        <v>195</v>
      </c>
      <c r="AA58" s="12">
        <f t="shared" si="15"/>
        <v>484</v>
      </c>
      <c r="AB58" s="12">
        <f t="shared" si="15"/>
        <v>561</v>
      </c>
      <c r="AC58" s="12">
        <f t="shared" si="1"/>
        <v>134</v>
      </c>
      <c r="AD58" s="12">
        <f t="shared" si="15"/>
        <v>518</v>
      </c>
      <c r="AE58" s="12">
        <f t="shared" si="15"/>
        <v>-2145263</v>
      </c>
    </row>
    <row r="59" spans="1:31" x14ac:dyDescent="0.25">
      <c r="A59" s="11" t="s">
        <v>12</v>
      </c>
      <c r="B59" s="225">
        <v>611</v>
      </c>
      <c r="C59" s="12">
        <f t="shared" ref="C59:S59" si="16">C13-B13</f>
        <v>278</v>
      </c>
      <c r="D59" s="12">
        <f t="shared" si="16"/>
        <v>128</v>
      </c>
      <c r="E59" s="12">
        <f t="shared" si="16"/>
        <v>443</v>
      </c>
      <c r="F59" s="12">
        <f t="shared" si="16"/>
        <v>502</v>
      </c>
      <c r="G59" s="12">
        <f t="shared" si="16"/>
        <v>432</v>
      </c>
      <c r="H59" s="12">
        <f t="shared" si="16"/>
        <v>431</v>
      </c>
      <c r="I59" s="12">
        <f t="shared" si="16"/>
        <v>449</v>
      </c>
      <c r="J59" s="12">
        <f t="shared" si="16"/>
        <v>151</v>
      </c>
      <c r="K59" s="12">
        <f t="shared" si="16"/>
        <v>330</v>
      </c>
      <c r="L59" s="12">
        <f t="shared" si="16"/>
        <v>431</v>
      </c>
      <c r="M59" s="12">
        <f t="shared" si="16"/>
        <v>535</v>
      </c>
      <c r="N59" s="12">
        <f t="shared" si="16"/>
        <v>0</v>
      </c>
      <c r="O59" s="12">
        <f t="shared" si="16"/>
        <v>0</v>
      </c>
      <c r="P59" s="12">
        <f t="shared" si="16"/>
        <v>262</v>
      </c>
      <c r="Q59" s="12">
        <f t="shared" si="16"/>
        <v>247</v>
      </c>
      <c r="R59" s="12">
        <f t="shared" si="16"/>
        <v>519</v>
      </c>
      <c r="S59" s="12">
        <f t="shared" si="16"/>
        <v>436</v>
      </c>
      <c r="T59" s="12">
        <f t="shared" ref="T59:AE59" si="17">T13-S13</f>
        <v>451</v>
      </c>
      <c r="U59" s="12">
        <f t="shared" si="17"/>
        <v>0</v>
      </c>
      <c r="V59" s="12">
        <f t="shared" si="17"/>
        <v>0</v>
      </c>
      <c r="W59" s="12">
        <f t="shared" si="17"/>
        <v>262</v>
      </c>
      <c r="X59" s="12">
        <f t="shared" si="17"/>
        <v>372</v>
      </c>
      <c r="Y59" s="12">
        <f t="shared" si="17"/>
        <v>560</v>
      </c>
      <c r="Z59" s="12">
        <f t="shared" si="17"/>
        <v>450</v>
      </c>
      <c r="AA59" s="12">
        <f t="shared" si="17"/>
        <v>245</v>
      </c>
      <c r="AB59" s="12">
        <f t="shared" si="17"/>
        <v>43</v>
      </c>
      <c r="AC59" s="12">
        <f t="shared" si="1"/>
        <v>519</v>
      </c>
      <c r="AD59" s="12">
        <f t="shared" si="17"/>
        <v>518</v>
      </c>
      <c r="AE59" s="12">
        <f t="shared" si="17"/>
        <v>-2130691</v>
      </c>
    </row>
    <row r="60" spans="1:31" x14ac:dyDescent="0.25">
      <c r="A60" s="11" t="s">
        <v>13</v>
      </c>
      <c r="B60" s="225">
        <v>81</v>
      </c>
      <c r="C60" s="12">
        <f t="shared" ref="C60:S60" si="18">C14-B14</f>
        <v>202</v>
      </c>
      <c r="D60" s="12">
        <f t="shared" si="18"/>
        <v>252</v>
      </c>
      <c r="E60" s="12">
        <f t="shared" si="18"/>
        <v>500</v>
      </c>
      <c r="F60" s="12">
        <f t="shared" si="18"/>
        <v>560</v>
      </c>
      <c r="G60" s="12">
        <f t="shared" si="18"/>
        <v>475</v>
      </c>
      <c r="H60" s="12">
        <f t="shared" si="18"/>
        <v>19</v>
      </c>
      <c r="I60" s="12">
        <f t="shared" si="18"/>
        <v>304</v>
      </c>
      <c r="J60" s="12">
        <f t="shared" si="18"/>
        <v>431</v>
      </c>
      <c r="K60" s="12">
        <f t="shared" si="18"/>
        <v>520</v>
      </c>
      <c r="L60" s="12">
        <f t="shared" si="18"/>
        <v>603</v>
      </c>
      <c r="M60" s="12">
        <f t="shared" si="18"/>
        <v>176</v>
      </c>
      <c r="N60" s="12">
        <f t="shared" si="18"/>
        <v>0</v>
      </c>
      <c r="O60" s="12">
        <f t="shared" si="18"/>
        <v>1</v>
      </c>
      <c r="P60" s="12">
        <f t="shared" si="18"/>
        <v>287</v>
      </c>
      <c r="Q60" s="12">
        <f t="shared" si="18"/>
        <v>587</v>
      </c>
      <c r="R60" s="12">
        <f t="shared" si="18"/>
        <v>258</v>
      </c>
      <c r="S60" s="12">
        <f t="shared" si="18"/>
        <v>587</v>
      </c>
      <c r="T60" s="12">
        <f t="shared" ref="T60:AE60" si="19">T14-S14</f>
        <v>477</v>
      </c>
      <c r="U60" s="12">
        <f t="shared" si="19"/>
        <v>481</v>
      </c>
      <c r="V60" s="12">
        <f t="shared" si="19"/>
        <v>431</v>
      </c>
      <c r="W60" s="12">
        <f t="shared" si="19"/>
        <v>560</v>
      </c>
      <c r="X60" s="12">
        <f t="shared" si="19"/>
        <v>357</v>
      </c>
      <c r="Y60" s="12">
        <f t="shared" si="19"/>
        <v>450</v>
      </c>
      <c r="Z60" s="12">
        <f t="shared" si="19"/>
        <v>254</v>
      </c>
      <c r="AA60" s="12">
        <f t="shared" si="19"/>
        <v>434</v>
      </c>
      <c r="AB60" s="12">
        <f t="shared" si="19"/>
        <v>562</v>
      </c>
      <c r="AC60" s="12">
        <f t="shared" si="1"/>
        <v>43</v>
      </c>
      <c r="AD60" s="12">
        <f t="shared" si="19"/>
        <v>89</v>
      </c>
      <c r="AE60" s="12">
        <f t="shared" si="19"/>
        <v>-2199262</v>
      </c>
    </row>
    <row r="61" spans="1:31" x14ac:dyDescent="0.25">
      <c r="A61" s="13" t="s">
        <v>14</v>
      </c>
      <c r="B61" s="225">
        <v>478</v>
      </c>
      <c r="C61" s="12">
        <f t="shared" ref="C61:S61" si="20">C15-B15</f>
        <v>492</v>
      </c>
      <c r="D61" s="12">
        <f t="shared" si="20"/>
        <v>306</v>
      </c>
      <c r="E61" s="12">
        <f t="shared" si="20"/>
        <v>167</v>
      </c>
      <c r="F61" s="12">
        <f t="shared" si="20"/>
        <v>433</v>
      </c>
      <c r="G61" s="12">
        <f t="shared" si="20"/>
        <v>28</v>
      </c>
      <c r="H61" s="12">
        <f t="shared" si="20"/>
        <v>264</v>
      </c>
      <c r="I61" s="12">
        <f t="shared" si="20"/>
        <v>263</v>
      </c>
      <c r="J61" s="12">
        <f t="shared" si="20"/>
        <v>450</v>
      </c>
      <c r="K61" s="12">
        <f t="shared" si="20"/>
        <v>194</v>
      </c>
      <c r="L61" s="12">
        <f t="shared" si="20"/>
        <v>193</v>
      </c>
      <c r="M61" s="12">
        <f t="shared" si="20"/>
        <v>443</v>
      </c>
      <c r="N61" s="12">
        <f t="shared" si="20"/>
        <v>0</v>
      </c>
      <c r="O61" s="12">
        <f t="shared" si="20"/>
        <v>0</v>
      </c>
      <c r="P61" s="12">
        <f t="shared" si="20"/>
        <v>218</v>
      </c>
      <c r="Q61" s="12">
        <f t="shared" si="20"/>
        <v>519</v>
      </c>
      <c r="R61" s="12">
        <f t="shared" si="20"/>
        <v>603</v>
      </c>
      <c r="S61" s="12">
        <f t="shared" si="20"/>
        <v>437</v>
      </c>
      <c r="T61" s="12">
        <f t="shared" ref="T61:AE61" si="21">T15-S15</f>
        <v>366</v>
      </c>
      <c r="U61" s="12">
        <f t="shared" si="21"/>
        <v>0</v>
      </c>
      <c r="V61" s="12">
        <f t="shared" si="21"/>
        <v>0</v>
      </c>
      <c r="W61" s="12">
        <f t="shared" si="21"/>
        <v>262</v>
      </c>
      <c r="X61" s="12">
        <f t="shared" si="21"/>
        <v>561</v>
      </c>
      <c r="Y61" s="12">
        <f t="shared" si="21"/>
        <v>476</v>
      </c>
      <c r="Z61" s="12">
        <f t="shared" si="21"/>
        <v>603</v>
      </c>
      <c r="AA61" s="12">
        <f t="shared" si="21"/>
        <v>492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-2225903</v>
      </c>
    </row>
    <row r="62" spans="1:31" x14ac:dyDescent="0.25">
      <c r="A62" s="13" t="s">
        <v>15</v>
      </c>
      <c r="B62" s="225">
        <v>258</v>
      </c>
      <c r="C62" s="12">
        <f t="shared" ref="C62:S62" si="22">C16-B16</f>
        <v>518</v>
      </c>
      <c r="D62" s="12">
        <f t="shared" si="22"/>
        <v>194</v>
      </c>
      <c r="E62" s="12">
        <f t="shared" si="22"/>
        <v>252</v>
      </c>
      <c r="F62" s="12">
        <f t="shared" si="22"/>
        <v>187</v>
      </c>
      <c r="G62" s="12">
        <f t="shared" si="22"/>
        <v>0</v>
      </c>
      <c r="H62" s="12">
        <f t="shared" si="22"/>
        <v>0</v>
      </c>
      <c r="I62" s="12">
        <f t="shared" si="22"/>
        <v>250</v>
      </c>
      <c r="J62" s="12">
        <f t="shared" si="22"/>
        <v>376</v>
      </c>
      <c r="K62" s="12">
        <f t="shared" si="22"/>
        <v>520</v>
      </c>
      <c r="L62" s="12">
        <f t="shared" si="22"/>
        <v>603</v>
      </c>
      <c r="M62" s="12">
        <f t="shared" si="22"/>
        <v>603</v>
      </c>
      <c r="N62" s="12">
        <f t="shared" si="22"/>
        <v>520</v>
      </c>
      <c r="O62" s="12">
        <f t="shared" si="22"/>
        <v>475</v>
      </c>
      <c r="P62" s="12">
        <f t="shared" si="22"/>
        <v>492</v>
      </c>
      <c r="Q62" s="12">
        <f t="shared" si="22"/>
        <v>194</v>
      </c>
      <c r="R62" s="12">
        <f t="shared" si="22"/>
        <v>287</v>
      </c>
      <c r="S62" s="12">
        <f t="shared" si="22"/>
        <v>560</v>
      </c>
      <c r="T62" s="12">
        <f t="shared" ref="T62:AE62" si="23">T16-S16</f>
        <v>517</v>
      </c>
      <c r="U62" s="12">
        <f t="shared" si="23"/>
        <v>517</v>
      </c>
      <c r="V62" s="12">
        <f t="shared" si="23"/>
        <v>174</v>
      </c>
      <c r="W62" s="12">
        <f t="shared" si="23"/>
        <v>365</v>
      </c>
      <c r="X62" s="12">
        <f t="shared" si="23"/>
        <v>102</v>
      </c>
      <c r="Y62" s="12">
        <f t="shared" si="23"/>
        <v>340</v>
      </c>
      <c r="Z62" s="12">
        <f t="shared" si="23"/>
        <v>518</v>
      </c>
      <c r="AA62" s="12">
        <f t="shared" si="23"/>
        <v>364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-2071591</v>
      </c>
    </row>
    <row r="63" spans="1:31" x14ac:dyDescent="0.25">
      <c r="A63" s="13" t="s">
        <v>16</v>
      </c>
      <c r="B63" s="225">
        <v>255</v>
      </c>
      <c r="C63" s="12">
        <f t="shared" ref="C63:S63" si="24">C17-B17</f>
        <v>285</v>
      </c>
      <c r="D63" s="12">
        <f t="shared" si="24"/>
        <v>329</v>
      </c>
      <c r="E63" s="12">
        <f t="shared" si="24"/>
        <v>431</v>
      </c>
      <c r="F63" s="12">
        <f t="shared" si="24"/>
        <v>431</v>
      </c>
      <c r="G63" s="12">
        <f t="shared" si="24"/>
        <v>28</v>
      </c>
      <c r="H63" s="12">
        <f t="shared" si="24"/>
        <v>23</v>
      </c>
      <c r="I63" s="12">
        <f t="shared" si="24"/>
        <v>243</v>
      </c>
      <c r="J63" s="12">
        <f t="shared" si="24"/>
        <v>267</v>
      </c>
      <c r="K63" s="12">
        <f t="shared" si="24"/>
        <v>559</v>
      </c>
      <c r="L63" s="12">
        <f t="shared" si="24"/>
        <v>562</v>
      </c>
      <c r="M63" s="12">
        <f t="shared" si="24"/>
        <v>559</v>
      </c>
      <c r="N63" s="12">
        <f t="shared" si="24"/>
        <v>562</v>
      </c>
      <c r="O63" s="12">
        <f t="shared" si="24"/>
        <v>131</v>
      </c>
      <c r="P63" s="12">
        <f t="shared" si="24"/>
        <v>451</v>
      </c>
      <c r="Q63" s="12">
        <f t="shared" si="24"/>
        <v>414</v>
      </c>
      <c r="R63" s="12">
        <f t="shared" si="24"/>
        <v>326</v>
      </c>
      <c r="S63" s="12">
        <f t="shared" si="24"/>
        <v>358</v>
      </c>
      <c r="T63" s="12">
        <f t="shared" ref="T63:AE63" si="25">T17-S17</f>
        <v>559</v>
      </c>
      <c r="U63" s="12">
        <f t="shared" si="25"/>
        <v>560</v>
      </c>
      <c r="V63" s="12">
        <f t="shared" si="25"/>
        <v>43</v>
      </c>
      <c r="W63" s="12">
        <f t="shared" si="25"/>
        <v>603</v>
      </c>
      <c r="X63" s="12">
        <f t="shared" si="25"/>
        <v>518</v>
      </c>
      <c r="Y63" s="12">
        <f t="shared" si="25"/>
        <v>201</v>
      </c>
      <c r="Z63" s="12">
        <f t="shared" si="25"/>
        <v>415</v>
      </c>
      <c r="AA63" s="12">
        <f t="shared" si="25"/>
        <v>370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-2176763</v>
      </c>
    </row>
    <row r="64" spans="1:31" x14ac:dyDescent="0.25">
      <c r="A64" s="13" t="s">
        <v>17</v>
      </c>
      <c r="B64" s="225">
        <v>249</v>
      </c>
      <c r="C64" s="12">
        <f t="shared" ref="C64:S64" si="26">C18-B18</f>
        <v>255</v>
      </c>
      <c r="D64" s="12">
        <f t="shared" si="26"/>
        <v>451</v>
      </c>
      <c r="E64" s="12">
        <f t="shared" si="26"/>
        <v>192</v>
      </c>
      <c r="F64" s="12">
        <f t="shared" si="26"/>
        <v>251</v>
      </c>
      <c r="G64" s="12">
        <f t="shared" si="26"/>
        <v>0</v>
      </c>
      <c r="H64" s="12">
        <f t="shared" si="26"/>
        <v>0</v>
      </c>
      <c r="I64" s="12">
        <f t="shared" si="26"/>
        <v>347</v>
      </c>
      <c r="J64" s="12">
        <f t="shared" si="26"/>
        <v>502</v>
      </c>
      <c r="K64" s="12">
        <f t="shared" si="26"/>
        <v>288</v>
      </c>
      <c r="L64" s="12">
        <f t="shared" si="26"/>
        <v>587</v>
      </c>
      <c r="M64" s="12">
        <f t="shared" si="26"/>
        <v>519</v>
      </c>
      <c r="N64" s="12">
        <f t="shared" si="26"/>
        <v>519</v>
      </c>
      <c r="O64" s="12">
        <f t="shared" si="26"/>
        <v>475</v>
      </c>
      <c r="P64" s="12">
        <f t="shared" si="26"/>
        <v>562</v>
      </c>
      <c r="Q64" s="12">
        <f t="shared" si="26"/>
        <v>452</v>
      </c>
      <c r="R64" s="12">
        <f t="shared" si="26"/>
        <v>194</v>
      </c>
      <c r="S64" s="12">
        <f t="shared" si="26"/>
        <v>249</v>
      </c>
      <c r="T64" s="12">
        <f t="shared" ref="T64:AE64" si="27">T18-S18</f>
        <v>71</v>
      </c>
      <c r="U64" s="12">
        <f t="shared" si="27"/>
        <v>521</v>
      </c>
      <c r="V64" s="12">
        <f t="shared" si="27"/>
        <v>177</v>
      </c>
      <c r="W64" s="12">
        <f t="shared" si="27"/>
        <v>175</v>
      </c>
      <c r="X64" s="12">
        <f t="shared" si="27"/>
        <v>449</v>
      </c>
      <c r="Y64" s="12">
        <f t="shared" si="27"/>
        <v>194</v>
      </c>
      <c r="Z64" s="12">
        <f t="shared" si="27"/>
        <v>249</v>
      </c>
      <c r="AA64" s="12">
        <f t="shared" si="27"/>
        <v>84</v>
      </c>
      <c r="AB64" s="12">
        <f t="shared" si="27"/>
        <v>520</v>
      </c>
      <c r="AC64" s="12">
        <f t="shared" si="1"/>
        <v>476</v>
      </c>
      <c r="AD64" s="12">
        <f t="shared" si="27"/>
        <v>136</v>
      </c>
      <c r="AE64" s="12">
        <f t="shared" si="27"/>
        <v>-2148475</v>
      </c>
    </row>
    <row r="65" spans="1:31" x14ac:dyDescent="0.25">
      <c r="A65" s="13" t="s">
        <v>18</v>
      </c>
      <c r="B65" s="225">
        <v>304</v>
      </c>
      <c r="C65" s="12">
        <f t="shared" ref="C65:S65" si="28">C19-B19</f>
        <v>517</v>
      </c>
      <c r="D65" s="12">
        <f t="shared" si="28"/>
        <v>606</v>
      </c>
      <c r="E65" s="12">
        <f t="shared" si="28"/>
        <v>522</v>
      </c>
      <c r="F65" s="12">
        <f t="shared" si="28"/>
        <v>535</v>
      </c>
      <c r="G65" s="12">
        <f t="shared" si="28"/>
        <v>0</v>
      </c>
      <c r="H65" s="12">
        <f t="shared" si="28"/>
        <v>19</v>
      </c>
      <c r="I65" s="12">
        <f t="shared" si="28"/>
        <v>442</v>
      </c>
      <c r="J65" s="12">
        <f t="shared" si="28"/>
        <v>604</v>
      </c>
      <c r="K65" s="12">
        <f t="shared" si="28"/>
        <v>603</v>
      </c>
      <c r="L65" s="12">
        <f t="shared" si="28"/>
        <v>560</v>
      </c>
      <c r="M65" s="12">
        <f t="shared" si="28"/>
        <v>604</v>
      </c>
      <c r="N65" s="12">
        <f t="shared" si="28"/>
        <v>523</v>
      </c>
      <c r="O65" s="12">
        <f t="shared" si="28"/>
        <v>519</v>
      </c>
      <c r="P65" s="12">
        <f t="shared" si="28"/>
        <v>400</v>
      </c>
      <c r="Q65" s="12">
        <f t="shared" si="28"/>
        <v>453</v>
      </c>
      <c r="R65" s="12">
        <f t="shared" si="28"/>
        <v>544</v>
      </c>
      <c r="S65" s="12">
        <f t="shared" si="28"/>
        <v>365</v>
      </c>
      <c r="T65" s="12">
        <f t="shared" ref="T65:AE65" si="29">T19-S19</f>
        <v>193</v>
      </c>
      <c r="U65" s="12">
        <f t="shared" si="29"/>
        <v>0</v>
      </c>
      <c r="V65" s="12">
        <f t="shared" si="29"/>
        <v>0</v>
      </c>
      <c r="W65" s="12">
        <f t="shared" si="29"/>
        <v>79</v>
      </c>
      <c r="X65" s="12">
        <f t="shared" si="29"/>
        <v>520</v>
      </c>
      <c r="Y65" s="12">
        <f t="shared" si="29"/>
        <v>451</v>
      </c>
      <c r="Z65" s="12">
        <f t="shared" si="29"/>
        <v>194</v>
      </c>
      <c r="AA65" s="12">
        <f t="shared" si="29"/>
        <v>78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-2236752</v>
      </c>
    </row>
    <row r="66" spans="1:31" x14ac:dyDescent="0.25">
      <c r="A66" s="13" t="s">
        <v>19</v>
      </c>
      <c r="B66" s="225">
        <v>449</v>
      </c>
      <c r="C66" s="12">
        <f t="shared" ref="C66:S66" si="30">C20-B20</f>
        <v>194</v>
      </c>
      <c r="D66" s="12">
        <f t="shared" si="30"/>
        <v>468</v>
      </c>
      <c r="E66" s="12">
        <f t="shared" si="30"/>
        <v>586</v>
      </c>
      <c r="F66" s="12">
        <f t="shared" si="30"/>
        <v>516</v>
      </c>
      <c r="G66" s="12">
        <f t="shared" si="30"/>
        <v>517</v>
      </c>
      <c r="H66" s="12">
        <f t="shared" si="30"/>
        <v>86</v>
      </c>
      <c r="I66" s="12">
        <f t="shared" si="30"/>
        <v>450</v>
      </c>
      <c r="J66" s="12">
        <f t="shared" si="30"/>
        <v>194</v>
      </c>
      <c r="K66" s="12">
        <f t="shared" si="30"/>
        <v>313</v>
      </c>
      <c r="L66" s="12">
        <f t="shared" si="30"/>
        <v>0</v>
      </c>
      <c r="M66" s="12">
        <f t="shared" si="30"/>
        <v>470</v>
      </c>
      <c r="N66" s="12">
        <f t="shared" si="30"/>
        <v>0</v>
      </c>
      <c r="O66" s="12">
        <f t="shared" si="30"/>
        <v>0</v>
      </c>
      <c r="P66" s="12">
        <f t="shared" si="30"/>
        <v>487</v>
      </c>
      <c r="Q66" s="12">
        <f t="shared" si="30"/>
        <v>375</v>
      </c>
      <c r="R66" s="12">
        <f t="shared" si="30"/>
        <v>561</v>
      </c>
      <c r="S66" s="12">
        <f t="shared" si="30"/>
        <v>492</v>
      </c>
      <c r="T66" s="12">
        <f t="shared" ref="T66:AE66" si="31">T20-S20</f>
        <v>177</v>
      </c>
      <c r="U66" s="12">
        <f t="shared" si="31"/>
        <v>0</v>
      </c>
      <c r="V66" s="12">
        <f t="shared" si="31"/>
        <v>0</v>
      </c>
      <c r="W66" s="12">
        <f t="shared" si="31"/>
        <v>304</v>
      </c>
      <c r="X66" s="12">
        <f t="shared" si="31"/>
        <v>517</v>
      </c>
      <c r="Y66" s="12">
        <f t="shared" si="31"/>
        <v>432</v>
      </c>
      <c r="Z66" s="12">
        <f t="shared" si="31"/>
        <v>365</v>
      </c>
      <c r="AA66" s="12">
        <f t="shared" si="31"/>
        <v>264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-2205883</v>
      </c>
    </row>
    <row r="67" spans="1:31" x14ac:dyDescent="0.25">
      <c r="A67" s="13" t="s">
        <v>20</v>
      </c>
      <c r="B67" s="225">
        <v>268</v>
      </c>
      <c r="C67" s="12">
        <f t="shared" ref="C67:S67" si="32">C21-B21</f>
        <v>452</v>
      </c>
      <c r="D67" s="12">
        <f t="shared" si="32"/>
        <v>91</v>
      </c>
      <c r="E67" s="12">
        <f t="shared" si="32"/>
        <v>519</v>
      </c>
      <c r="F67" s="12">
        <f t="shared" si="32"/>
        <v>357</v>
      </c>
      <c r="G67" s="12">
        <f t="shared" si="32"/>
        <v>44</v>
      </c>
      <c r="H67" s="12">
        <f t="shared" si="32"/>
        <v>477</v>
      </c>
      <c r="I67" s="12">
        <f t="shared" si="32"/>
        <v>561</v>
      </c>
      <c r="J67" s="12">
        <f t="shared" si="32"/>
        <v>457</v>
      </c>
      <c r="K67" s="12">
        <f t="shared" si="32"/>
        <v>259</v>
      </c>
      <c r="L67" s="12">
        <f t="shared" si="32"/>
        <v>527</v>
      </c>
      <c r="M67" s="12">
        <f t="shared" si="32"/>
        <v>491</v>
      </c>
      <c r="N67" s="12">
        <f t="shared" si="32"/>
        <v>0</v>
      </c>
      <c r="O67" s="12">
        <f t="shared" si="32"/>
        <v>0</v>
      </c>
      <c r="P67" s="12">
        <f t="shared" si="32"/>
        <v>252</v>
      </c>
      <c r="Q67" s="12">
        <f t="shared" si="32"/>
        <v>543</v>
      </c>
      <c r="R67" s="12">
        <f t="shared" si="32"/>
        <v>354</v>
      </c>
      <c r="S67" s="12">
        <f t="shared" si="32"/>
        <v>519</v>
      </c>
      <c r="T67" s="12">
        <f t="shared" ref="T67:AE82" si="33">T21-S21</f>
        <v>559</v>
      </c>
      <c r="U67" s="12">
        <f t="shared" si="33"/>
        <v>44</v>
      </c>
      <c r="V67" s="12">
        <f t="shared" si="33"/>
        <v>519</v>
      </c>
      <c r="W67" s="12">
        <f t="shared" si="33"/>
        <v>258</v>
      </c>
      <c r="X67" s="12">
        <f t="shared" si="33"/>
        <v>374</v>
      </c>
      <c r="Y67" s="12">
        <f t="shared" si="33"/>
        <v>259</v>
      </c>
      <c r="Z67" s="12">
        <f t="shared" si="33"/>
        <v>181</v>
      </c>
      <c r="AA67" s="12">
        <f t="shared" si="33"/>
        <v>262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-2210908</v>
      </c>
    </row>
    <row r="68" spans="1:31" x14ac:dyDescent="0.25">
      <c r="A68" s="13" t="s">
        <v>21</v>
      </c>
      <c r="B68" s="225">
        <v>449</v>
      </c>
      <c r="C68" s="12">
        <f t="shared" ref="C68:S68" si="34">C22-B22</f>
        <v>245</v>
      </c>
      <c r="D68" s="12">
        <f t="shared" si="34"/>
        <v>442</v>
      </c>
      <c r="E68" s="12">
        <f t="shared" si="34"/>
        <v>562</v>
      </c>
      <c r="F68" s="12">
        <f t="shared" si="34"/>
        <v>257</v>
      </c>
      <c r="G68" s="12">
        <f t="shared" si="34"/>
        <v>0</v>
      </c>
      <c r="H68" s="12">
        <f t="shared" si="34"/>
        <v>0</v>
      </c>
      <c r="I68" s="12">
        <f t="shared" si="34"/>
        <v>259</v>
      </c>
      <c r="J68" s="12">
        <f t="shared" si="34"/>
        <v>108</v>
      </c>
      <c r="K68" s="12">
        <f t="shared" si="34"/>
        <v>194</v>
      </c>
      <c r="L68" s="12">
        <f t="shared" si="34"/>
        <v>251</v>
      </c>
      <c r="M68" s="12">
        <f t="shared" si="34"/>
        <v>251</v>
      </c>
      <c r="N68" s="12">
        <f t="shared" si="34"/>
        <v>0</v>
      </c>
      <c r="O68" s="12">
        <f t="shared" si="34"/>
        <v>0</v>
      </c>
      <c r="P68" s="12">
        <f t="shared" si="34"/>
        <v>251</v>
      </c>
      <c r="Q68" s="12">
        <f t="shared" si="34"/>
        <v>251</v>
      </c>
      <c r="R68" s="12">
        <f t="shared" si="34"/>
        <v>228</v>
      </c>
      <c r="S68" s="12">
        <f t="shared" si="34"/>
        <v>518</v>
      </c>
      <c r="T68" s="12">
        <f t="shared" ref="T68:AE68" si="35">T22-S22</f>
        <v>491</v>
      </c>
      <c r="U68" s="12">
        <f t="shared" si="35"/>
        <v>561</v>
      </c>
      <c r="V68" s="12">
        <f t="shared" si="35"/>
        <v>394</v>
      </c>
      <c r="W68" s="12">
        <f t="shared" si="35"/>
        <v>603</v>
      </c>
      <c r="X68" s="12">
        <f t="shared" si="35"/>
        <v>388</v>
      </c>
      <c r="Y68" s="12">
        <f t="shared" si="35"/>
        <v>244</v>
      </c>
      <c r="Z68" s="12">
        <f t="shared" si="35"/>
        <v>251</v>
      </c>
      <c r="AA68" s="12">
        <f t="shared" si="35"/>
        <v>433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-2138972</v>
      </c>
    </row>
    <row r="69" spans="1:31" x14ac:dyDescent="0.25">
      <c r="A69" s="13" t="s">
        <v>22</v>
      </c>
      <c r="B69" s="225">
        <v>416</v>
      </c>
      <c r="C69" s="12">
        <f t="shared" ref="C69:S69" si="36">C23-B23</f>
        <v>373</v>
      </c>
      <c r="D69" s="12">
        <f t="shared" si="36"/>
        <v>560</v>
      </c>
      <c r="E69" s="12">
        <f t="shared" si="36"/>
        <v>604</v>
      </c>
      <c r="F69" s="12">
        <f t="shared" si="36"/>
        <v>389</v>
      </c>
      <c r="G69" s="12">
        <f t="shared" si="36"/>
        <v>560</v>
      </c>
      <c r="H69" s="12">
        <f t="shared" si="36"/>
        <v>44</v>
      </c>
      <c r="I69" s="12">
        <f t="shared" si="36"/>
        <v>560</v>
      </c>
      <c r="J69" s="12">
        <f t="shared" si="36"/>
        <v>244</v>
      </c>
      <c r="K69" s="12">
        <f t="shared" si="36"/>
        <v>252</v>
      </c>
      <c r="L69" s="12">
        <f t="shared" si="36"/>
        <v>483</v>
      </c>
      <c r="M69" s="12">
        <f t="shared" si="36"/>
        <v>519</v>
      </c>
      <c r="N69" s="12">
        <f t="shared" si="36"/>
        <v>560</v>
      </c>
      <c r="O69" s="12">
        <f t="shared" si="36"/>
        <v>46</v>
      </c>
      <c r="P69" s="12">
        <f t="shared" si="36"/>
        <v>453</v>
      </c>
      <c r="Q69" s="12">
        <f t="shared" si="36"/>
        <v>194</v>
      </c>
      <c r="R69" s="12">
        <f t="shared" si="36"/>
        <v>521</v>
      </c>
      <c r="S69" s="12">
        <f t="shared" si="36"/>
        <v>79</v>
      </c>
      <c r="T69" s="12">
        <f t="shared" ref="T69:AE69" si="37">T23-S23</f>
        <v>518</v>
      </c>
      <c r="U69" s="12">
        <f t="shared" si="37"/>
        <v>561</v>
      </c>
      <c r="V69" s="12">
        <f t="shared" si="37"/>
        <v>43</v>
      </c>
      <c r="W69" s="12">
        <f t="shared" si="37"/>
        <v>454</v>
      </c>
      <c r="X69" s="12">
        <f t="shared" si="37"/>
        <v>262</v>
      </c>
      <c r="Y69" s="12">
        <f t="shared" si="37"/>
        <v>212</v>
      </c>
      <c r="Z69" s="12">
        <f t="shared" si="37"/>
        <v>475</v>
      </c>
      <c r="AA69" s="12">
        <f t="shared" si="37"/>
        <v>604</v>
      </c>
      <c r="AB69" s="12">
        <f t="shared" si="37"/>
        <v>518</v>
      </c>
      <c r="AC69" s="12">
        <f t="shared" si="33"/>
        <v>431</v>
      </c>
      <c r="AD69" s="12">
        <f t="shared" si="37"/>
        <v>475</v>
      </c>
      <c r="AE69" s="12">
        <f t="shared" si="37"/>
        <v>-2170707</v>
      </c>
    </row>
    <row r="70" spans="1:31" x14ac:dyDescent="0.25">
      <c r="A70" s="11" t="s">
        <v>23</v>
      </c>
      <c r="B70" s="225">
        <v>561</v>
      </c>
      <c r="C70" s="12">
        <f t="shared" ref="C70:S70" si="38">C24-B24</f>
        <v>400</v>
      </c>
      <c r="D70" s="12">
        <f t="shared" si="38"/>
        <v>258</v>
      </c>
      <c r="E70" s="12">
        <f t="shared" si="38"/>
        <v>249</v>
      </c>
      <c r="F70" s="12">
        <f t="shared" si="38"/>
        <v>247</v>
      </c>
      <c r="G70" s="12">
        <f t="shared" si="38"/>
        <v>0</v>
      </c>
      <c r="H70" s="12">
        <f t="shared" si="38"/>
        <v>0</v>
      </c>
      <c r="I70" s="12">
        <f t="shared" si="38"/>
        <v>250</v>
      </c>
      <c r="J70" s="12">
        <f t="shared" si="38"/>
        <v>397</v>
      </c>
      <c r="K70" s="12">
        <f t="shared" si="38"/>
        <v>202</v>
      </c>
      <c r="L70" s="12">
        <f t="shared" si="38"/>
        <v>433</v>
      </c>
      <c r="M70" s="12">
        <f t="shared" si="38"/>
        <v>71</v>
      </c>
      <c r="N70" s="12">
        <f t="shared" si="38"/>
        <v>0</v>
      </c>
      <c r="O70" s="12">
        <f t="shared" si="38"/>
        <v>0</v>
      </c>
      <c r="P70" s="12">
        <f t="shared" si="38"/>
        <v>520</v>
      </c>
      <c r="Q70" s="12">
        <f t="shared" si="38"/>
        <v>534</v>
      </c>
      <c r="R70" s="12">
        <f t="shared" si="38"/>
        <v>194</v>
      </c>
      <c r="S70" s="12">
        <f t="shared" si="38"/>
        <v>372</v>
      </c>
      <c r="T70" s="12">
        <f t="shared" ref="T70:AE70" si="39">T24-S24</f>
        <v>560</v>
      </c>
      <c r="U70" s="12">
        <f t="shared" si="39"/>
        <v>560</v>
      </c>
      <c r="V70" s="12">
        <f t="shared" si="39"/>
        <v>130</v>
      </c>
      <c r="W70" s="12">
        <f t="shared" si="39"/>
        <v>364</v>
      </c>
      <c r="X70" s="12">
        <f t="shared" si="39"/>
        <v>263</v>
      </c>
      <c r="Y70" s="12">
        <f t="shared" si="39"/>
        <v>499</v>
      </c>
      <c r="Z70" s="12">
        <f t="shared" si="39"/>
        <v>518</v>
      </c>
      <c r="AA70" s="12">
        <f t="shared" si="39"/>
        <v>517</v>
      </c>
      <c r="AB70" s="12">
        <f t="shared" si="39"/>
        <v>560</v>
      </c>
      <c r="AC70" s="12">
        <f t="shared" si="33"/>
        <v>43</v>
      </c>
      <c r="AD70" s="12">
        <f t="shared" si="39"/>
        <v>430</v>
      </c>
      <c r="AE70" s="12">
        <f t="shared" si="39"/>
        <v>-2209884</v>
      </c>
    </row>
    <row r="71" spans="1:31" x14ac:dyDescent="0.25">
      <c r="A71" s="13" t="s">
        <v>24</v>
      </c>
      <c r="B71" s="225">
        <v>442</v>
      </c>
      <c r="C71" s="12">
        <f t="shared" ref="C71:S71" si="40">C25-B25</f>
        <v>433</v>
      </c>
      <c r="D71" s="12">
        <f t="shared" si="40"/>
        <v>434</v>
      </c>
      <c r="E71" s="12">
        <f t="shared" si="40"/>
        <v>605</v>
      </c>
      <c r="F71" s="12">
        <f t="shared" si="40"/>
        <v>452</v>
      </c>
      <c r="G71" s="12">
        <f t="shared" si="40"/>
        <v>0</v>
      </c>
      <c r="H71" s="12">
        <f t="shared" si="40"/>
        <v>0</v>
      </c>
      <c r="I71" s="12">
        <f t="shared" si="40"/>
        <v>193</v>
      </c>
      <c r="J71" s="12">
        <f t="shared" si="40"/>
        <v>250</v>
      </c>
      <c r="K71" s="12">
        <f t="shared" si="40"/>
        <v>312</v>
      </c>
      <c r="L71" s="12">
        <f t="shared" si="40"/>
        <v>364</v>
      </c>
      <c r="M71" s="12">
        <f t="shared" si="40"/>
        <v>252</v>
      </c>
      <c r="N71" s="12">
        <f t="shared" si="40"/>
        <v>0</v>
      </c>
      <c r="O71" s="12">
        <f t="shared" si="40"/>
        <v>0</v>
      </c>
      <c r="P71" s="12">
        <f t="shared" si="40"/>
        <v>193</v>
      </c>
      <c r="Q71" s="12">
        <f t="shared" si="40"/>
        <v>257</v>
      </c>
      <c r="R71" s="12">
        <f t="shared" si="40"/>
        <v>519</v>
      </c>
      <c r="S71" s="12">
        <f t="shared" si="40"/>
        <v>258</v>
      </c>
      <c r="T71" s="12">
        <f t="shared" ref="T71:AE71" si="41">T25-S25</f>
        <v>586</v>
      </c>
      <c r="U71" s="12">
        <f t="shared" si="41"/>
        <v>519</v>
      </c>
      <c r="V71" s="12">
        <f t="shared" si="41"/>
        <v>476</v>
      </c>
      <c r="W71" s="12">
        <f t="shared" si="41"/>
        <v>245</v>
      </c>
      <c r="X71" s="12">
        <f t="shared" si="41"/>
        <v>191</v>
      </c>
      <c r="Y71" s="12">
        <f t="shared" si="41"/>
        <v>503</v>
      </c>
      <c r="Z71" s="12">
        <f t="shared" si="41"/>
        <v>260</v>
      </c>
      <c r="AA71" s="12">
        <f t="shared" si="41"/>
        <v>365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-2224882</v>
      </c>
    </row>
    <row r="72" spans="1:31" x14ac:dyDescent="0.25">
      <c r="A72" s="13" t="s">
        <v>25</v>
      </c>
      <c r="B72" s="225">
        <v>326</v>
      </c>
      <c r="C72" s="12">
        <f t="shared" ref="C72:S72" si="42">C26-B26</f>
        <v>500</v>
      </c>
      <c r="D72" s="12">
        <f t="shared" si="42"/>
        <v>432</v>
      </c>
      <c r="E72" s="12">
        <f t="shared" si="42"/>
        <v>308</v>
      </c>
      <c r="F72" s="12">
        <f t="shared" si="42"/>
        <v>560</v>
      </c>
      <c r="G72" s="12">
        <f t="shared" si="42"/>
        <v>560</v>
      </c>
      <c r="H72" s="12">
        <f t="shared" si="42"/>
        <v>476</v>
      </c>
      <c r="I72" s="12">
        <f t="shared" si="42"/>
        <v>432</v>
      </c>
      <c r="J72" s="12">
        <f t="shared" si="42"/>
        <v>452</v>
      </c>
      <c r="K72" s="12">
        <f t="shared" si="42"/>
        <v>249</v>
      </c>
      <c r="L72" s="12">
        <f t="shared" si="42"/>
        <v>193</v>
      </c>
      <c r="M72" s="12">
        <f t="shared" si="42"/>
        <v>527</v>
      </c>
      <c r="N72" s="12">
        <f t="shared" si="42"/>
        <v>560</v>
      </c>
      <c r="O72" s="12">
        <f t="shared" si="42"/>
        <v>518</v>
      </c>
      <c r="P72" s="12">
        <f t="shared" si="42"/>
        <v>125</v>
      </c>
      <c r="Q72" s="12">
        <f t="shared" si="42"/>
        <v>562</v>
      </c>
      <c r="R72" s="12">
        <f t="shared" si="42"/>
        <v>151</v>
      </c>
      <c r="S72" s="12">
        <f t="shared" si="42"/>
        <v>194</v>
      </c>
      <c r="T72" s="12">
        <f t="shared" ref="T72:AE72" si="43">T26-S26</f>
        <v>502</v>
      </c>
      <c r="U72" s="12">
        <f t="shared" si="43"/>
        <v>0</v>
      </c>
      <c r="V72" s="12">
        <f t="shared" si="43"/>
        <v>19</v>
      </c>
      <c r="W72" s="12">
        <f t="shared" si="43"/>
        <v>416</v>
      </c>
      <c r="X72" s="12">
        <f t="shared" si="43"/>
        <v>560</v>
      </c>
      <c r="Y72" s="12">
        <f t="shared" si="43"/>
        <v>492</v>
      </c>
      <c r="Z72" s="12">
        <f t="shared" si="43"/>
        <v>347</v>
      </c>
      <c r="AA72" s="12">
        <f t="shared" si="43"/>
        <v>566</v>
      </c>
      <c r="AB72" s="12">
        <f t="shared" si="43"/>
        <v>513</v>
      </c>
      <c r="AC72" s="12">
        <f t="shared" si="33"/>
        <v>3</v>
      </c>
      <c r="AD72" s="12">
        <f t="shared" si="43"/>
        <v>2</v>
      </c>
      <c r="AE72" s="12">
        <f t="shared" si="43"/>
        <v>-2224455</v>
      </c>
    </row>
    <row r="73" spans="1:31" x14ac:dyDescent="0.25">
      <c r="A73" s="13" t="s">
        <v>26</v>
      </c>
      <c r="B73" s="225">
        <v>433</v>
      </c>
      <c r="C73" s="12">
        <f t="shared" ref="C73:S73" si="44">C27-B27</f>
        <v>432</v>
      </c>
      <c r="D73" s="12">
        <f t="shared" si="44"/>
        <v>321</v>
      </c>
      <c r="E73" s="12">
        <f t="shared" si="44"/>
        <v>425</v>
      </c>
      <c r="F73" s="12">
        <f t="shared" si="44"/>
        <v>288</v>
      </c>
      <c r="G73" s="12">
        <f t="shared" si="44"/>
        <v>561</v>
      </c>
      <c r="H73" s="12">
        <f t="shared" si="44"/>
        <v>518</v>
      </c>
      <c r="I73" s="12">
        <f t="shared" si="44"/>
        <v>605</v>
      </c>
      <c r="J73" s="12">
        <f t="shared" si="44"/>
        <v>518</v>
      </c>
      <c r="K73" s="12">
        <f t="shared" si="44"/>
        <v>288</v>
      </c>
      <c r="L73" s="12">
        <f t="shared" si="44"/>
        <v>246</v>
      </c>
      <c r="M73" s="12">
        <f t="shared" si="44"/>
        <v>562</v>
      </c>
      <c r="N73" s="12">
        <f t="shared" si="44"/>
        <v>482</v>
      </c>
      <c r="O73" s="12">
        <f t="shared" si="44"/>
        <v>0</v>
      </c>
      <c r="P73" s="12">
        <f t="shared" si="44"/>
        <v>433</v>
      </c>
      <c r="Q73" s="12">
        <f t="shared" si="44"/>
        <v>434</v>
      </c>
      <c r="R73" s="12">
        <f t="shared" si="44"/>
        <v>204</v>
      </c>
      <c r="S73" s="12">
        <f t="shared" si="44"/>
        <v>251</v>
      </c>
      <c r="T73" s="12">
        <f t="shared" ref="T73:AE73" si="45">T27-S27</f>
        <v>428</v>
      </c>
      <c r="U73" s="12">
        <f t="shared" si="45"/>
        <v>521</v>
      </c>
      <c r="V73" s="12">
        <f t="shared" si="45"/>
        <v>434</v>
      </c>
      <c r="W73" s="12">
        <f t="shared" si="45"/>
        <v>437</v>
      </c>
      <c r="X73" s="12">
        <f t="shared" si="45"/>
        <v>450</v>
      </c>
      <c r="Y73" s="12">
        <f t="shared" si="45"/>
        <v>264</v>
      </c>
      <c r="Z73" s="12">
        <f t="shared" si="45"/>
        <v>416</v>
      </c>
      <c r="AA73" s="12">
        <f t="shared" si="45"/>
        <v>259</v>
      </c>
      <c r="AB73" s="12">
        <f t="shared" si="45"/>
        <v>0</v>
      </c>
      <c r="AC73" s="12">
        <f t="shared" si="33"/>
        <v>37</v>
      </c>
      <c r="AD73" s="12">
        <f t="shared" si="45"/>
        <v>0</v>
      </c>
      <c r="AE73" s="12">
        <f t="shared" si="45"/>
        <v>-2191754</v>
      </c>
    </row>
    <row r="74" spans="1:31" x14ac:dyDescent="0.25">
      <c r="A74" s="13" t="s">
        <v>27</v>
      </c>
      <c r="B74" s="225">
        <v>258</v>
      </c>
      <c r="C74" s="12">
        <f t="shared" ref="C74:S74" si="46">C28-B28</f>
        <v>520</v>
      </c>
      <c r="D74" s="12">
        <f t="shared" si="46"/>
        <v>526</v>
      </c>
      <c r="E74" s="12">
        <f t="shared" si="46"/>
        <v>355</v>
      </c>
      <c r="F74" s="12">
        <f t="shared" si="46"/>
        <v>562</v>
      </c>
      <c r="G74" s="12">
        <f t="shared" si="46"/>
        <v>519</v>
      </c>
      <c r="H74" s="12">
        <f t="shared" si="46"/>
        <v>475</v>
      </c>
      <c r="I74" s="12">
        <f t="shared" si="46"/>
        <v>560</v>
      </c>
      <c r="J74" s="12">
        <f t="shared" si="46"/>
        <v>259</v>
      </c>
      <c r="K74" s="12">
        <f t="shared" si="46"/>
        <v>586</v>
      </c>
      <c r="L74" s="12">
        <f t="shared" si="46"/>
        <v>308</v>
      </c>
      <c r="M74" s="12">
        <f t="shared" si="46"/>
        <v>246</v>
      </c>
      <c r="N74" s="12">
        <f t="shared" si="46"/>
        <v>0</v>
      </c>
      <c r="O74" s="12">
        <f t="shared" si="46"/>
        <v>0</v>
      </c>
      <c r="P74" s="12">
        <f t="shared" si="46"/>
        <v>374</v>
      </c>
      <c r="Q74" s="12">
        <f t="shared" si="46"/>
        <v>561</v>
      </c>
      <c r="R74" s="12">
        <f t="shared" si="46"/>
        <v>434</v>
      </c>
      <c r="S74" s="12">
        <f t="shared" si="46"/>
        <v>307</v>
      </c>
      <c r="T74" s="12">
        <f t="shared" ref="T74:AE74" si="47">T28-S28</f>
        <v>243</v>
      </c>
      <c r="U74" s="12">
        <f t="shared" si="47"/>
        <v>0</v>
      </c>
      <c r="V74" s="12">
        <f t="shared" si="47"/>
        <v>0</v>
      </c>
      <c r="W74" s="12">
        <f t="shared" si="47"/>
        <v>252</v>
      </c>
      <c r="X74" s="12">
        <f t="shared" si="47"/>
        <v>504</v>
      </c>
      <c r="Y74" s="12">
        <f t="shared" si="47"/>
        <v>176</v>
      </c>
      <c r="Z74" s="12">
        <f t="shared" si="47"/>
        <v>521</v>
      </c>
      <c r="AA74" s="12">
        <f t="shared" si="47"/>
        <v>201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-2156645</v>
      </c>
    </row>
    <row r="75" spans="1:31" x14ac:dyDescent="0.25">
      <c r="A75" s="11" t="s">
        <v>28</v>
      </c>
      <c r="B75" s="225">
        <v>590</v>
      </c>
      <c r="C75" s="12">
        <f t="shared" ref="C75:T75" si="48">C29-B29</f>
        <v>564</v>
      </c>
      <c r="D75" s="12">
        <f t="shared" si="48"/>
        <v>628</v>
      </c>
      <c r="E75" s="12">
        <f t="shared" si="48"/>
        <v>246</v>
      </c>
      <c r="F75" s="12">
        <f t="shared" si="48"/>
        <v>520</v>
      </c>
      <c r="G75" s="12">
        <f t="shared" si="48"/>
        <v>175</v>
      </c>
      <c r="H75" s="12">
        <f t="shared" si="48"/>
        <v>478</v>
      </c>
      <c r="I75" s="12">
        <f t="shared" si="48"/>
        <v>560</v>
      </c>
      <c r="J75" s="12">
        <f t="shared" si="48"/>
        <v>518</v>
      </c>
      <c r="K75" s="12">
        <f t="shared" si="48"/>
        <v>278</v>
      </c>
      <c r="L75" s="12">
        <f t="shared" si="48"/>
        <v>195</v>
      </c>
      <c r="M75" s="12">
        <f t="shared" si="48"/>
        <v>156</v>
      </c>
      <c r="N75" s="12">
        <f t="shared" si="48"/>
        <v>0</v>
      </c>
      <c r="O75" s="12">
        <f t="shared" si="48"/>
        <v>0</v>
      </c>
      <c r="P75" s="12">
        <f t="shared" si="48"/>
        <v>522</v>
      </c>
      <c r="Q75" s="12">
        <f t="shared" si="48"/>
        <v>259</v>
      </c>
      <c r="R75" s="12">
        <f t="shared" si="48"/>
        <v>191</v>
      </c>
      <c r="S75" s="12">
        <f t="shared" si="48"/>
        <v>188</v>
      </c>
      <c r="T75" s="12">
        <f t="shared" si="48"/>
        <v>252</v>
      </c>
      <c r="U75" s="12">
        <f t="shared" ref="U75:AE75" si="49">U29-T29</f>
        <v>0</v>
      </c>
      <c r="V75" s="12">
        <f t="shared" si="49"/>
        <v>0</v>
      </c>
      <c r="W75" s="12">
        <f t="shared" si="49"/>
        <v>586</v>
      </c>
      <c r="X75" s="12">
        <f t="shared" si="49"/>
        <v>520</v>
      </c>
      <c r="Y75" s="12">
        <f t="shared" si="49"/>
        <v>346</v>
      </c>
      <c r="Z75" s="12">
        <f t="shared" si="49"/>
        <v>365</v>
      </c>
      <c r="AA75" s="12">
        <f t="shared" si="49"/>
        <v>194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-2108784</v>
      </c>
    </row>
    <row r="76" spans="1:31" x14ac:dyDescent="0.25">
      <c r="A76" s="13" t="s">
        <v>29</v>
      </c>
      <c r="B76" s="225">
        <v>254</v>
      </c>
      <c r="C76" s="12">
        <f t="shared" ref="C76:S76" si="50">C30-B30</f>
        <v>528</v>
      </c>
      <c r="D76" s="12">
        <f t="shared" si="50"/>
        <v>560</v>
      </c>
      <c r="E76" s="12">
        <f t="shared" si="50"/>
        <v>562</v>
      </c>
      <c r="F76" s="12">
        <f t="shared" si="50"/>
        <v>560</v>
      </c>
      <c r="G76" s="12">
        <f t="shared" si="50"/>
        <v>560</v>
      </c>
      <c r="H76" s="12">
        <f t="shared" si="50"/>
        <v>481</v>
      </c>
      <c r="I76" s="12">
        <f t="shared" si="50"/>
        <v>312</v>
      </c>
      <c r="J76" s="12">
        <f t="shared" si="50"/>
        <v>560</v>
      </c>
      <c r="K76" s="12">
        <f t="shared" si="50"/>
        <v>392</v>
      </c>
      <c r="L76" s="12">
        <f t="shared" si="50"/>
        <v>434</v>
      </c>
      <c r="M76" s="12">
        <f t="shared" si="50"/>
        <v>452</v>
      </c>
      <c r="N76" s="12">
        <f t="shared" si="50"/>
        <v>0</v>
      </c>
      <c r="O76" s="12">
        <f t="shared" si="50"/>
        <v>0</v>
      </c>
      <c r="P76" s="12">
        <f t="shared" si="50"/>
        <v>314</v>
      </c>
      <c r="Q76" s="12">
        <f t="shared" si="50"/>
        <v>450</v>
      </c>
      <c r="R76" s="12">
        <f t="shared" si="50"/>
        <v>333</v>
      </c>
      <c r="S76" s="12">
        <f t="shared" si="50"/>
        <v>434</v>
      </c>
      <c r="T76" s="12">
        <f t="shared" ref="T76:AE76" si="51">T30-S30</f>
        <v>452</v>
      </c>
      <c r="U76" s="12">
        <f t="shared" si="51"/>
        <v>0</v>
      </c>
      <c r="V76" s="12">
        <f t="shared" si="51"/>
        <v>0</v>
      </c>
      <c r="W76" s="12">
        <f t="shared" si="51"/>
        <v>202</v>
      </c>
      <c r="X76" s="12">
        <f t="shared" si="51"/>
        <v>427</v>
      </c>
      <c r="Y76" s="12">
        <f t="shared" si="51"/>
        <v>603</v>
      </c>
      <c r="Z76" s="12">
        <f t="shared" si="51"/>
        <v>352</v>
      </c>
      <c r="AA76" s="12">
        <f t="shared" si="51"/>
        <v>280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-1855380</v>
      </c>
    </row>
    <row r="77" spans="1:31" x14ac:dyDescent="0.25">
      <c r="A77" s="11" t="s">
        <v>30</v>
      </c>
      <c r="B77" s="225">
        <v>178</v>
      </c>
      <c r="C77" s="12">
        <f t="shared" ref="C77:S77" si="52">C31-B31</f>
        <v>433</v>
      </c>
      <c r="D77" s="12">
        <f t="shared" si="52"/>
        <v>373</v>
      </c>
      <c r="E77" s="12">
        <f t="shared" si="52"/>
        <v>587</v>
      </c>
      <c r="F77" s="12">
        <f t="shared" si="52"/>
        <v>367</v>
      </c>
      <c r="G77" s="12">
        <f t="shared" si="52"/>
        <v>19</v>
      </c>
      <c r="H77" s="12">
        <f t="shared" si="52"/>
        <v>2</v>
      </c>
      <c r="I77" s="12">
        <f t="shared" si="52"/>
        <v>260</v>
      </c>
      <c r="J77" s="12">
        <f t="shared" si="52"/>
        <v>500</v>
      </c>
      <c r="K77" s="12">
        <f t="shared" si="52"/>
        <v>559</v>
      </c>
      <c r="L77" s="12">
        <f t="shared" si="52"/>
        <v>312</v>
      </c>
      <c r="M77" s="12">
        <f t="shared" si="52"/>
        <v>132</v>
      </c>
      <c r="N77" s="12">
        <f t="shared" si="52"/>
        <v>0</v>
      </c>
      <c r="O77" s="12">
        <f t="shared" si="52"/>
        <v>90</v>
      </c>
      <c r="P77" s="12">
        <f t="shared" si="52"/>
        <v>560</v>
      </c>
      <c r="Q77" s="12">
        <f t="shared" si="52"/>
        <v>492</v>
      </c>
      <c r="R77" s="12">
        <f t="shared" si="52"/>
        <v>201</v>
      </c>
      <c r="S77" s="12">
        <f t="shared" si="52"/>
        <v>451</v>
      </c>
      <c r="T77" s="12">
        <f t="shared" ref="T77:AE77" si="53">T31-S31</f>
        <v>250</v>
      </c>
      <c r="U77" s="12">
        <f t="shared" si="53"/>
        <v>0</v>
      </c>
      <c r="V77" s="12">
        <f t="shared" si="53"/>
        <v>1</v>
      </c>
      <c r="W77" s="12">
        <f t="shared" si="53"/>
        <v>347</v>
      </c>
      <c r="X77" s="12">
        <f t="shared" si="53"/>
        <v>249</v>
      </c>
      <c r="Y77" s="12">
        <f t="shared" si="53"/>
        <v>262</v>
      </c>
      <c r="Z77" s="12">
        <f t="shared" si="53"/>
        <v>257</v>
      </c>
      <c r="AA77" s="12">
        <f t="shared" si="53"/>
        <v>347</v>
      </c>
      <c r="AB77" s="12">
        <f t="shared" si="53"/>
        <v>560</v>
      </c>
      <c r="AC77" s="12">
        <f t="shared" si="33"/>
        <v>303</v>
      </c>
      <c r="AD77" s="12">
        <f t="shared" si="53"/>
        <v>0</v>
      </c>
      <c r="AE77" s="12">
        <f t="shared" si="53"/>
        <v>-2156941</v>
      </c>
    </row>
    <row r="78" spans="1:31" s="124" customFormat="1" x14ac:dyDescent="0.25">
      <c r="A78" s="13" t="s">
        <v>111</v>
      </c>
      <c r="B78" s="225">
        <v>476</v>
      </c>
      <c r="C78" s="12">
        <f t="shared" ref="C78:S78" si="54">C32-B32</f>
        <v>246</v>
      </c>
      <c r="D78" s="12">
        <f t="shared" si="54"/>
        <v>503</v>
      </c>
      <c r="E78" s="12">
        <f t="shared" si="54"/>
        <v>348</v>
      </c>
      <c r="F78" s="12">
        <f t="shared" si="54"/>
        <v>262</v>
      </c>
      <c r="G78" s="12">
        <f t="shared" si="54"/>
        <v>0</v>
      </c>
      <c r="H78" s="12">
        <f t="shared" si="54"/>
        <v>0</v>
      </c>
      <c r="I78" s="12">
        <f t="shared" si="54"/>
        <v>562</v>
      </c>
      <c r="J78" s="12">
        <f t="shared" si="54"/>
        <v>245</v>
      </c>
      <c r="K78" s="12">
        <f t="shared" si="54"/>
        <v>79</v>
      </c>
      <c r="L78" s="12">
        <f t="shared" si="54"/>
        <v>262</v>
      </c>
      <c r="M78" s="12">
        <f t="shared" si="54"/>
        <v>561</v>
      </c>
      <c r="N78" s="12">
        <f t="shared" si="54"/>
        <v>43</v>
      </c>
      <c r="O78" s="12">
        <f t="shared" si="54"/>
        <v>350</v>
      </c>
      <c r="P78" s="12">
        <f t="shared" si="54"/>
        <v>521</v>
      </c>
      <c r="Q78" s="12">
        <f t="shared" si="54"/>
        <v>140</v>
      </c>
      <c r="R78" s="12">
        <f t="shared" si="54"/>
        <v>434</v>
      </c>
      <c r="S78" s="12">
        <f t="shared" si="54"/>
        <v>519</v>
      </c>
      <c r="T78" s="12">
        <f t="shared" ref="T78:AE78" si="55">T32-S32</f>
        <v>95</v>
      </c>
      <c r="U78" s="12">
        <f t="shared" si="55"/>
        <v>0</v>
      </c>
      <c r="V78" s="12">
        <f t="shared" si="55"/>
        <v>0</v>
      </c>
      <c r="W78" s="12">
        <f t="shared" si="55"/>
        <v>143</v>
      </c>
      <c r="X78" s="12">
        <f t="shared" si="55"/>
        <v>450</v>
      </c>
      <c r="Y78" s="12">
        <f t="shared" si="55"/>
        <v>252</v>
      </c>
      <c r="Z78" s="12">
        <f t="shared" si="55"/>
        <v>251</v>
      </c>
      <c r="AA78" s="12">
        <f t="shared" si="55"/>
        <v>252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-753287</v>
      </c>
    </row>
    <row r="79" spans="1:31" s="124" customFormat="1" x14ac:dyDescent="0.25">
      <c r="A79" s="11" t="s">
        <v>112</v>
      </c>
      <c r="B79" s="225">
        <v>203</v>
      </c>
      <c r="C79" s="12">
        <f t="shared" ref="C79:S79" si="56">C33-B33</f>
        <v>242</v>
      </c>
      <c r="D79" s="12">
        <f t="shared" si="56"/>
        <v>199</v>
      </c>
      <c r="E79" s="12">
        <f t="shared" si="56"/>
        <v>196</v>
      </c>
      <c r="F79" s="12">
        <f t="shared" si="56"/>
        <v>358</v>
      </c>
      <c r="G79" s="12">
        <f t="shared" si="56"/>
        <v>29</v>
      </c>
      <c r="H79" s="12">
        <f t="shared" si="56"/>
        <v>3</v>
      </c>
      <c r="I79" s="12">
        <f t="shared" si="56"/>
        <v>606</v>
      </c>
      <c r="J79" s="12">
        <f t="shared" si="56"/>
        <v>523</v>
      </c>
      <c r="K79" s="12">
        <f t="shared" si="56"/>
        <v>347</v>
      </c>
      <c r="L79" s="12">
        <f t="shared" si="56"/>
        <v>212</v>
      </c>
      <c r="M79" s="12">
        <f t="shared" si="56"/>
        <v>329</v>
      </c>
      <c r="N79" s="12">
        <f t="shared" si="56"/>
        <v>90</v>
      </c>
      <c r="O79" s="12">
        <f t="shared" si="56"/>
        <v>350</v>
      </c>
      <c r="P79" s="12">
        <f t="shared" si="56"/>
        <v>266</v>
      </c>
      <c r="Q79" s="12">
        <f t="shared" si="56"/>
        <v>520</v>
      </c>
      <c r="R79" s="12">
        <f t="shared" si="56"/>
        <v>450</v>
      </c>
      <c r="S79" s="12">
        <f t="shared" si="56"/>
        <v>375</v>
      </c>
      <c r="T79" s="12">
        <f t="shared" ref="T79:AE79" si="57">T33-S33</f>
        <v>436</v>
      </c>
      <c r="U79" s="12">
        <f t="shared" si="57"/>
        <v>0</v>
      </c>
      <c r="V79" s="12">
        <f t="shared" si="57"/>
        <v>0</v>
      </c>
      <c r="W79" s="12">
        <f t="shared" si="57"/>
        <v>263</v>
      </c>
      <c r="X79" s="12">
        <f t="shared" si="57"/>
        <v>364</v>
      </c>
      <c r="Y79" s="12">
        <f t="shared" si="57"/>
        <v>219</v>
      </c>
      <c r="Z79" s="12">
        <f t="shared" si="57"/>
        <v>351</v>
      </c>
      <c r="AA79" s="12">
        <f t="shared" si="57"/>
        <v>435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-686861</v>
      </c>
    </row>
    <row r="80" spans="1:31" s="124" customFormat="1" x14ac:dyDescent="0.25">
      <c r="A80" s="13" t="s">
        <v>113</v>
      </c>
      <c r="B80" s="225">
        <v>24</v>
      </c>
      <c r="C80" s="12">
        <f t="shared" ref="C80:S80" si="58">C34-B34</f>
        <v>0</v>
      </c>
      <c r="D80" s="12">
        <f t="shared" si="58"/>
        <v>20</v>
      </c>
      <c r="E80" s="12">
        <f t="shared" si="58"/>
        <v>107</v>
      </c>
      <c r="F80" s="12">
        <f t="shared" si="58"/>
        <v>194</v>
      </c>
      <c r="G80" s="12">
        <f t="shared" si="58"/>
        <v>0</v>
      </c>
      <c r="H80" s="12">
        <f t="shared" si="58"/>
        <v>0</v>
      </c>
      <c r="I80" s="12">
        <f t="shared" si="58"/>
        <v>421</v>
      </c>
      <c r="J80" s="12">
        <f t="shared" si="58"/>
        <v>520</v>
      </c>
      <c r="K80" s="12">
        <f t="shared" si="58"/>
        <v>606</v>
      </c>
      <c r="L80" s="12">
        <f t="shared" si="58"/>
        <v>436</v>
      </c>
      <c r="M80" s="12">
        <f t="shared" si="58"/>
        <v>200</v>
      </c>
      <c r="N80" s="12">
        <f t="shared" si="58"/>
        <v>0</v>
      </c>
      <c r="O80" s="12">
        <f t="shared" si="58"/>
        <v>0</v>
      </c>
      <c r="P80" s="12">
        <f t="shared" si="58"/>
        <v>70</v>
      </c>
      <c r="Q80" s="12">
        <f t="shared" si="58"/>
        <v>518</v>
      </c>
      <c r="R80" s="12">
        <f t="shared" si="58"/>
        <v>604</v>
      </c>
      <c r="S80" s="12">
        <f t="shared" si="58"/>
        <v>450</v>
      </c>
      <c r="T80" s="12">
        <f t="shared" ref="T80:AE80" si="59">T34-S34</f>
        <v>194</v>
      </c>
      <c r="U80" s="12">
        <f t="shared" si="59"/>
        <v>0</v>
      </c>
      <c r="V80" s="12">
        <f t="shared" si="59"/>
        <v>0</v>
      </c>
      <c r="W80" s="12">
        <f t="shared" si="59"/>
        <v>251</v>
      </c>
      <c r="X80" s="12">
        <f t="shared" si="59"/>
        <v>259</v>
      </c>
      <c r="Y80" s="12">
        <f t="shared" si="59"/>
        <v>451</v>
      </c>
      <c r="Z80" s="12">
        <f t="shared" si="59"/>
        <v>99</v>
      </c>
      <c r="AA80" s="12">
        <f t="shared" si="59"/>
        <v>219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-729428</v>
      </c>
    </row>
    <row r="81" spans="1:31" s="124" customFormat="1" x14ac:dyDescent="0.25">
      <c r="A81" s="11" t="s">
        <v>114</v>
      </c>
      <c r="B81" s="225">
        <v>442</v>
      </c>
      <c r="C81" s="12">
        <f t="shared" ref="C81:S81" si="60">C35-B35</f>
        <v>562</v>
      </c>
      <c r="D81" s="12">
        <f t="shared" si="60"/>
        <v>451</v>
      </c>
      <c r="E81" s="12">
        <f t="shared" si="60"/>
        <v>182</v>
      </c>
      <c r="F81" s="12">
        <f t="shared" si="60"/>
        <v>193</v>
      </c>
      <c r="G81" s="12">
        <f t="shared" si="60"/>
        <v>0</v>
      </c>
      <c r="H81" s="12">
        <f t="shared" si="60"/>
        <v>0</v>
      </c>
      <c r="I81" s="12">
        <f t="shared" si="60"/>
        <v>348</v>
      </c>
      <c r="J81" s="12">
        <f t="shared" si="60"/>
        <v>560</v>
      </c>
      <c r="K81" s="12">
        <f t="shared" si="60"/>
        <v>578</v>
      </c>
      <c r="L81" s="12">
        <f t="shared" si="60"/>
        <v>518</v>
      </c>
      <c r="M81" s="12">
        <f t="shared" si="60"/>
        <v>262</v>
      </c>
      <c r="N81" s="12">
        <f t="shared" si="60"/>
        <v>363</v>
      </c>
      <c r="O81" s="12">
        <f t="shared" si="60"/>
        <v>23</v>
      </c>
      <c r="P81" s="12">
        <f t="shared" si="60"/>
        <v>107</v>
      </c>
      <c r="Q81" s="12">
        <f t="shared" si="60"/>
        <v>212</v>
      </c>
      <c r="R81" s="12">
        <f t="shared" si="60"/>
        <v>349</v>
      </c>
      <c r="S81" s="12">
        <f t="shared" si="60"/>
        <v>516</v>
      </c>
      <c r="T81" s="12">
        <f t="shared" ref="T81:AE81" si="61">T35-S35</f>
        <v>520</v>
      </c>
      <c r="U81" s="12">
        <f t="shared" si="61"/>
        <v>5</v>
      </c>
      <c r="V81" s="12">
        <f t="shared" si="61"/>
        <v>3</v>
      </c>
      <c r="W81" s="12">
        <f t="shared" si="61"/>
        <v>562</v>
      </c>
      <c r="X81" s="12">
        <f t="shared" si="61"/>
        <v>244</v>
      </c>
      <c r="Y81" s="12">
        <f t="shared" si="61"/>
        <v>79</v>
      </c>
      <c r="Z81" s="12">
        <f t="shared" si="61"/>
        <v>433</v>
      </c>
      <c r="AA81" s="12">
        <f t="shared" si="61"/>
        <v>519</v>
      </c>
      <c r="AB81" s="12">
        <f t="shared" si="61"/>
        <v>517</v>
      </c>
      <c r="AC81" s="12">
        <f t="shared" si="33"/>
        <v>2</v>
      </c>
      <c r="AD81" s="12">
        <f t="shared" si="61"/>
        <v>174</v>
      </c>
      <c r="AE81" s="12">
        <f t="shared" si="61"/>
        <v>-749373</v>
      </c>
    </row>
    <row r="82" spans="1:31" s="124" customFormat="1" x14ac:dyDescent="0.25">
      <c r="A82" s="13" t="s">
        <v>115</v>
      </c>
      <c r="B82" s="225">
        <v>349</v>
      </c>
      <c r="C82" s="12">
        <f t="shared" ref="C82:S82" si="62">C36-B36</f>
        <v>253</v>
      </c>
      <c r="D82" s="12">
        <f t="shared" si="62"/>
        <v>348</v>
      </c>
      <c r="E82" s="12">
        <f t="shared" si="62"/>
        <v>261</v>
      </c>
      <c r="F82" s="12">
        <f t="shared" si="62"/>
        <v>82</v>
      </c>
      <c r="G82" s="12">
        <f t="shared" si="62"/>
        <v>0</v>
      </c>
      <c r="H82" s="12">
        <f t="shared" si="62"/>
        <v>0</v>
      </c>
      <c r="I82" s="12">
        <f t="shared" si="62"/>
        <v>523</v>
      </c>
      <c r="J82" s="12">
        <f t="shared" si="62"/>
        <v>524</v>
      </c>
      <c r="K82" s="12">
        <f t="shared" si="62"/>
        <v>519</v>
      </c>
      <c r="L82" s="12">
        <f t="shared" si="62"/>
        <v>289</v>
      </c>
      <c r="M82" s="12">
        <f t="shared" si="62"/>
        <v>252</v>
      </c>
      <c r="N82" s="12">
        <f t="shared" si="62"/>
        <v>0</v>
      </c>
      <c r="O82" s="12">
        <f t="shared" si="62"/>
        <v>0</v>
      </c>
      <c r="P82" s="12">
        <f t="shared" si="62"/>
        <v>505</v>
      </c>
      <c r="Q82" s="12">
        <f t="shared" si="62"/>
        <v>352</v>
      </c>
      <c r="R82" s="12">
        <f t="shared" si="62"/>
        <v>434</v>
      </c>
      <c r="S82" s="12">
        <f t="shared" si="62"/>
        <v>450</v>
      </c>
      <c r="T82" s="12">
        <f t="shared" ref="T82:AE82" si="63">T36-S36</f>
        <v>315</v>
      </c>
      <c r="U82" s="12">
        <f t="shared" si="63"/>
        <v>0</v>
      </c>
      <c r="V82" s="12">
        <f t="shared" si="63"/>
        <v>0</v>
      </c>
      <c r="W82" s="12">
        <f t="shared" si="63"/>
        <v>350</v>
      </c>
      <c r="X82" s="12">
        <f t="shared" si="63"/>
        <v>434</v>
      </c>
      <c r="Y82" s="12">
        <f t="shared" si="63"/>
        <v>433</v>
      </c>
      <c r="Z82" s="12">
        <f t="shared" si="63"/>
        <v>202</v>
      </c>
      <c r="AA82" s="12">
        <f t="shared" si="63"/>
        <v>252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-722098</v>
      </c>
    </row>
    <row r="83" spans="1:31" s="124" customFormat="1" x14ac:dyDescent="0.25">
      <c r="A83" s="11" t="s">
        <v>116</v>
      </c>
      <c r="B83" s="225">
        <v>249</v>
      </c>
      <c r="C83" s="12">
        <f t="shared" ref="C83:S83" si="64">C37-B37</f>
        <v>487</v>
      </c>
      <c r="D83" s="12">
        <f t="shared" si="64"/>
        <v>519</v>
      </c>
      <c r="E83" s="12">
        <f t="shared" si="64"/>
        <v>269</v>
      </c>
      <c r="F83" s="12">
        <f t="shared" si="64"/>
        <v>250</v>
      </c>
      <c r="G83" s="12">
        <f t="shared" si="64"/>
        <v>0</v>
      </c>
      <c r="H83" s="12">
        <f t="shared" si="64"/>
        <v>0</v>
      </c>
      <c r="I83" s="12">
        <f t="shared" si="64"/>
        <v>0</v>
      </c>
      <c r="J83" s="12">
        <f t="shared" si="64"/>
        <v>0</v>
      </c>
      <c r="K83" s="12">
        <f t="shared" si="64"/>
        <v>147</v>
      </c>
      <c r="L83" s="12">
        <f t="shared" si="64"/>
        <v>292</v>
      </c>
      <c r="M83" s="12">
        <f t="shared" si="64"/>
        <v>203</v>
      </c>
      <c r="N83" s="12">
        <f t="shared" si="64"/>
        <v>522</v>
      </c>
      <c r="O83" s="12">
        <f t="shared" si="64"/>
        <v>478</v>
      </c>
      <c r="P83" s="12">
        <f t="shared" si="64"/>
        <v>562</v>
      </c>
      <c r="Q83" s="12">
        <f t="shared" si="64"/>
        <v>435</v>
      </c>
      <c r="R83" s="12">
        <f t="shared" si="64"/>
        <v>282</v>
      </c>
      <c r="S83" s="12">
        <f t="shared" si="64"/>
        <v>194</v>
      </c>
      <c r="T83" s="12">
        <f t="shared" ref="T83:AE85" si="65">T37-S37</f>
        <v>252</v>
      </c>
      <c r="U83" s="12">
        <f t="shared" si="65"/>
        <v>0</v>
      </c>
      <c r="V83" s="12">
        <f t="shared" si="65"/>
        <v>0</v>
      </c>
      <c r="W83" s="12">
        <f t="shared" si="65"/>
        <v>306</v>
      </c>
      <c r="X83" s="12">
        <f t="shared" si="65"/>
        <v>92</v>
      </c>
      <c r="Y83" s="12">
        <f t="shared" si="65"/>
        <v>520</v>
      </c>
      <c r="Z83" s="12">
        <f t="shared" si="65"/>
        <v>301</v>
      </c>
      <c r="AA83" s="12">
        <f t="shared" si="65"/>
        <v>520</v>
      </c>
      <c r="AB83" s="12">
        <f t="shared" si="65"/>
        <v>0</v>
      </c>
      <c r="AC83" s="12">
        <f t="shared" si="65"/>
        <v>434</v>
      </c>
      <c r="AD83" s="12">
        <f t="shared" si="65"/>
        <v>476</v>
      </c>
      <c r="AE83" s="12">
        <f t="shared" si="65"/>
        <v>-763369</v>
      </c>
    </row>
    <row r="84" spans="1:31" s="124" customFormat="1" x14ac:dyDescent="0.25">
      <c r="A84" s="13" t="s">
        <v>117</v>
      </c>
      <c r="B84" s="225">
        <v>349</v>
      </c>
      <c r="C84" s="12">
        <f t="shared" ref="C84:S84" si="66">C38-B38</f>
        <v>167</v>
      </c>
      <c r="D84" s="12">
        <f t="shared" si="66"/>
        <v>202</v>
      </c>
      <c r="E84" s="12">
        <f t="shared" si="66"/>
        <v>194</v>
      </c>
      <c r="F84" s="12">
        <f t="shared" si="66"/>
        <v>250</v>
      </c>
      <c r="G84" s="12">
        <f t="shared" si="66"/>
        <v>0</v>
      </c>
      <c r="H84" s="12">
        <f t="shared" si="66"/>
        <v>0</v>
      </c>
      <c r="I84" s="12">
        <f t="shared" si="66"/>
        <v>250</v>
      </c>
      <c r="J84" s="12">
        <f t="shared" si="66"/>
        <v>249</v>
      </c>
      <c r="K84" s="12">
        <f t="shared" si="66"/>
        <v>189</v>
      </c>
      <c r="L84" s="12">
        <f t="shared" si="66"/>
        <v>79</v>
      </c>
      <c r="M84" s="12">
        <f t="shared" si="66"/>
        <v>0</v>
      </c>
      <c r="N84" s="12">
        <f t="shared" si="66"/>
        <v>0</v>
      </c>
      <c r="O84" s="12">
        <f t="shared" si="66"/>
        <v>0</v>
      </c>
      <c r="P84" s="12">
        <f t="shared" si="66"/>
        <v>2</v>
      </c>
      <c r="Q84" s="12">
        <f t="shared" si="66"/>
        <v>23</v>
      </c>
      <c r="R84" s="12">
        <f t="shared" si="66"/>
        <v>162</v>
      </c>
      <c r="S84" s="12">
        <f t="shared" si="66"/>
        <v>79</v>
      </c>
      <c r="T84" s="12">
        <f t="shared" ref="T84:AE84" si="67">T38-S38</f>
        <v>0</v>
      </c>
      <c r="U84" s="12">
        <f t="shared" si="67"/>
        <v>0</v>
      </c>
      <c r="V84" s="12">
        <f t="shared" si="67"/>
        <v>4</v>
      </c>
      <c r="W84" s="12">
        <f t="shared" si="67"/>
        <v>433</v>
      </c>
      <c r="X84" s="12">
        <f t="shared" si="67"/>
        <v>363</v>
      </c>
      <c r="Y84" s="12">
        <f t="shared" si="67"/>
        <v>375</v>
      </c>
      <c r="Z84" s="12">
        <f t="shared" si="67"/>
        <v>435</v>
      </c>
      <c r="AA84" s="12">
        <f t="shared" si="67"/>
        <v>518</v>
      </c>
      <c r="AB84" s="12">
        <f t="shared" si="67"/>
        <v>517</v>
      </c>
      <c r="AC84" s="12">
        <f t="shared" si="65"/>
        <v>2</v>
      </c>
      <c r="AD84" s="12">
        <f t="shared" si="67"/>
        <v>174</v>
      </c>
      <c r="AE84" s="12">
        <f t="shared" si="67"/>
        <v>-413527</v>
      </c>
    </row>
    <row r="85" spans="1:31" s="124" customFormat="1" x14ac:dyDescent="0.25">
      <c r="A85" s="11" t="s">
        <v>118</v>
      </c>
      <c r="B85" s="225">
        <v>252</v>
      </c>
      <c r="C85" s="12">
        <f t="shared" ref="C85:S86" si="68">C39-B39</f>
        <v>69</v>
      </c>
      <c r="D85" s="12">
        <f t="shared" si="68"/>
        <v>3</v>
      </c>
      <c r="E85" s="12">
        <f t="shared" si="68"/>
        <v>350</v>
      </c>
      <c r="F85" s="12">
        <f>F39-E39</f>
        <v>211</v>
      </c>
      <c r="G85" s="12">
        <f t="shared" si="68"/>
        <v>0</v>
      </c>
      <c r="H85" s="12">
        <f t="shared" si="68"/>
        <v>0</v>
      </c>
      <c r="I85" s="12">
        <f t="shared" si="68"/>
        <v>231</v>
      </c>
      <c r="J85" s="12">
        <f t="shared" si="68"/>
        <v>262</v>
      </c>
      <c r="K85" s="12">
        <f t="shared" si="68"/>
        <v>524</v>
      </c>
      <c r="L85" s="12">
        <f t="shared" si="68"/>
        <v>296</v>
      </c>
      <c r="M85" s="12">
        <f t="shared" si="68"/>
        <v>560</v>
      </c>
      <c r="N85" s="12">
        <f t="shared" si="68"/>
        <v>518</v>
      </c>
      <c r="O85" s="12">
        <f t="shared" si="68"/>
        <v>43</v>
      </c>
      <c r="P85" s="12">
        <f t="shared" si="68"/>
        <v>606</v>
      </c>
      <c r="Q85" s="12">
        <f t="shared" si="68"/>
        <v>431</v>
      </c>
      <c r="R85" s="12">
        <f t="shared" si="68"/>
        <v>437</v>
      </c>
      <c r="S85" s="12">
        <f t="shared" si="68"/>
        <v>520</v>
      </c>
      <c r="T85" s="12">
        <f t="shared" ref="T85:AE85" si="69">T39-S39</f>
        <v>203</v>
      </c>
      <c r="U85" s="12">
        <f t="shared" si="69"/>
        <v>0</v>
      </c>
      <c r="V85" s="12">
        <f t="shared" si="69"/>
        <v>0</v>
      </c>
      <c r="W85" s="12">
        <f t="shared" si="69"/>
        <v>254</v>
      </c>
      <c r="X85" s="12">
        <f t="shared" si="69"/>
        <v>75</v>
      </c>
      <c r="Y85" s="12">
        <f t="shared" si="69"/>
        <v>452</v>
      </c>
      <c r="Z85" s="12">
        <f t="shared" si="69"/>
        <v>98</v>
      </c>
      <c r="AA85" s="12">
        <f t="shared" si="69"/>
        <v>305</v>
      </c>
      <c r="AB85" s="12">
        <f t="shared" si="69"/>
        <v>0</v>
      </c>
      <c r="AC85" s="12">
        <f t="shared" si="65"/>
        <v>436</v>
      </c>
      <c r="AD85" s="12">
        <f t="shared" si="69"/>
        <v>473</v>
      </c>
      <c r="AE85" s="12">
        <f t="shared" si="69"/>
        <v>-740636</v>
      </c>
    </row>
    <row r="86" spans="1:31" s="124" customFormat="1" x14ac:dyDescent="0.25">
      <c r="A86" s="328" t="s">
        <v>177</v>
      </c>
      <c r="B86" s="225">
        <v>260</v>
      </c>
      <c r="C86" s="327">
        <f t="shared" ref="C86:H86" si="70">C43-B43</f>
        <v>259</v>
      </c>
      <c r="D86" s="327">
        <f t="shared" si="70"/>
        <v>259</v>
      </c>
      <c r="E86" s="327">
        <f t="shared" si="70"/>
        <v>178</v>
      </c>
      <c r="F86" s="327">
        <f>F43-E43</f>
        <v>211</v>
      </c>
      <c r="G86" s="327">
        <f>G43-F43</f>
        <v>0</v>
      </c>
      <c r="H86" s="327">
        <f t="shared" si="70"/>
        <v>0</v>
      </c>
      <c r="I86" s="12">
        <f t="shared" si="68"/>
        <v>0</v>
      </c>
      <c r="J86" s="327">
        <f>J43-I43</f>
        <v>346</v>
      </c>
      <c r="K86" s="327">
        <f>J43-I43</f>
        <v>346</v>
      </c>
      <c r="L86" s="327">
        <f t="shared" ref="L86:AE86" si="71">L43-K43</f>
        <v>264</v>
      </c>
      <c r="M86" s="327">
        <f t="shared" si="71"/>
        <v>210</v>
      </c>
      <c r="N86" s="327">
        <f t="shared" si="71"/>
        <v>0</v>
      </c>
      <c r="O86" s="327">
        <f t="shared" si="71"/>
        <v>0</v>
      </c>
      <c r="P86" s="327">
        <f t="shared" si="71"/>
        <v>261</v>
      </c>
      <c r="Q86" s="327">
        <f t="shared" si="71"/>
        <v>260</v>
      </c>
      <c r="R86" s="327">
        <f t="shared" si="71"/>
        <v>0</v>
      </c>
      <c r="S86" s="327">
        <f t="shared" si="71"/>
        <v>211</v>
      </c>
      <c r="T86" s="327">
        <f t="shared" si="71"/>
        <v>86</v>
      </c>
      <c r="U86" s="327">
        <f t="shared" si="71"/>
        <v>0</v>
      </c>
      <c r="V86" s="327">
        <f t="shared" si="71"/>
        <v>0</v>
      </c>
      <c r="W86" s="327">
        <f t="shared" si="71"/>
        <v>262</v>
      </c>
      <c r="X86" s="327">
        <f t="shared" si="71"/>
        <v>260</v>
      </c>
      <c r="Y86" s="327">
        <f t="shared" si="71"/>
        <v>262</v>
      </c>
      <c r="Z86" s="12">
        <f>Z43-Y43</f>
        <v>211</v>
      </c>
      <c r="AA86" s="12">
        <f>AA43-Z43</f>
        <v>260</v>
      </c>
      <c r="AB86" s="327">
        <f>AB43-AA43</f>
        <v>0</v>
      </c>
      <c r="AC86" s="327">
        <f>AC43-AB43</f>
        <v>0</v>
      </c>
      <c r="AD86" s="327">
        <f t="shared" si="71"/>
        <v>0</v>
      </c>
      <c r="AE86" s="327">
        <f t="shared" si="71"/>
        <v>-14116</v>
      </c>
    </row>
    <row r="87" spans="1:31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.75" thickBot="1" x14ac:dyDescent="0.3">
      <c r="A88" s="15" t="s">
        <v>34</v>
      </c>
      <c r="B88" s="16">
        <f t="shared" ref="B88:F88" si="72">SUM(B51:B86)</f>
        <v>12591</v>
      </c>
      <c r="C88" s="16">
        <f t="shared" si="72"/>
        <v>12869</v>
      </c>
      <c r="D88" s="16">
        <f t="shared" si="72"/>
        <v>12936</v>
      </c>
      <c r="E88" s="16">
        <f t="shared" si="72"/>
        <v>12979</v>
      </c>
      <c r="F88" s="16">
        <f t="shared" si="72"/>
        <v>12948</v>
      </c>
      <c r="G88" s="16">
        <f>SUM(G51:G86)</f>
        <v>6582</v>
      </c>
      <c r="H88" s="16">
        <f t="shared" ref="H88:AE88" si="73">SUM(H51:H86)</f>
        <v>5011</v>
      </c>
      <c r="I88" s="16">
        <f t="shared" si="73"/>
        <v>12534</v>
      </c>
      <c r="J88" s="16">
        <f t="shared" si="73"/>
        <v>12757</v>
      </c>
      <c r="K88" s="16">
        <f t="shared" si="73"/>
        <v>13155</v>
      </c>
      <c r="L88" s="16">
        <f t="shared" si="73"/>
        <v>12942</v>
      </c>
      <c r="M88" s="16">
        <f t="shared" si="73"/>
        <v>12928</v>
      </c>
      <c r="N88" s="16">
        <f t="shared" si="73"/>
        <v>6570</v>
      </c>
      <c r="O88" s="16">
        <f t="shared" si="73"/>
        <v>4994</v>
      </c>
      <c r="P88" s="16">
        <f t="shared" si="73"/>
        <v>13022</v>
      </c>
      <c r="Q88" s="16">
        <f t="shared" si="73"/>
        <v>12925</v>
      </c>
      <c r="R88" s="16">
        <f t="shared" si="73"/>
        <v>12977</v>
      </c>
      <c r="S88" s="16">
        <f t="shared" si="73"/>
        <v>13062</v>
      </c>
      <c r="T88" s="16">
        <f t="shared" si="73"/>
        <v>12851</v>
      </c>
      <c r="U88" s="16">
        <f t="shared" si="73"/>
        <v>6497</v>
      </c>
      <c r="V88" s="16">
        <f t="shared" si="73"/>
        <v>4966</v>
      </c>
      <c r="W88" s="16">
        <f t="shared" si="73"/>
        <v>12795</v>
      </c>
      <c r="X88" s="16">
        <f t="shared" si="73"/>
        <v>13014</v>
      </c>
      <c r="Y88" s="16">
        <f t="shared" si="73"/>
        <v>12842</v>
      </c>
      <c r="Z88" s="16">
        <f t="shared" si="73"/>
        <v>12915</v>
      </c>
      <c r="AA88" s="16">
        <f t="shared" si="73"/>
        <v>12941</v>
      </c>
      <c r="AB88" s="16">
        <f t="shared" si="73"/>
        <v>6479</v>
      </c>
      <c r="AC88" s="16">
        <f t="shared" si="73"/>
        <v>4983</v>
      </c>
      <c r="AD88" s="16">
        <f t="shared" si="73"/>
        <v>4958</v>
      </c>
      <c r="AE88" s="16">
        <f t="shared" si="73"/>
        <v>-63937011</v>
      </c>
    </row>
    <row r="89" spans="1:31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1" x14ac:dyDescent="0.25">
      <c r="A90" s="326" t="s">
        <v>176</v>
      </c>
      <c r="B90" s="225">
        <v>0</v>
      </c>
      <c r="C90" s="327">
        <f t="shared" ref="C90:H91" si="74">C41-B41</f>
        <v>0</v>
      </c>
      <c r="D90" s="327">
        <f t="shared" si="74"/>
        <v>0</v>
      </c>
      <c r="E90" s="327">
        <f t="shared" si="74"/>
        <v>0</v>
      </c>
      <c r="F90" s="327">
        <f t="shared" si="74"/>
        <v>0</v>
      </c>
      <c r="G90" s="327">
        <f t="shared" si="74"/>
        <v>0</v>
      </c>
      <c r="H90" s="327">
        <f t="shared" ref="H90" si="75">H41-G41</f>
        <v>0</v>
      </c>
      <c r="I90" s="327">
        <f>I41-H41</f>
        <v>0</v>
      </c>
      <c r="J90" s="327">
        <f>J42-I42</f>
        <v>0</v>
      </c>
      <c r="K90" s="327">
        <f>K41-J41</f>
        <v>0</v>
      </c>
      <c r="L90" s="327">
        <f t="shared" ref="L90:Y91" si="76">L41-K41</f>
        <v>0</v>
      </c>
      <c r="M90" s="327">
        <f t="shared" si="76"/>
        <v>0</v>
      </c>
      <c r="N90" s="327">
        <f t="shared" si="76"/>
        <v>0</v>
      </c>
      <c r="O90" s="327">
        <f t="shared" si="76"/>
        <v>0</v>
      </c>
      <c r="P90" s="327">
        <f t="shared" si="76"/>
        <v>0</v>
      </c>
      <c r="Q90" s="327">
        <f t="shared" si="76"/>
        <v>0</v>
      </c>
      <c r="R90" s="327">
        <f>R41-Q41</f>
        <v>0</v>
      </c>
      <c r="S90" s="327">
        <f>S42-R42</f>
        <v>0</v>
      </c>
      <c r="T90" s="327">
        <f>T42-S42</f>
        <v>0</v>
      </c>
      <c r="U90" s="327">
        <f>U42-T42</f>
        <v>0</v>
      </c>
      <c r="V90" s="327">
        <f>V42-U42</f>
        <v>0</v>
      </c>
      <c r="W90" s="327">
        <f>W41-V41</f>
        <v>0</v>
      </c>
      <c r="X90" s="327">
        <f t="shared" si="76"/>
        <v>0</v>
      </c>
      <c r="Y90" s="327">
        <f t="shared" si="76"/>
        <v>0</v>
      </c>
      <c r="Z90" s="327">
        <f t="shared" ref="Z90:AB91" si="77">Z41-Y41</f>
        <v>0</v>
      </c>
      <c r="AA90" s="327">
        <f t="shared" si="77"/>
        <v>0</v>
      </c>
      <c r="AB90" s="327">
        <f t="shared" si="77"/>
        <v>0</v>
      </c>
      <c r="AC90" s="327">
        <f>AC41-AB41</f>
        <v>0</v>
      </c>
      <c r="AD90" s="327">
        <f t="shared" ref="AD90:AE91" si="78">AD41-AC41</f>
        <v>0</v>
      </c>
      <c r="AE90" s="327">
        <f t="shared" si="78"/>
        <v>-3675</v>
      </c>
    </row>
    <row r="91" spans="1:31" s="124" customFormat="1" x14ac:dyDescent="0.25">
      <c r="A91" s="326" t="s">
        <v>178</v>
      </c>
      <c r="B91" s="225">
        <v>0</v>
      </c>
      <c r="C91" s="327">
        <f t="shared" si="74"/>
        <v>0</v>
      </c>
      <c r="D91" s="327">
        <f t="shared" si="74"/>
        <v>0</v>
      </c>
      <c r="E91" s="327">
        <f t="shared" si="74"/>
        <v>0</v>
      </c>
      <c r="F91" s="327">
        <f t="shared" si="74"/>
        <v>0</v>
      </c>
      <c r="G91" s="327">
        <f t="shared" si="74"/>
        <v>0</v>
      </c>
      <c r="H91" s="327">
        <f t="shared" si="74"/>
        <v>0</v>
      </c>
      <c r="I91" s="327">
        <v>0</v>
      </c>
      <c r="J91" s="327">
        <v>0</v>
      </c>
      <c r="K91" s="327">
        <v>0</v>
      </c>
      <c r="L91" s="327">
        <v>0</v>
      </c>
      <c r="M91" s="327">
        <v>0</v>
      </c>
      <c r="N91" s="327">
        <v>0</v>
      </c>
      <c r="O91" s="327">
        <v>0</v>
      </c>
      <c r="P91" s="327">
        <v>0</v>
      </c>
      <c r="Q91" s="327">
        <f t="shared" si="76"/>
        <v>0</v>
      </c>
      <c r="R91" s="327">
        <f t="shared" ref="R91" si="79">R42-Q42</f>
        <v>0</v>
      </c>
      <c r="S91" s="327">
        <f t="shared" ref="S91" si="80">S42-R42</f>
        <v>0</v>
      </c>
      <c r="T91" s="327">
        <f t="shared" ref="T91" si="81">T42-S42</f>
        <v>0</v>
      </c>
      <c r="U91" s="327">
        <f t="shared" ref="U91" si="82">U42-T42</f>
        <v>0</v>
      </c>
      <c r="V91" s="327">
        <f t="shared" ref="V91" si="83">V42-U42</f>
        <v>0</v>
      </c>
      <c r="W91" s="327">
        <f t="shared" ref="W91" si="84">W42-V42</f>
        <v>0</v>
      </c>
      <c r="X91" s="327">
        <f t="shared" ref="X91" si="85">X42-W42</f>
        <v>0</v>
      </c>
      <c r="Y91" s="327">
        <f t="shared" ref="Y91" si="86">Y42-X42</f>
        <v>0</v>
      </c>
      <c r="Z91" s="327">
        <f t="shared" si="77"/>
        <v>0</v>
      </c>
      <c r="AA91" s="327">
        <f t="shared" si="77"/>
        <v>0</v>
      </c>
      <c r="AB91" s="327">
        <f t="shared" si="77"/>
        <v>0</v>
      </c>
      <c r="AC91" s="327">
        <f>AC42-AB42</f>
        <v>0</v>
      </c>
      <c r="AD91" s="327">
        <f t="shared" si="78"/>
        <v>0</v>
      </c>
      <c r="AE91" s="327">
        <f t="shared" ref="AE91" si="87">AE42-AD42</f>
        <v>-2001</v>
      </c>
    </row>
    <row r="92" spans="1:31" s="124" customFormat="1" x14ac:dyDescent="0.25">
      <c r="A92" s="326" t="s">
        <v>179</v>
      </c>
      <c r="B92" s="225">
        <v>0</v>
      </c>
      <c r="C92" s="327">
        <f t="shared" ref="C92:G93" si="88">C44-B44</f>
        <v>0</v>
      </c>
      <c r="D92" s="327">
        <f t="shared" si="88"/>
        <v>0</v>
      </c>
      <c r="E92" s="327">
        <f t="shared" si="88"/>
        <v>0</v>
      </c>
      <c r="F92" s="327">
        <f t="shared" si="88"/>
        <v>0</v>
      </c>
      <c r="G92" s="327">
        <f t="shared" si="88"/>
        <v>0</v>
      </c>
      <c r="H92" s="327">
        <f t="shared" ref="H92:H93" si="89">H44-G44</f>
        <v>0</v>
      </c>
      <c r="I92" s="327">
        <f t="shared" ref="I92:I93" si="90">H44-G44</f>
        <v>0</v>
      </c>
      <c r="J92" s="327">
        <f t="shared" ref="J92:J93" si="91">I44-H44</f>
        <v>0</v>
      </c>
      <c r="K92" s="327">
        <f t="shared" ref="K92:K93" si="92">J44-I44</f>
        <v>0</v>
      </c>
      <c r="L92" s="327">
        <f t="shared" ref="L92:L93" si="93">L44-K44</f>
        <v>0</v>
      </c>
      <c r="M92" s="327">
        <f t="shared" ref="M92:M93" si="94">M44-L44</f>
        <v>0</v>
      </c>
      <c r="N92" s="327">
        <f t="shared" ref="N92:N93" si="95">N44-M44</f>
        <v>0</v>
      </c>
      <c r="O92" s="327">
        <f t="shared" ref="O92:O93" si="96">O44-N44</f>
        <v>0</v>
      </c>
      <c r="P92" s="327">
        <f t="shared" ref="P92:P93" si="97">P44-O44</f>
        <v>0</v>
      </c>
      <c r="Q92" s="327">
        <f t="shared" ref="Q92" si="98">Q44-P44</f>
        <v>0</v>
      </c>
      <c r="R92" s="327">
        <f t="shared" ref="R92" si="99">R44-Q44</f>
        <v>0</v>
      </c>
      <c r="S92" s="327">
        <f t="shared" ref="S92" si="100">S44-R44</f>
        <v>0</v>
      </c>
      <c r="T92" s="327">
        <f t="shared" ref="T92" si="101">T44-S44</f>
        <v>0</v>
      </c>
      <c r="U92" s="327">
        <f t="shared" ref="U92" si="102">U44-T44</f>
        <v>0</v>
      </c>
      <c r="V92" s="327">
        <f t="shared" ref="V92" si="103">V44-U44</f>
        <v>0</v>
      </c>
      <c r="W92" s="327">
        <f t="shared" ref="W92" si="104">W44-V44</f>
        <v>0</v>
      </c>
      <c r="X92" s="327">
        <f t="shared" ref="X92:X93" si="105">X44-W44</f>
        <v>0</v>
      </c>
      <c r="Y92" s="327">
        <f t="shared" ref="Y92:Y93" si="106">Y44-X44</f>
        <v>0</v>
      </c>
      <c r="Z92" s="327">
        <f t="shared" ref="Z92:AB93" si="107">Z44-Y44</f>
        <v>0</v>
      </c>
      <c r="AA92" s="327">
        <f t="shared" si="107"/>
        <v>0</v>
      </c>
      <c r="AB92" s="327">
        <f t="shared" si="107"/>
        <v>0</v>
      </c>
      <c r="AC92" s="327">
        <f>AC44-AB44</f>
        <v>0</v>
      </c>
      <c r="AD92" s="327">
        <f t="shared" ref="AD92:AE93" si="108">AD44-AC44</f>
        <v>0</v>
      </c>
      <c r="AE92" s="327">
        <f t="shared" si="108"/>
        <v>-1802</v>
      </c>
    </row>
    <row r="93" spans="1:31" s="124" customFormat="1" x14ac:dyDescent="0.25">
      <c r="A93" s="328" t="s">
        <v>180</v>
      </c>
      <c r="B93" s="225">
        <v>0</v>
      </c>
      <c r="C93" s="327">
        <f t="shared" si="88"/>
        <v>0</v>
      </c>
      <c r="D93" s="327">
        <f t="shared" si="88"/>
        <v>0</v>
      </c>
      <c r="E93" s="327">
        <f t="shared" si="88"/>
        <v>0</v>
      </c>
      <c r="F93" s="327">
        <f t="shared" si="88"/>
        <v>0</v>
      </c>
      <c r="G93" s="327">
        <f t="shared" si="88"/>
        <v>0</v>
      </c>
      <c r="H93" s="327">
        <f t="shared" si="89"/>
        <v>0</v>
      </c>
      <c r="I93" s="327">
        <f t="shared" si="90"/>
        <v>0</v>
      </c>
      <c r="J93" s="327">
        <f t="shared" si="91"/>
        <v>0</v>
      </c>
      <c r="K93" s="327">
        <f t="shared" si="92"/>
        <v>0</v>
      </c>
      <c r="L93" s="327">
        <f t="shared" si="93"/>
        <v>0</v>
      </c>
      <c r="M93" s="327">
        <f t="shared" si="94"/>
        <v>0</v>
      </c>
      <c r="N93" s="327">
        <f t="shared" si="95"/>
        <v>0</v>
      </c>
      <c r="O93" s="327">
        <f t="shared" si="96"/>
        <v>0</v>
      </c>
      <c r="P93" s="327">
        <f t="shared" si="97"/>
        <v>0</v>
      </c>
      <c r="Q93" s="327">
        <f t="shared" ref="Q93" si="109">Q45-P45</f>
        <v>0</v>
      </c>
      <c r="R93" s="327">
        <f t="shared" ref="R93" si="110">R45-Q45</f>
        <v>0</v>
      </c>
      <c r="S93" s="327">
        <f t="shared" ref="S93" si="111">S45-R45</f>
        <v>0</v>
      </c>
      <c r="T93" s="327">
        <f t="shared" ref="T93" si="112">T45-S45</f>
        <v>0</v>
      </c>
      <c r="U93" s="327">
        <f t="shared" ref="U93" si="113">U45-T45</f>
        <v>0</v>
      </c>
      <c r="V93" s="327">
        <f t="shared" ref="V93" si="114">V45-U45</f>
        <v>0</v>
      </c>
      <c r="W93" s="327">
        <f t="shared" ref="W93" si="115">W45-V45</f>
        <v>0</v>
      </c>
      <c r="X93" s="327">
        <f t="shared" si="105"/>
        <v>0</v>
      </c>
      <c r="Y93" s="327">
        <f t="shared" si="106"/>
        <v>0</v>
      </c>
      <c r="Z93" s="327">
        <f t="shared" si="107"/>
        <v>0</v>
      </c>
      <c r="AA93" s="327">
        <f t="shared" si="107"/>
        <v>0</v>
      </c>
      <c r="AB93" s="327">
        <f t="shared" si="107"/>
        <v>0</v>
      </c>
      <c r="AC93" s="327">
        <f>AC45-AB45</f>
        <v>0</v>
      </c>
      <c r="AD93" s="327">
        <f t="shared" si="108"/>
        <v>0</v>
      </c>
      <c r="AE93" s="327">
        <f t="shared" ref="AE93" si="116">AE45-AD45</f>
        <v>-2123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zoomScaleNormal="100" workbookViewId="0">
      <pane ySplit="4" topLeftCell="A176" activePane="bottomLeft" state="frozen"/>
      <selection pane="bottomLeft" activeCell="A201" sqref="A201:O207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182</v>
      </c>
      <c r="AH1" s="338">
        <v>0.72</v>
      </c>
    </row>
    <row r="2" spans="1:34" ht="15.75" thickBot="1" x14ac:dyDescent="0.3">
      <c r="A2" s="17"/>
      <c r="B2" s="369" t="s">
        <v>37</v>
      </c>
      <c r="C2" s="369"/>
      <c r="D2" s="370" t="s">
        <v>37</v>
      </c>
      <c r="E2" s="370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181</v>
      </c>
      <c r="AF2" s="338">
        <v>19</v>
      </c>
    </row>
    <row r="3" spans="1:34" ht="14.1" customHeight="1" x14ac:dyDescent="0.25">
      <c r="A3" s="17"/>
      <c r="B3" s="369" t="s">
        <v>39</v>
      </c>
      <c r="C3" s="369"/>
      <c r="D3" s="370" t="s">
        <v>40</v>
      </c>
      <c r="E3" s="370"/>
      <c r="F3" s="348" t="s">
        <v>41</v>
      </c>
      <c r="G3" s="348" t="s">
        <v>42</v>
      </c>
      <c r="H3" s="348" t="s">
        <v>161</v>
      </c>
      <c r="I3" s="348" t="s">
        <v>43</v>
      </c>
      <c r="J3" s="348" t="s">
        <v>44</v>
      </c>
      <c r="K3" s="348" t="s">
        <v>45</v>
      </c>
      <c r="L3" s="348" t="s">
        <v>46</v>
      </c>
      <c r="M3" s="348" t="s">
        <v>47</v>
      </c>
      <c r="N3" s="355" t="s">
        <v>48</v>
      </c>
      <c r="O3" s="355" t="s">
        <v>49</v>
      </c>
      <c r="P3" s="354"/>
      <c r="Q3" s="356" t="s">
        <v>139</v>
      </c>
      <c r="R3" s="357"/>
      <c r="S3" s="358"/>
      <c r="T3" s="359" t="s">
        <v>142</v>
      </c>
      <c r="U3" s="360"/>
      <c r="V3" s="361"/>
      <c r="W3" s="352" t="s">
        <v>143</v>
      </c>
      <c r="X3" s="352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8"/>
      <c r="G4" s="349"/>
      <c r="H4" s="349"/>
      <c r="I4" s="348"/>
      <c r="J4" s="348"/>
      <c r="K4" s="348"/>
      <c r="L4" s="348"/>
      <c r="M4" s="348"/>
      <c r="N4" s="355"/>
      <c r="O4" s="355"/>
      <c r="P4" s="354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3"/>
      <c r="X4" s="353"/>
    </row>
    <row r="5" spans="1:34" x14ac:dyDescent="0.25">
      <c r="A5" s="60">
        <v>46174</v>
      </c>
      <c r="B5" s="295">
        <v>38</v>
      </c>
      <c r="C5" s="295">
        <v>41</v>
      </c>
      <c r="D5" s="138">
        <f>'Data Ocupacion'!D31</f>
        <v>41</v>
      </c>
      <c r="E5" s="138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120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3</v>
      </c>
      <c r="R5" s="183"/>
      <c r="S5" s="206"/>
      <c r="T5" s="285"/>
      <c r="U5" s="191"/>
      <c r="V5" s="228"/>
      <c r="W5" s="182">
        <f>J5-(Q5*($M$2-$K$1))-(R5*($M$2-$M$1))- (S5*($M$2-$I$2))+ (T5*($G$2))</f>
        <v>4993.0200000000004</v>
      </c>
      <c r="X5" s="182">
        <f>H5*$M$2</f>
        <v>5175.6000000000004</v>
      </c>
    </row>
    <row r="6" spans="1:34" ht="15" customHeight="1" x14ac:dyDescent="0.25">
      <c r="A6" s="202"/>
      <c r="B6" s="295">
        <v>36</v>
      </c>
      <c r="C6" s="295">
        <v>42</v>
      </c>
      <c r="D6" s="138">
        <f>'Data Ocupacion'!D32</f>
        <v>39</v>
      </c>
      <c r="E6" s="138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120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6</v>
      </c>
      <c r="U6" s="217"/>
      <c r="V6" s="229"/>
      <c r="W6" s="185">
        <f>J6-(T6*($M$2-$K$1)+(U6*($M$2-$M$1)))</f>
        <v>4939.83</v>
      </c>
      <c r="X6" s="182">
        <f>H6*$M$2</f>
        <v>5175.6000000000004</v>
      </c>
    </row>
    <row r="7" spans="1:34" ht="15" customHeight="1" x14ac:dyDescent="0.25">
      <c r="A7" s="202"/>
      <c r="B7" s="295">
        <v>33</v>
      </c>
      <c r="C7" s="295">
        <v>3</v>
      </c>
      <c r="D7" s="138">
        <f>'Data Ocupacion'!D33</f>
        <v>32</v>
      </c>
      <c r="E7" s="138">
        <f>'Data Ocupacion'!E33</f>
        <v>4</v>
      </c>
      <c r="F7" s="125" t="s">
        <v>36</v>
      </c>
      <c r="G7" s="125">
        <f t="shared" si="0"/>
        <v>40</v>
      </c>
      <c r="H7" s="125">
        <f t="shared" si="4"/>
        <v>39</v>
      </c>
      <c r="I7" s="125">
        <f t="shared" si="1"/>
        <v>36</v>
      </c>
      <c r="J7" s="125">
        <f>G7*M$1</f>
        <v>1164.4000000000001</v>
      </c>
      <c r="K7" s="153">
        <f>I7*M$1</f>
        <v>1047.96</v>
      </c>
      <c r="L7" s="125">
        <f t="shared" si="2"/>
        <v>121097.60000000001</v>
      </c>
      <c r="M7" s="125">
        <f t="shared" si="3"/>
        <v>3744</v>
      </c>
      <c r="N7" s="19"/>
      <c r="O7" s="19"/>
      <c r="P7" s="146"/>
      <c r="Q7" s="183">
        <v>3</v>
      </c>
      <c r="R7" s="190"/>
      <c r="S7" s="228"/>
      <c r="T7" s="186"/>
      <c r="U7" s="189"/>
      <c r="V7" s="189"/>
      <c r="W7" s="182">
        <f>J7-(Q7*($M$1-$K$1))</f>
        <v>1153.27</v>
      </c>
      <c r="X7" s="182">
        <f>H7*$M$1</f>
        <v>1135.29</v>
      </c>
    </row>
    <row r="8" spans="1:34" ht="15" customHeight="1" x14ac:dyDescent="0.25">
      <c r="A8" s="202"/>
      <c r="B8" s="295">
        <v>29</v>
      </c>
      <c r="C8" s="295">
        <v>3</v>
      </c>
      <c r="D8" s="138">
        <f>'Data Ocupacion'!D34</f>
        <v>28</v>
      </c>
      <c r="E8" s="138">
        <f>'Data Ocupacion'!E34</f>
        <v>4</v>
      </c>
      <c r="F8" s="125" t="s">
        <v>53</v>
      </c>
      <c r="G8" s="125">
        <f t="shared" si="0"/>
        <v>36</v>
      </c>
      <c r="H8" s="125">
        <f t="shared" si="4"/>
        <v>35</v>
      </c>
      <c r="I8" s="125">
        <f t="shared" si="1"/>
        <v>32</v>
      </c>
      <c r="J8" s="125">
        <f>G8*M$1</f>
        <v>1047.96</v>
      </c>
      <c r="K8" s="153">
        <f>I8*M$1</f>
        <v>931.52</v>
      </c>
      <c r="L8" s="125">
        <f t="shared" si="2"/>
        <v>108987.84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1047.96</v>
      </c>
      <c r="X8" s="182">
        <f>H8*$M$1</f>
        <v>1018.85</v>
      </c>
    </row>
    <row r="9" spans="1:34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144</v>
      </c>
      <c r="E11" s="148">
        <f>SUM(E5:E10)</f>
        <v>85</v>
      </c>
      <c r="F11" s="119"/>
      <c r="G11" s="119">
        <f t="shared" ref="G11:M11" si="5">SUM(G5:G10)</f>
        <v>314</v>
      </c>
      <c r="H11" s="119">
        <f t="shared" si="5"/>
        <v>318</v>
      </c>
      <c r="I11" s="119">
        <f t="shared" si="5"/>
        <v>229</v>
      </c>
      <c r="J11" s="119">
        <f t="shared" si="5"/>
        <v>12406.38</v>
      </c>
      <c r="K11" s="119">
        <f t="shared" si="5"/>
        <v>8852.49</v>
      </c>
      <c r="L11" s="119">
        <f t="shared" si="5"/>
        <v>1290263.52</v>
      </c>
      <c r="M11" s="119">
        <f t="shared" si="5"/>
        <v>23816</v>
      </c>
      <c r="N11" s="123">
        <f>'Odometro-Kilometraje'!B88</f>
        <v>12591</v>
      </c>
      <c r="O11" s="21">
        <f>(W11/N11)*100</f>
        <v>97.177984274481787</v>
      </c>
      <c r="P11" s="192"/>
      <c r="Q11" s="181"/>
      <c r="R11" s="181"/>
      <c r="S11" s="181"/>
      <c r="T11" s="181"/>
      <c r="U11" s="181"/>
      <c r="V11" s="181"/>
      <c r="W11" s="193">
        <f>SUM(W5:W10)</f>
        <v>12235.680000000002</v>
      </c>
      <c r="X11" s="193">
        <f>SUM(X5:X10)</f>
        <v>12606.940000000002</v>
      </c>
      <c r="AA11" s="172"/>
    </row>
    <row r="12" spans="1:34" x14ac:dyDescent="0.25">
      <c r="A12" s="60">
        <f>A5+1</f>
        <v>46175</v>
      </c>
      <c r="B12" s="295">
        <v>38</v>
      </c>
      <c r="C12" s="295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5</v>
      </c>
      <c r="R12" s="183"/>
      <c r="S12" s="206"/>
      <c r="T12" s="285"/>
      <c r="U12" s="191"/>
      <c r="V12" s="228"/>
      <c r="W12" s="182">
        <f>J12-(Q12*($M$2-$K$1))-(R12*($M$2-$M$1))- (S12*($M$2-$I$2))+ (T12*($G$2))</f>
        <v>5043.8200000000006</v>
      </c>
      <c r="X12" s="182">
        <f>H12*$M$2</f>
        <v>5175.6000000000004</v>
      </c>
      <c r="Z12" s="124"/>
    </row>
    <row r="13" spans="1:34" ht="15" customHeight="1" x14ac:dyDescent="0.25">
      <c r="A13" s="202"/>
      <c r="B13" s="295">
        <v>36</v>
      </c>
      <c r="C13" s="295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1</v>
      </c>
      <c r="U13" s="217"/>
      <c r="V13" s="229"/>
      <c r="W13" s="185">
        <f>J13-(T13*($M$2-$K$1)+(U13*($M$2-$M$1)))</f>
        <v>5114.7400000000007</v>
      </c>
      <c r="X13" s="182">
        <f>H13*$M$2</f>
        <v>5175.6000000000004</v>
      </c>
      <c r="Z13" s="124"/>
    </row>
    <row r="14" spans="1:34" ht="16.149999999999999" customHeight="1" x14ac:dyDescent="0.25">
      <c r="A14" s="202"/>
      <c r="B14" s="295">
        <v>33</v>
      </c>
      <c r="C14" s="295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>
        <v>2</v>
      </c>
      <c r="R14" s="190"/>
      <c r="S14" s="228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2"/>
      <c r="B15" s="295">
        <v>29</v>
      </c>
      <c r="C15" s="295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12869</v>
      </c>
      <c r="O18" s="21">
        <f>(W18/N18)*100</f>
        <v>95.956639987567044</v>
      </c>
      <c r="P18" s="192"/>
      <c r="Q18" s="181"/>
      <c r="R18" s="181"/>
      <c r="S18" s="181"/>
      <c r="T18" s="181"/>
      <c r="U18" s="181"/>
      <c r="V18" s="181"/>
      <c r="W18" s="193">
        <f>SUM(W12:W17)</f>
        <v>12348.660000000002</v>
      </c>
      <c r="X18" s="193">
        <f>SUM(X12:X17)</f>
        <v>12606.940000000002</v>
      </c>
    </row>
    <row r="19" spans="1:24" x14ac:dyDescent="0.25">
      <c r="A19" s="60">
        <f>A12+1</f>
        <v>46176</v>
      </c>
      <c r="B19" s="295">
        <v>38</v>
      </c>
      <c r="C19" s="295">
        <v>41</v>
      </c>
      <c r="D19" s="138">
        <f>'Data Ocupacion'!H31</f>
        <v>39</v>
      </c>
      <c r="E19" s="138">
        <f>'Data Ocupacion'!I31</f>
        <v>40</v>
      </c>
      <c r="F19" s="125" t="s">
        <v>38</v>
      </c>
      <c r="G19" s="125">
        <f t="shared" ref="G19:G24" si="12">D19+E19*2</f>
        <v>119</v>
      </c>
      <c r="H19" s="125">
        <f>B19+C19*2</f>
        <v>120</v>
      </c>
      <c r="I19" s="125">
        <f t="shared" ref="I19:I24" si="13">D19+E19</f>
        <v>79</v>
      </c>
      <c r="J19" s="125">
        <f>G19*M$2</f>
        <v>5132.47</v>
      </c>
      <c r="K19" s="153">
        <f>I19*M$2</f>
        <v>3407.27</v>
      </c>
      <c r="L19" s="125">
        <f t="shared" ref="L19:L24" si="14">J19*104</f>
        <v>533776.88</v>
      </c>
      <c r="M19" s="125">
        <f t="shared" ref="M19:M24" si="15">I19*104</f>
        <v>8216</v>
      </c>
      <c r="N19" s="19"/>
      <c r="O19" s="19"/>
      <c r="P19" s="146"/>
      <c r="Q19" s="183">
        <v>4</v>
      </c>
      <c r="R19" s="183"/>
      <c r="S19" s="206"/>
      <c r="T19" s="285"/>
      <c r="U19" s="191"/>
      <c r="V19" s="228"/>
      <c r="W19" s="182">
        <f>J19-(Q19*($M$2-$K$1))-(R19*($M$2-$M$1))- (S19*($M$2-$I$2))+ (T19*($G$2))</f>
        <v>5061.55</v>
      </c>
      <c r="X19" s="182">
        <f>H19*$M$2</f>
        <v>5175.6000000000004</v>
      </c>
    </row>
    <row r="20" spans="1:24" ht="16.149999999999999" customHeight="1" x14ac:dyDescent="0.25">
      <c r="A20" s="347" t="s">
        <v>185</v>
      </c>
      <c r="B20" s="295">
        <v>36</v>
      </c>
      <c r="C20" s="295">
        <v>42</v>
      </c>
      <c r="D20" s="138">
        <f>'Data Ocupacion'!H32</f>
        <v>37</v>
      </c>
      <c r="E20" s="138">
        <f>'Data Ocupacion'!I32</f>
        <v>41</v>
      </c>
      <c r="F20" s="125" t="s">
        <v>52</v>
      </c>
      <c r="G20" s="125">
        <f t="shared" si="12"/>
        <v>119</v>
      </c>
      <c r="H20" s="125">
        <f t="shared" ref="H20:H24" si="16">B20+C20*2</f>
        <v>120</v>
      </c>
      <c r="I20" s="125">
        <f t="shared" si="13"/>
        <v>78</v>
      </c>
      <c r="J20" s="125">
        <f>G20*M$2</f>
        <v>5132.47</v>
      </c>
      <c r="K20" s="153">
        <f>I20*M$2</f>
        <v>3364.1400000000003</v>
      </c>
      <c r="L20" s="125">
        <f t="shared" si="14"/>
        <v>533776.88</v>
      </c>
      <c r="M20" s="125">
        <f t="shared" si="15"/>
        <v>8112</v>
      </c>
      <c r="N20" s="19"/>
      <c r="O20" s="19"/>
      <c r="P20" s="146"/>
      <c r="Q20" s="186"/>
      <c r="R20" s="186"/>
      <c r="S20" s="217"/>
      <c r="T20" s="183">
        <v>3</v>
      </c>
      <c r="U20" s="217"/>
      <c r="V20" s="229"/>
      <c r="W20" s="185">
        <f>J20-(T20*($M$2-$K$1)+(U20*($M$2-$M$1)))</f>
        <v>5079.2800000000007</v>
      </c>
      <c r="X20" s="182">
        <f>H20*$M$2</f>
        <v>5175.6000000000004</v>
      </c>
    </row>
    <row r="21" spans="1:24" ht="15" customHeight="1" x14ac:dyDescent="0.25">
      <c r="A21" s="347"/>
      <c r="B21" s="295">
        <v>33</v>
      </c>
      <c r="C21" s="295">
        <v>3</v>
      </c>
      <c r="D21" s="126">
        <f>'Data Ocupacion'!H33</f>
        <v>33</v>
      </c>
      <c r="E21" s="126">
        <f>'Data Ocupacion'!I33</f>
        <v>2</v>
      </c>
      <c r="F21" s="125" t="s">
        <v>36</v>
      </c>
      <c r="G21" s="125">
        <f t="shared" si="12"/>
        <v>37</v>
      </c>
      <c r="H21" s="125">
        <f t="shared" si="16"/>
        <v>39</v>
      </c>
      <c r="I21" s="125">
        <f t="shared" si="13"/>
        <v>35</v>
      </c>
      <c r="J21" s="125">
        <f>G21*M$1</f>
        <v>1077.07</v>
      </c>
      <c r="K21" s="153">
        <f>I21*M$1</f>
        <v>1018.85</v>
      </c>
      <c r="L21" s="125">
        <f t="shared" si="14"/>
        <v>112015.28</v>
      </c>
      <c r="M21" s="125">
        <f t="shared" si="15"/>
        <v>3640</v>
      </c>
      <c r="N21" s="19"/>
      <c r="O21" s="19"/>
      <c r="P21" s="146"/>
      <c r="Q21" s="244">
        <v>2</v>
      </c>
      <c r="R21" s="190"/>
      <c r="S21" s="228"/>
      <c r="T21" s="186"/>
      <c r="U21" s="189"/>
      <c r="V21" s="189"/>
      <c r="W21" s="182">
        <f>J21-(Q21*($M$1-$K$1))</f>
        <v>1069.6499999999999</v>
      </c>
      <c r="X21" s="182">
        <f>H21*$M$1</f>
        <v>1135.29</v>
      </c>
    </row>
    <row r="22" spans="1:24" ht="15" customHeight="1" x14ac:dyDescent="0.25">
      <c r="A22" s="347"/>
      <c r="B22" s="295">
        <v>29</v>
      </c>
      <c r="C22" s="295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347"/>
      <c r="B23" s="295">
        <v>0</v>
      </c>
      <c r="C23" s="295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47"/>
      <c r="B24" s="295">
        <v>4</v>
      </c>
      <c r="C24" s="295">
        <v>0</v>
      </c>
      <c r="D24" s="138">
        <f>'Data Ocupacion'!H36</f>
        <v>3</v>
      </c>
      <c r="E24" s="138">
        <f>'Data Ocupacion'!I36</f>
        <v>0</v>
      </c>
      <c r="F24" s="125" t="s">
        <v>35</v>
      </c>
      <c r="G24" s="125">
        <f t="shared" si="12"/>
        <v>3</v>
      </c>
      <c r="H24" s="125">
        <f t="shared" si="16"/>
        <v>4</v>
      </c>
      <c r="I24" s="125">
        <f t="shared" si="13"/>
        <v>3</v>
      </c>
      <c r="J24" s="125">
        <f>G24*K$1</f>
        <v>76.199999999999989</v>
      </c>
      <c r="K24" s="153">
        <f>I24*K$1</f>
        <v>76.199999999999989</v>
      </c>
      <c r="L24" s="125">
        <f t="shared" si="14"/>
        <v>7924.7999999999993</v>
      </c>
      <c r="M24" s="125">
        <f t="shared" si="15"/>
        <v>312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76.199999999999989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142</v>
      </c>
      <c r="E25" s="148">
        <f>SUM(E19:E24)</f>
        <v>85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227</v>
      </c>
      <c r="J25" s="119">
        <f t="shared" si="17"/>
        <v>12407.95</v>
      </c>
      <c r="K25" s="119">
        <f t="shared" si="17"/>
        <v>8797.9800000000014</v>
      </c>
      <c r="L25" s="119">
        <f t="shared" si="17"/>
        <v>1290426.8</v>
      </c>
      <c r="M25" s="119">
        <f t="shared" si="17"/>
        <v>23608</v>
      </c>
      <c r="N25" s="180">
        <f>'Odometro-Kilometraje'!D88</f>
        <v>12936</v>
      </c>
      <c r="O25" s="21">
        <f>(W25/N25)*100</f>
        <v>94.901205936920235</v>
      </c>
      <c r="P25" s="192"/>
      <c r="Q25" s="181"/>
      <c r="R25" s="181"/>
      <c r="S25" s="181"/>
      <c r="T25" s="181"/>
      <c r="U25" s="181"/>
      <c r="V25" s="181"/>
      <c r="W25" s="193">
        <f>SUM(W19:W24)</f>
        <v>12276.420000000002</v>
      </c>
      <c r="X25" s="193">
        <f>SUM(X19:X24)</f>
        <v>12606.940000000002</v>
      </c>
    </row>
    <row r="26" spans="1:24" x14ac:dyDescent="0.25">
      <c r="A26" s="60">
        <f>A19+1</f>
        <v>46177</v>
      </c>
      <c r="B26" s="295">
        <v>38</v>
      </c>
      <c r="C26" s="295">
        <v>41</v>
      </c>
      <c r="D26" s="126">
        <f>'Data Ocupacion'!J31</f>
        <v>39</v>
      </c>
      <c r="E26" s="126">
        <f>'Data Ocupacion'!K31</f>
        <v>40</v>
      </c>
      <c r="F26" s="125" t="s">
        <v>38</v>
      </c>
      <c r="G26" s="125">
        <f t="shared" ref="G26:G31" si="18">D26+E26*2</f>
        <v>119</v>
      </c>
      <c r="H26" s="125">
        <f>B26+C26*2</f>
        <v>120</v>
      </c>
      <c r="I26" s="125">
        <f t="shared" ref="I26:I31" si="19">D26+E26</f>
        <v>79</v>
      </c>
      <c r="J26" s="125">
        <f>G26*M$2</f>
        <v>5132.47</v>
      </c>
      <c r="K26" s="153">
        <f>I26*M$2</f>
        <v>3407.27</v>
      </c>
      <c r="L26" s="125">
        <f t="shared" ref="L26:L31" si="20">J26*104</f>
        <v>533776.88</v>
      </c>
      <c r="M26" s="125">
        <f t="shared" ref="M26:M31" si="21">I26*104</f>
        <v>8216</v>
      </c>
      <c r="N26" s="19"/>
      <c r="O26" s="19"/>
      <c r="P26" s="146"/>
      <c r="Q26" s="183">
        <v>4</v>
      </c>
      <c r="R26" s="183"/>
      <c r="S26" s="206"/>
      <c r="T26" s="285"/>
      <c r="U26" s="191"/>
      <c r="V26" s="228"/>
      <c r="W26" s="182">
        <f>J26-(Q26*($M$2-$K$1))-(R26*($M$2-$M$1))- (S26*($M$2-$I$2))+ (T26*($G$2))</f>
        <v>5061.55</v>
      </c>
      <c r="X26" s="182">
        <f>H26*$M$2</f>
        <v>5175.6000000000004</v>
      </c>
    </row>
    <row r="27" spans="1:24" ht="17.25" customHeight="1" x14ac:dyDescent="0.25">
      <c r="A27" s="202"/>
      <c r="B27" s="295">
        <v>36</v>
      </c>
      <c r="C27" s="295">
        <v>42</v>
      </c>
      <c r="D27" s="126">
        <f>'Data Ocupacion'!J32</f>
        <v>37</v>
      </c>
      <c r="E27" s="126">
        <f>'Data Ocupacion'!K32</f>
        <v>41</v>
      </c>
      <c r="F27" s="125" t="s">
        <v>52</v>
      </c>
      <c r="G27" s="125">
        <f t="shared" si="18"/>
        <v>119</v>
      </c>
      <c r="H27" s="125">
        <f t="shared" ref="H27:H31" si="22">B27+C27*2</f>
        <v>120</v>
      </c>
      <c r="I27" s="125">
        <f t="shared" si="19"/>
        <v>78</v>
      </c>
      <c r="J27" s="125">
        <f>G27*M$2</f>
        <v>5132.47</v>
      </c>
      <c r="K27" s="153">
        <f>I27*M$2</f>
        <v>3364.1400000000003</v>
      </c>
      <c r="L27" s="125">
        <f t="shared" si="20"/>
        <v>533776.88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2</v>
      </c>
      <c r="U27" s="217"/>
      <c r="V27" s="229"/>
      <c r="W27" s="185">
        <f>J27-(T27*($M$2-$K$1)+(U27*($M$2-$M$1))+(V27*($M$2-$I$2)))</f>
        <v>5097.01</v>
      </c>
      <c r="X27" s="182">
        <f>H27*$M$2</f>
        <v>5175.6000000000004</v>
      </c>
    </row>
    <row r="28" spans="1:24" ht="15" customHeight="1" x14ac:dyDescent="0.25">
      <c r="A28" s="202"/>
      <c r="B28" s="295">
        <v>33</v>
      </c>
      <c r="C28" s="295">
        <v>3</v>
      </c>
      <c r="D28" s="126">
        <f>'Data Ocupacion'!J33</f>
        <v>33</v>
      </c>
      <c r="E28" s="126">
        <f>'Data Ocupacion'!K33</f>
        <v>3</v>
      </c>
      <c r="F28" s="125" t="s">
        <v>36</v>
      </c>
      <c r="G28" s="125">
        <f t="shared" si="18"/>
        <v>39</v>
      </c>
      <c r="H28" s="125">
        <f t="shared" si="22"/>
        <v>39</v>
      </c>
      <c r="I28" s="125">
        <f t="shared" si="19"/>
        <v>36</v>
      </c>
      <c r="J28" s="125">
        <f>G28*M$1</f>
        <v>1135.29</v>
      </c>
      <c r="K28" s="153">
        <f>I28*M$1</f>
        <v>1047.96</v>
      </c>
      <c r="L28" s="125">
        <f t="shared" si="20"/>
        <v>118070.16</v>
      </c>
      <c r="M28" s="125">
        <f t="shared" si="21"/>
        <v>3744</v>
      </c>
      <c r="N28" s="19"/>
      <c r="O28" s="19"/>
      <c r="P28" s="146"/>
      <c r="Q28" s="244">
        <v>3</v>
      </c>
      <c r="R28" s="190"/>
      <c r="S28" s="228"/>
      <c r="T28" s="186"/>
      <c r="U28" s="189"/>
      <c r="V28" s="189"/>
      <c r="W28" s="182">
        <f>J28-(Q28*($M$1-$K$1))</f>
        <v>1124.1599999999999</v>
      </c>
      <c r="X28" s="182">
        <f>H28*$M$1</f>
        <v>1135.29</v>
      </c>
    </row>
    <row r="29" spans="1:24" ht="15" customHeight="1" x14ac:dyDescent="0.25">
      <c r="A29" s="202"/>
      <c r="B29" s="295">
        <v>29</v>
      </c>
      <c r="C29" s="295">
        <v>3</v>
      </c>
      <c r="D29" s="126">
        <f>'Data Ocupacion'!J34</f>
        <v>29</v>
      </c>
      <c r="E29" s="126">
        <f>'Data Ocupacion'!K34</f>
        <v>3</v>
      </c>
      <c r="F29" s="125" t="s">
        <v>53</v>
      </c>
      <c r="G29" s="125">
        <f t="shared" si="18"/>
        <v>35</v>
      </c>
      <c r="H29" s="125">
        <f t="shared" si="22"/>
        <v>35</v>
      </c>
      <c r="I29" s="125">
        <f t="shared" si="19"/>
        <v>32</v>
      </c>
      <c r="J29" s="125">
        <f>G29*M$1</f>
        <v>1018.85</v>
      </c>
      <c r="K29" s="153">
        <f>I29*M$1</f>
        <v>931.52</v>
      </c>
      <c r="L29" s="125">
        <f t="shared" si="20"/>
        <v>105960.40000000001</v>
      </c>
      <c r="M29" s="125">
        <f t="shared" si="21"/>
        <v>3328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1018.85</v>
      </c>
      <c r="X29" s="182">
        <f>H29*$M$1</f>
        <v>1018.85</v>
      </c>
    </row>
    <row r="30" spans="1:24" s="124" customFormat="1" ht="15" customHeight="1" x14ac:dyDescent="0.25">
      <c r="A30" s="202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2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142</v>
      </c>
      <c r="E32" s="152">
        <f>SUM(E26:E31)</f>
        <v>87</v>
      </c>
      <c r="F32" s="119"/>
      <c r="G32" s="119">
        <f t="shared" ref="G32:M32" si="23">SUM(G26:G31)</f>
        <v>316</v>
      </c>
      <c r="H32" s="119">
        <f t="shared" si="23"/>
        <v>318</v>
      </c>
      <c r="I32" s="119">
        <f t="shared" si="23"/>
        <v>229</v>
      </c>
      <c r="J32" s="120">
        <f t="shared" si="23"/>
        <v>12520.68</v>
      </c>
      <c r="K32" s="119">
        <f t="shared" si="23"/>
        <v>8852.49</v>
      </c>
      <c r="L32" s="118">
        <f t="shared" si="23"/>
        <v>1302150.7199999997</v>
      </c>
      <c r="M32" s="151">
        <f t="shared" si="23"/>
        <v>23816</v>
      </c>
      <c r="N32" s="123">
        <f>'Odometro-Kilometraje'!E88</f>
        <v>12979</v>
      </c>
      <c r="O32" s="21">
        <f>(W32/N32)*100</f>
        <v>95.563371600277378</v>
      </c>
      <c r="P32" s="192"/>
      <c r="Q32" s="181"/>
      <c r="R32" s="181"/>
      <c r="S32" s="181"/>
      <c r="T32" s="181"/>
      <c r="U32" s="181"/>
      <c r="V32" s="181"/>
      <c r="W32" s="193">
        <f>SUM(W26:W31)</f>
        <v>12403.170000000002</v>
      </c>
      <c r="X32" s="193">
        <f>SUM(X26:X31)</f>
        <v>12606.940000000002</v>
      </c>
    </row>
    <row r="33" spans="1:32" x14ac:dyDescent="0.25">
      <c r="A33" s="60">
        <f>A26+1</f>
        <v>46178</v>
      </c>
      <c r="B33" s="295">
        <v>38</v>
      </c>
      <c r="C33" s="295">
        <v>41</v>
      </c>
      <c r="D33" s="126">
        <f>'Data Ocupacion'!L31</f>
        <v>39</v>
      </c>
      <c r="E33" s="126">
        <f>'Data Ocupacion'!M31</f>
        <v>40</v>
      </c>
      <c r="F33" s="125" t="s">
        <v>38</v>
      </c>
      <c r="G33" s="125">
        <f t="shared" ref="G33:G38" si="24">D33+E33*2</f>
        <v>119</v>
      </c>
      <c r="H33" s="125">
        <f>B33+C33*2</f>
        <v>120</v>
      </c>
      <c r="I33" s="125">
        <f t="shared" ref="I33:I38" si="25">D33+E33</f>
        <v>79</v>
      </c>
      <c r="J33" s="125">
        <f>G33*M$2</f>
        <v>5132.47</v>
      </c>
      <c r="K33" s="153">
        <f>I33*M$2</f>
        <v>3407.27</v>
      </c>
      <c r="L33" s="125">
        <f t="shared" ref="L33:L38" si="26">J33*104</f>
        <v>533776.88</v>
      </c>
      <c r="M33" s="125">
        <f t="shared" ref="M33:M38" si="27">I33*104</f>
        <v>8216</v>
      </c>
      <c r="N33" s="19"/>
      <c r="O33" s="19"/>
      <c r="P33" s="146"/>
      <c r="Q33" s="183">
        <v>1</v>
      </c>
      <c r="R33" s="183"/>
      <c r="S33" s="206"/>
      <c r="T33" s="285"/>
      <c r="U33" s="191"/>
      <c r="V33" s="228"/>
      <c r="W33" s="182">
        <f>J33-(Q33*($M$2-$K$1))-(R33*($M$2-$M$1))- (S33*($M$2-$I$2))+ (T33*($G$2))</f>
        <v>5114.7400000000007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37</v>
      </c>
      <c r="E34" s="126">
        <f>'Data Ocupacion'!M32</f>
        <v>41</v>
      </c>
      <c r="F34" s="125" t="s">
        <v>52</v>
      </c>
      <c r="G34" s="125">
        <f t="shared" si="24"/>
        <v>119</v>
      </c>
      <c r="H34" s="125">
        <f t="shared" ref="H34:H38" si="28">B34+C34*2</f>
        <v>120</v>
      </c>
      <c r="I34" s="125">
        <f t="shared" si="25"/>
        <v>78</v>
      </c>
      <c r="J34" s="125">
        <f>G34*M$2</f>
        <v>5132.47</v>
      </c>
      <c r="K34" s="153">
        <f>I34*M$2</f>
        <v>3364.1400000000003</v>
      </c>
      <c r="L34" s="125">
        <f t="shared" si="26"/>
        <v>533776.88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2</v>
      </c>
      <c r="U34" s="217"/>
      <c r="V34" s="229"/>
      <c r="W34" s="185">
        <f>J34-(T34*($M$2-$K$1)+(U34*($M$2-$M$1))+(V34*($M$2-$I$2)))</f>
        <v>5097.01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33</v>
      </c>
      <c r="E35" s="126">
        <f>'Data Ocupacion'!M33</f>
        <v>3</v>
      </c>
      <c r="F35" s="125" t="s">
        <v>36</v>
      </c>
      <c r="G35" s="125">
        <f t="shared" si="24"/>
        <v>39</v>
      </c>
      <c r="H35" s="125">
        <f t="shared" si="28"/>
        <v>39</v>
      </c>
      <c r="I35" s="125">
        <f t="shared" si="25"/>
        <v>36</v>
      </c>
      <c r="J35" s="125">
        <f>G35*M$1</f>
        <v>1135.29</v>
      </c>
      <c r="K35" s="153">
        <f>I35*M$1</f>
        <v>1047.96</v>
      </c>
      <c r="L35" s="125">
        <f t="shared" si="26"/>
        <v>118070.16</v>
      </c>
      <c r="M35" s="125">
        <f t="shared" si="27"/>
        <v>3744</v>
      </c>
      <c r="N35" s="19"/>
      <c r="O35" s="19"/>
      <c r="P35" s="146"/>
      <c r="Q35" s="244">
        <v>3</v>
      </c>
      <c r="R35" s="244"/>
      <c r="S35" s="228"/>
      <c r="T35" s="186"/>
      <c r="U35" s="189"/>
      <c r="V35" s="189"/>
      <c r="W35" s="182">
        <f>J35-(Q35*($M$1-$K$1))</f>
        <v>1124.1599999999999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29</v>
      </c>
      <c r="E36" s="126">
        <f>'Data Ocupacion'!M34</f>
        <v>3</v>
      </c>
      <c r="F36" s="125" t="s">
        <v>53</v>
      </c>
      <c r="G36" s="125">
        <f t="shared" si="24"/>
        <v>35</v>
      </c>
      <c r="H36" s="125">
        <f t="shared" si="28"/>
        <v>35</v>
      </c>
      <c r="I36" s="125">
        <f t="shared" si="25"/>
        <v>32</v>
      </c>
      <c r="J36" s="125">
        <f>G36*M$1</f>
        <v>1018.85</v>
      </c>
      <c r="K36" s="153">
        <f>I36*M$1</f>
        <v>931.52</v>
      </c>
      <c r="L36" s="125">
        <f t="shared" si="26"/>
        <v>105960.40000000001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1018.85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12520.68</v>
      </c>
      <c r="K39" s="119">
        <f t="shared" si="29"/>
        <v>8852.49</v>
      </c>
      <c r="L39" s="118">
        <f t="shared" si="29"/>
        <v>1302150.7199999997</v>
      </c>
      <c r="M39" s="151">
        <f t="shared" si="29"/>
        <v>23816</v>
      </c>
      <c r="N39" s="123">
        <f>'Odometro-Kilometraje'!F88</f>
        <v>12948</v>
      </c>
      <c r="O39" s="21">
        <f>(W39/N39)*100</f>
        <v>96.202965708989808</v>
      </c>
      <c r="P39" s="192"/>
      <c r="Q39" s="181"/>
      <c r="R39" s="181"/>
      <c r="S39" s="181"/>
      <c r="T39" s="181"/>
      <c r="U39" s="181"/>
      <c r="V39" s="181"/>
      <c r="W39" s="193">
        <f>SUM(W33:W38)</f>
        <v>12456.36</v>
      </c>
      <c r="X39" s="193">
        <f>SUM(X33:X38)</f>
        <v>12606.940000000002</v>
      </c>
    </row>
    <row r="40" spans="1:32" x14ac:dyDescent="0.25">
      <c r="A40" s="60">
        <f>A33+1</f>
        <v>46179</v>
      </c>
      <c r="B40" s="116">
        <v>69</v>
      </c>
      <c r="C40" s="116">
        <v>3</v>
      </c>
      <c r="D40" s="147">
        <f>'Data Ocupacion'!N31</f>
        <v>69</v>
      </c>
      <c r="E40" s="147">
        <f>'Data Ocupacion'!O31</f>
        <v>3</v>
      </c>
      <c r="F40" s="116" t="s">
        <v>38</v>
      </c>
      <c r="G40" s="116">
        <f t="shared" ref="G40:G45" si="30">D40+E40*2</f>
        <v>75</v>
      </c>
      <c r="H40" s="116">
        <f>B40+C40*2</f>
        <v>75</v>
      </c>
      <c r="I40" s="116">
        <f t="shared" ref="I40:I45" si="31">D40+E40</f>
        <v>72</v>
      </c>
      <c r="J40" s="116">
        <f>G40*M$2</f>
        <v>3234.75</v>
      </c>
      <c r="K40" s="153">
        <f>I40*M$2</f>
        <v>3105.36</v>
      </c>
      <c r="L40" s="116">
        <f t="shared" ref="L40:L45" si="32">J40*104</f>
        <v>336414</v>
      </c>
      <c r="M40" s="116">
        <f t="shared" ref="M40:M45" si="33">I40*104</f>
        <v>7488</v>
      </c>
      <c r="N40" s="19"/>
      <c r="O40" s="19"/>
      <c r="P40" s="146"/>
      <c r="Q40" s="183"/>
      <c r="R40" s="183"/>
      <c r="S40" s="206"/>
      <c r="T40" s="285"/>
      <c r="U40" s="191"/>
      <c r="V40" s="228"/>
      <c r="W40" s="182">
        <f>J40-(Q40*($M$2-$K$1))-(R40*($M$2-$M$1))- (S40*($M$2-$I$2))+ (T40*($G$2))</f>
        <v>3234.75</v>
      </c>
      <c r="X40" s="182">
        <f>H40*$M$2</f>
        <v>3234.75</v>
      </c>
    </row>
    <row r="41" spans="1:32" ht="15" customHeight="1" x14ac:dyDescent="0.25">
      <c r="A41" s="202"/>
      <c r="B41" s="116">
        <v>75</v>
      </c>
      <c r="C41" s="116">
        <v>0</v>
      </c>
      <c r="D41" s="147">
        <f>'Data Ocupacion'!N32</f>
        <v>75</v>
      </c>
      <c r="E41" s="147">
        <f>'Data Ocupacion'!O32</f>
        <v>0</v>
      </c>
      <c r="F41" s="116" t="s">
        <v>52</v>
      </c>
      <c r="G41" s="116">
        <f t="shared" si="30"/>
        <v>75</v>
      </c>
      <c r="H41" s="116">
        <f t="shared" ref="H41:H45" si="34">B41+C41*2</f>
        <v>75</v>
      </c>
      <c r="I41" s="116">
        <f t="shared" si="31"/>
        <v>75</v>
      </c>
      <c r="J41" s="116">
        <f>G41*M$2</f>
        <v>3234.75</v>
      </c>
      <c r="K41" s="153">
        <f>I41*M$2</f>
        <v>3234.75</v>
      </c>
      <c r="L41" s="116">
        <f t="shared" si="32"/>
        <v>336414</v>
      </c>
      <c r="M41" s="116">
        <f t="shared" si="33"/>
        <v>7800</v>
      </c>
      <c r="N41" s="19"/>
      <c r="O41" s="19"/>
      <c r="P41" s="146"/>
      <c r="Q41" s="186"/>
      <c r="R41" s="186"/>
      <c r="S41" s="217"/>
      <c r="T41" s="183"/>
      <c r="U41" s="217"/>
      <c r="V41" s="229"/>
      <c r="W41" s="185">
        <f>J41-(T41*($M$2-$K$1)+(U41*($M$2-$M$1)))</f>
        <v>3234.75</v>
      </c>
      <c r="X41" s="182">
        <f>H41*$M$2</f>
        <v>3234.75</v>
      </c>
    </row>
    <row r="42" spans="1:32" ht="15" customHeight="1" x14ac:dyDescent="0.25">
      <c r="A42" s="202"/>
      <c r="B42" s="116">
        <v>0</v>
      </c>
      <c r="C42" s="116">
        <v>0</v>
      </c>
      <c r="D42" s="147">
        <f>'Data Ocupacion'!N33</f>
        <v>0</v>
      </c>
      <c r="E42" s="147">
        <f>'Data Ocupacion'!O33</f>
        <v>0</v>
      </c>
      <c r="F42" s="116" t="s">
        <v>36</v>
      </c>
      <c r="G42" s="116">
        <f t="shared" si="30"/>
        <v>0</v>
      </c>
      <c r="H42" s="116">
        <f t="shared" si="34"/>
        <v>0</v>
      </c>
      <c r="I42" s="116">
        <f t="shared" si="31"/>
        <v>0</v>
      </c>
      <c r="J42" s="116">
        <f>G42*M$1</f>
        <v>0</v>
      </c>
      <c r="K42" s="153">
        <f>I42*M$1</f>
        <v>0</v>
      </c>
      <c r="L42" s="116">
        <f t="shared" si="32"/>
        <v>0</v>
      </c>
      <c r="M42" s="116">
        <f t="shared" si="33"/>
        <v>0</v>
      </c>
      <c r="N42" s="19"/>
      <c r="O42" s="19"/>
      <c r="P42" s="146"/>
      <c r="Q42" s="244"/>
      <c r="R42" s="190"/>
      <c r="S42" s="228"/>
      <c r="T42" s="186"/>
      <c r="U42" s="189"/>
      <c r="V42" s="189"/>
      <c r="W42" s="182">
        <f>J42-(Q42*($M$1-$K$1))</f>
        <v>0</v>
      </c>
      <c r="X42" s="182">
        <f>H42*$M$1</f>
        <v>0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202"/>
      <c r="B43" s="116">
        <v>0</v>
      </c>
      <c r="C43" s="116">
        <v>0</v>
      </c>
      <c r="D43" s="147">
        <f>'Data Ocupacion'!N34</f>
        <v>0</v>
      </c>
      <c r="E43" s="147">
        <f>'Data Ocupacion'!O34</f>
        <v>0</v>
      </c>
      <c r="F43" s="116" t="s">
        <v>53</v>
      </c>
      <c r="G43" s="116">
        <f t="shared" si="30"/>
        <v>0</v>
      </c>
      <c r="H43" s="116">
        <f t="shared" si="34"/>
        <v>0</v>
      </c>
      <c r="I43" s="116">
        <f t="shared" si="31"/>
        <v>0</v>
      </c>
      <c r="J43" s="116">
        <f>G43*M$1</f>
        <v>0</v>
      </c>
      <c r="K43" s="153">
        <f>I43*M$1</f>
        <v>0</v>
      </c>
      <c r="L43" s="116">
        <f t="shared" si="32"/>
        <v>0</v>
      </c>
      <c r="M43" s="116">
        <f t="shared" si="33"/>
        <v>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0</v>
      </c>
      <c r="X43" s="182">
        <f>H43*$M$1</f>
        <v>0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202"/>
      <c r="B44" s="116">
        <v>0</v>
      </c>
      <c r="C44" s="116">
        <v>0</v>
      </c>
      <c r="D44" s="147">
        <f>'Data Ocupacion'!N35</f>
        <v>0</v>
      </c>
      <c r="E44" s="147">
        <f>'Data Ocupacion'!O35</f>
        <v>0</v>
      </c>
      <c r="F44" s="116" t="s">
        <v>122</v>
      </c>
      <c r="G44" s="116">
        <f t="shared" si="30"/>
        <v>0</v>
      </c>
      <c r="H44" s="116">
        <f t="shared" si="34"/>
        <v>0</v>
      </c>
      <c r="I44" s="116">
        <f t="shared" si="31"/>
        <v>0</v>
      </c>
      <c r="J44" s="116">
        <f>G44*K$1</f>
        <v>0</v>
      </c>
      <c r="K44" s="153">
        <f>I44*K$1</f>
        <v>0</v>
      </c>
      <c r="L44" s="116">
        <f t="shared" si="32"/>
        <v>0</v>
      </c>
      <c r="M44" s="116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202"/>
      <c r="B45" s="116">
        <v>0</v>
      </c>
      <c r="C45" s="116">
        <v>0</v>
      </c>
      <c r="D45" s="341">
        <f>'Data Ocupacion'!N36</f>
        <v>0</v>
      </c>
      <c r="E45" s="147">
        <f>'Data Ocupacion'!O36</f>
        <v>0</v>
      </c>
      <c r="F45" s="116" t="s">
        <v>35</v>
      </c>
      <c r="G45" s="116">
        <f t="shared" si="30"/>
        <v>0</v>
      </c>
      <c r="H45" s="116">
        <f t="shared" si="34"/>
        <v>0</v>
      </c>
      <c r="I45" s="116">
        <f t="shared" si="31"/>
        <v>0</v>
      </c>
      <c r="J45" s="116">
        <f>G45*K$1</f>
        <v>0</v>
      </c>
      <c r="K45" s="153">
        <f>I45*K$1</f>
        <v>0</v>
      </c>
      <c r="L45" s="116">
        <f t="shared" si="32"/>
        <v>0</v>
      </c>
      <c r="M45" s="116">
        <f t="shared" si="33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0</v>
      </c>
      <c r="X45" s="182">
        <f>H45*$K$1</f>
        <v>0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144</v>
      </c>
      <c r="C46" s="119">
        <f>SUM(C40:C45)</f>
        <v>3</v>
      </c>
      <c r="D46" s="152">
        <f>SUM(D40:D45)</f>
        <v>144</v>
      </c>
      <c r="E46" s="152">
        <f>SUM(E40:E45)</f>
        <v>3</v>
      </c>
      <c r="F46" s="119"/>
      <c r="G46" s="119">
        <f t="shared" ref="G46:M46" si="35">SUM(G40:G45)</f>
        <v>150</v>
      </c>
      <c r="H46" s="119">
        <f t="shared" si="35"/>
        <v>150</v>
      </c>
      <c r="I46" s="119">
        <f t="shared" si="35"/>
        <v>147</v>
      </c>
      <c r="J46" s="120">
        <f t="shared" si="35"/>
        <v>6469.5</v>
      </c>
      <c r="K46" s="119">
        <f t="shared" si="35"/>
        <v>6340.1100000000006</v>
      </c>
      <c r="L46" s="118">
        <f t="shared" si="35"/>
        <v>672828</v>
      </c>
      <c r="M46" s="151">
        <f t="shared" si="35"/>
        <v>15288</v>
      </c>
      <c r="N46" s="123">
        <f>'Odometro-Kilometraje'!G88</f>
        <v>6582</v>
      </c>
      <c r="O46" s="21">
        <f>(W46/N46)*100</f>
        <v>98.29079307201458</v>
      </c>
      <c r="P46" s="192"/>
      <c r="Q46" s="181"/>
      <c r="R46" s="181"/>
      <c r="S46" s="181"/>
      <c r="T46" s="181"/>
      <c r="U46" s="181"/>
      <c r="V46" s="181"/>
      <c r="W46" s="193">
        <f>SUM(W40:W45)</f>
        <v>6469.5</v>
      </c>
      <c r="X46" s="193">
        <f>SUM(X40:X45)</f>
        <v>6469.5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46180</v>
      </c>
      <c r="B47" s="218">
        <v>51</v>
      </c>
      <c r="C47" s="218">
        <v>3</v>
      </c>
      <c r="D47" s="138">
        <f>'Data Ocupacion'!P31</f>
        <v>51</v>
      </c>
      <c r="E47" s="138">
        <f>'Data Ocupacion'!Q31</f>
        <v>3</v>
      </c>
      <c r="F47" s="218" t="s">
        <v>38</v>
      </c>
      <c r="G47" s="218">
        <f t="shared" ref="G47:G52" si="36">D47+E47*2</f>
        <v>57</v>
      </c>
      <c r="H47" s="218">
        <f>B47+C47*2</f>
        <v>57</v>
      </c>
      <c r="I47" s="218">
        <f t="shared" ref="I47:I52" si="37">D47+E47</f>
        <v>54</v>
      </c>
      <c r="J47" s="218">
        <f>G47*M$2</f>
        <v>2458.4100000000003</v>
      </c>
      <c r="K47" s="153">
        <f>I47*M$2</f>
        <v>2329.02</v>
      </c>
      <c r="L47" s="218">
        <f t="shared" ref="L47:L52" si="38">J47*104</f>
        <v>255674.64000000004</v>
      </c>
      <c r="M47" s="218">
        <f t="shared" ref="M47:M52" si="39">I47*104</f>
        <v>5616</v>
      </c>
      <c r="N47" s="19"/>
      <c r="O47" s="19"/>
      <c r="P47" s="146"/>
      <c r="Q47" s="183"/>
      <c r="R47" s="183"/>
      <c r="S47" s="206"/>
      <c r="T47" s="285"/>
      <c r="U47" s="191"/>
      <c r="V47" s="228"/>
      <c r="W47" s="182">
        <f>J47-(Q47*($M$2-$K$1))-(R47*($M$2-$M$1))- (S47*($M$2-$I$2))+ (T47*($G$2))</f>
        <v>2458.4100000000003</v>
      </c>
      <c r="X47" s="182">
        <f>H47*$M$2</f>
        <v>2458.4100000000003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18">
        <v>57</v>
      </c>
      <c r="C48" s="218">
        <v>0</v>
      </c>
      <c r="D48" s="138">
        <f>'Data Ocupacion'!P32</f>
        <v>57</v>
      </c>
      <c r="E48" s="138">
        <f>'Data Ocupacion'!Q32</f>
        <v>0</v>
      </c>
      <c r="F48" s="218" t="s">
        <v>52</v>
      </c>
      <c r="G48" s="218">
        <f t="shared" si="36"/>
        <v>57</v>
      </c>
      <c r="H48" s="218">
        <f t="shared" ref="H48:H52" si="40">B48+C48*2</f>
        <v>57</v>
      </c>
      <c r="I48" s="218">
        <f t="shared" si="37"/>
        <v>57</v>
      </c>
      <c r="J48" s="218">
        <f>G48*M$2</f>
        <v>2458.4100000000003</v>
      </c>
      <c r="K48" s="153">
        <f>I48*M$2</f>
        <v>2458.4100000000003</v>
      </c>
      <c r="L48" s="218">
        <f t="shared" si="38"/>
        <v>255674.64000000004</v>
      </c>
      <c r="M48" s="218">
        <f t="shared" si="39"/>
        <v>5928</v>
      </c>
      <c r="N48" s="19"/>
      <c r="O48" s="19"/>
      <c r="P48" s="146"/>
      <c r="Q48" s="186"/>
      <c r="R48" s="186"/>
      <c r="S48" s="217"/>
      <c r="T48" s="183"/>
      <c r="U48" s="217"/>
      <c r="V48" s="229"/>
      <c r="W48" s="185">
        <f>J48-(T48*($M$2-$K$1)+(U48*($M$2-$M$1)))</f>
        <v>2458.4100000000003</v>
      </c>
      <c r="X48" s="182">
        <f>H48*$M$2</f>
        <v>2458.4100000000003</v>
      </c>
    </row>
    <row r="49" spans="1:65" ht="16.5" customHeight="1" x14ac:dyDescent="0.25">
      <c r="A49" s="202"/>
      <c r="B49" s="218">
        <v>0</v>
      </c>
      <c r="C49" s="218">
        <v>0</v>
      </c>
      <c r="D49" s="138">
        <f>'Data Ocupacion'!P33</f>
        <v>0</v>
      </c>
      <c r="E49" s="138">
        <f>'Data Ocupacion'!Q33</f>
        <v>0</v>
      </c>
      <c r="F49" s="218" t="s">
        <v>36</v>
      </c>
      <c r="G49" s="218">
        <f t="shared" si="36"/>
        <v>0</v>
      </c>
      <c r="H49" s="218">
        <f t="shared" si="40"/>
        <v>0</v>
      </c>
      <c r="I49" s="218">
        <f t="shared" si="37"/>
        <v>0</v>
      </c>
      <c r="J49" s="218">
        <f>G49*M$1</f>
        <v>0</v>
      </c>
      <c r="K49" s="153">
        <f>I49*M$1</f>
        <v>0</v>
      </c>
      <c r="L49" s="218">
        <f t="shared" si="38"/>
        <v>0</v>
      </c>
      <c r="M49" s="218">
        <f t="shared" si="39"/>
        <v>0</v>
      </c>
      <c r="N49" s="19"/>
      <c r="O49" s="19"/>
      <c r="P49" s="146"/>
      <c r="Q49" s="183"/>
      <c r="R49" s="190"/>
      <c r="S49" s="228"/>
      <c r="T49" s="186"/>
      <c r="U49" s="189"/>
      <c r="V49" s="189"/>
      <c r="W49" s="182">
        <f>J49-(Q49*($M$1-$K$1))</f>
        <v>0</v>
      </c>
      <c r="X49" s="182">
        <f>H49*$M$1</f>
        <v>0</v>
      </c>
    </row>
    <row r="50" spans="1:65" x14ac:dyDescent="0.25">
      <c r="A50" s="202"/>
      <c r="B50" s="218">
        <v>0</v>
      </c>
      <c r="C50" s="218">
        <v>0</v>
      </c>
      <c r="D50" s="138">
        <f>'Data Ocupacion'!P34</f>
        <v>0</v>
      </c>
      <c r="E50" s="138">
        <f>'Data Ocupacion'!Q34</f>
        <v>0</v>
      </c>
      <c r="F50" s="218" t="s">
        <v>53</v>
      </c>
      <c r="G50" s="218">
        <f t="shared" si="36"/>
        <v>0</v>
      </c>
      <c r="H50" s="218">
        <f t="shared" si="40"/>
        <v>0</v>
      </c>
      <c r="I50" s="218">
        <f t="shared" si="37"/>
        <v>0</v>
      </c>
      <c r="J50" s="218">
        <f>G50*M$1</f>
        <v>0</v>
      </c>
      <c r="K50" s="153">
        <f>I50*M$1</f>
        <v>0</v>
      </c>
      <c r="L50" s="218">
        <f t="shared" si="38"/>
        <v>0</v>
      </c>
      <c r="M50" s="218">
        <f t="shared" si="39"/>
        <v>0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0</v>
      </c>
      <c r="X50" s="182">
        <f>H50*$M$1</f>
        <v>0</v>
      </c>
    </row>
    <row r="51" spans="1:65" s="124" customFormat="1" x14ac:dyDescent="0.25">
      <c r="A51" s="202"/>
      <c r="B51" s="218">
        <v>0</v>
      </c>
      <c r="C51" s="218">
        <v>0</v>
      </c>
      <c r="D51" s="138">
        <f>'Data Ocupacion'!P35</f>
        <v>0</v>
      </c>
      <c r="E51" s="138">
        <f>'Data Ocupacion'!Q35</f>
        <v>0</v>
      </c>
      <c r="F51" s="218" t="s">
        <v>122</v>
      </c>
      <c r="G51" s="218">
        <f t="shared" si="36"/>
        <v>0</v>
      </c>
      <c r="H51" s="218">
        <f t="shared" si="40"/>
        <v>0</v>
      </c>
      <c r="I51" s="218">
        <f t="shared" si="37"/>
        <v>0</v>
      </c>
      <c r="J51" s="218">
        <f>G51*K$1</f>
        <v>0</v>
      </c>
      <c r="K51" s="153">
        <f>I51*K$1</f>
        <v>0</v>
      </c>
      <c r="L51" s="218">
        <f t="shared" si="38"/>
        <v>0</v>
      </c>
      <c r="M51" s="218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18">
        <v>0</v>
      </c>
      <c r="C52" s="218">
        <v>0</v>
      </c>
      <c r="D52" s="342">
        <f>'Data Ocupacion'!P36</f>
        <v>0</v>
      </c>
      <c r="E52" s="138">
        <f>'Data Ocupacion'!Q36</f>
        <v>0</v>
      </c>
      <c r="F52" s="218" t="s">
        <v>35</v>
      </c>
      <c r="G52" s="218">
        <f t="shared" si="36"/>
        <v>0</v>
      </c>
      <c r="H52" s="218">
        <f t="shared" si="40"/>
        <v>0</v>
      </c>
      <c r="I52" s="218">
        <f t="shared" si="37"/>
        <v>0</v>
      </c>
      <c r="J52" s="218">
        <f>G52*K$1</f>
        <v>0</v>
      </c>
      <c r="K52" s="153">
        <f>I52*K$1</f>
        <v>0</v>
      </c>
      <c r="L52" s="218">
        <f t="shared" si="38"/>
        <v>0</v>
      </c>
      <c r="M52" s="218">
        <f t="shared" si="39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0</v>
      </c>
      <c r="X52" s="182">
        <f>H52*$K$1</f>
        <v>0</v>
      </c>
    </row>
    <row r="53" spans="1:65" ht="18" customHeight="1" thickBot="1" x14ac:dyDescent="0.3">
      <c r="A53" s="20"/>
      <c r="B53" s="119">
        <f>SUM(B47:B52)</f>
        <v>108</v>
      </c>
      <c r="C53" s="119">
        <f>SUM(C47:C52)</f>
        <v>3</v>
      </c>
      <c r="D53" s="152">
        <f>SUM(D47:D52)</f>
        <v>108</v>
      </c>
      <c r="E53" s="152">
        <f>SUM(E47:E52)</f>
        <v>3</v>
      </c>
      <c r="F53" s="119"/>
      <c r="G53" s="119">
        <f t="shared" ref="G53:M53" si="41">SUM(G47:G52)</f>
        <v>114</v>
      </c>
      <c r="H53" s="119">
        <f t="shared" si="41"/>
        <v>114</v>
      </c>
      <c r="I53" s="119">
        <f t="shared" si="41"/>
        <v>111</v>
      </c>
      <c r="J53" s="120">
        <f t="shared" si="41"/>
        <v>4916.8200000000006</v>
      </c>
      <c r="K53" s="119">
        <f t="shared" si="41"/>
        <v>4787.43</v>
      </c>
      <c r="L53" s="118">
        <f t="shared" si="41"/>
        <v>511349.28000000009</v>
      </c>
      <c r="M53" s="151">
        <f t="shared" si="41"/>
        <v>11544</v>
      </c>
      <c r="N53" s="123">
        <f>'Odometro-Kilometraje'!H88</f>
        <v>5011</v>
      </c>
      <c r="O53" s="21">
        <f>(W53/N53)*100</f>
        <v>98.120534823388567</v>
      </c>
      <c r="P53" s="192"/>
      <c r="Q53" s="181"/>
      <c r="R53" s="181"/>
      <c r="S53" s="181"/>
      <c r="T53" s="181"/>
      <c r="U53" s="181"/>
      <c r="V53" s="181"/>
      <c r="W53" s="193">
        <f>SUM(W47:W52)</f>
        <v>4916.8200000000006</v>
      </c>
      <c r="X53" s="193">
        <f>SUM(X47:X52)</f>
        <v>4916.8200000000006</v>
      </c>
    </row>
    <row r="54" spans="1:65" x14ac:dyDescent="0.25">
      <c r="A54" s="60">
        <f>A47+1</f>
        <v>46181</v>
      </c>
      <c r="B54" s="295">
        <v>38</v>
      </c>
      <c r="C54" s="295">
        <v>41</v>
      </c>
      <c r="D54" s="126">
        <f>'Data Ocupacion'!R31</f>
        <v>39</v>
      </c>
      <c r="E54" s="126">
        <f>'Data Ocupacion'!S31</f>
        <v>40</v>
      </c>
      <c r="F54" s="125" t="s">
        <v>38</v>
      </c>
      <c r="G54" s="125">
        <f t="shared" ref="G54:G59" si="42">D54+E54*2</f>
        <v>119</v>
      </c>
      <c r="H54" s="125">
        <f>B54+C54*2</f>
        <v>120</v>
      </c>
      <c r="I54" s="125">
        <f t="shared" ref="I54:I59" si="43">D54+E54</f>
        <v>79</v>
      </c>
      <c r="J54" s="125">
        <f>G54*M$2</f>
        <v>5132.47</v>
      </c>
      <c r="K54" s="153">
        <f>I54*M$2</f>
        <v>3407.27</v>
      </c>
      <c r="L54" s="125">
        <f t="shared" ref="L54:L59" si="44">J54*104</f>
        <v>533776.88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6"/>
      <c r="T54" s="183"/>
      <c r="U54" s="191"/>
      <c r="V54" s="228"/>
      <c r="W54" s="182">
        <f>J54-(Q54*($M$2-$K$1))-(R54*($M$2-$M$1))- (S54*($M$2-$I$2))+ (T54*($G$2))</f>
        <v>5061.55</v>
      </c>
      <c r="X54" s="182">
        <f>H54*$M$2</f>
        <v>5175.6000000000004</v>
      </c>
    </row>
    <row r="55" spans="1:65" ht="15" customHeight="1" x14ac:dyDescent="0.25">
      <c r="A55" s="202"/>
      <c r="B55" s="295">
        <v>36</v>
      </c>
      <c r="C55" s="295">
        <v>42</v>
      </c>
      <c r="D55" s="126">
        <f>'Data Ocupacion'!R32</f>
        <v>37</v>
      </c>
      <c r="E55" s="126">
        <f>'Data Ocupacion'!S32</f>
        <v>41</v>
      </c>
      <c r="F55" s="125" t="s">
        <v>52</v>
      </c>
      <c r="G55" s="125">
        <f t="shared" si="42"/>
        <v>119</v>
      </c>
      <c r="H55" s="125">
        <f t="shared" ref="H55:H59" si="46">B55+C55*2</f>
        <v>120</v>
      </c>
      <c r="I55" s="125">
        <f t="shared" si="43"/>
        <v>78</v>
      </c>
      <c r="J55" s="125">
        <f>G55*M$2</f>
        <v>5132.47</v>
      </c>
      <c r="K55" s="153">
        <f>I55*M$2</f>
        <v>3364.1400000000003</v>
      </c>
      <c r="L55" s="125">
        <f t="shared" si="44"/>
        <v>533776.88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4</v>
      </c>
      <c r="U55" s="184"/>
      <c r="V55" s="229"/>
      <c r="W55" s="185">
        <f>J55-(T55*($M$2-$K$1)+(U55*($M$2-$M$1)))</f>
        <v>5061.55</v>
      </c>
      <c r="X55" s="182">
        <f>H55*$M$2</f>
        <v>5175.6000000000004</v>
      </c>
    </row>
    <row r="56" spans="1:65" ht="15" customHeight="1" x14ac:dyDescent="0.25">
      <c r="A56" s="202"/>
      <c r="B56" s="295">
        <v>33</v>
      </c>
      <c r="C56" s="295">
        <v>3</v>
      </c>
      <c r="D56" s="126">
        <f>'Data Ocupacion'!R33</f>
        <v>33</v>
      </c>
      <c r="E56" s="126">
        <f>'Data Ocupacion'!S33</f>
        <v>3</v>
      </c>
      <c r="F56" s="125" t="s">
        <v>36</v>
      </c>
      <c r="G56" s="125">
        <f t="shared" si="42"/>
        <v>39</v>
      </c>
      <c r="H56" s="125">
        <f t="shared" si="46"/>
        <v>39</v>
      </c>
      <c r="I56" s="125">
        <f t="shared" si="43"/>
        <v>36</v>
      </c>
      <c r="J56" s="125">
        <f>G56*M$1</f>
        <v>1135.29</v>
      </c>
      <c r="K56" s="153">
        <f>I56*M$1</f>
        <v>1047.96</v>
      </c>
      <c r="L56" s="125">
        <f t="shared" si="44"/>
        <v>118070.16</v>
      </c>
      <c r="M56" s="125">
        <f t="shared" si="45"/>
        <v>3744</v>
      </c>
      <c r="N56" s="19"/>
      <c r="O56" s="19"/>
      <c r="P56" s="146"/>
      <c r="Q56" s="244">
        <v>3</v>
      </c>
      <c r="R56" s="187"/>
      <c r="S56" s="207"/>
      <c r="T56" s="188"/>
      <c r="U56" s="189"/>
      <c r="V56" s="189"/>
      <c r="W56" s="182">
        <f>J56-(Q56*($M$1-$K$1))</f>
        <v>1124.1599999999999</v>
      </c>
      <c r="X56" s="182">
        <f>H56*$M$1</f>
        <v>1135.29</v>
      </c>
    </row>
    <row r="57" spans="1:65" ht="15" customHeight="1" x14ac:dyDescent="0.25">
      <c r="A57" s="202"/>
      <c r="B57" s="295">
        <v>29</v>
      </c>
      <c r="C57" s="295">
        <v>3</v>
      </c>
      <c r="D57" s="126">
        <f>'Data Ocupacion'!R34</f>
        <v>29</v>
      </c>
      <c r="E57" s="126">
        <f>'Data Ocupacion'!S34</f>
        <v>3</v>
      </c>
      <c r="F57" s="125" t="s">
        <v>53</v>
      </c>
      <c r="G57" s="125">
        <f t="shared" si="42"/>
        <v>35</v>
      </c>
      <c r="H57" s="125">
        <f t="shared" si="46"/>
        <v>35</v>
      </c>
      <c r="I57" s="125">
        <f t="shared" si="43"/>
        <v>32</v>
      </c>
      <c r="J57" s="125">
        <f>G57*M$1</f>
        <v>1018.85</v>
      </c>
      <c r="K57" s="153">
        <f>I57*M$1</f>
        <v>931.52</v>
      </c>
      <c r="L57" s="125">
        <f t="shared" si="44"/>
        <v>105960.40000000001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1018.85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2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202"/>
      <c r="B59" s="295">
        <v>4</v>
      </c>
      <c r="C59" s="295">
        <v>0</v>
      </c>
      <c r="D59" s="254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142</v>
      </c>
      <c r="E60" s="152">
        <f>SUM(E54:E59)</f>
        <v>87</v>
      </c>
      <c r="F60" s="119"/>
      <c r="G60" s="119">
        <f t="shared" ref="G60:M60" si="47">SUM(G54:G59)</f>
        <v>316</v>
      </c>
      <c r="H60" s="119">
        <f t="shared" si="47"/>
        <v>318</v>
      </c>
      <c r="I60" s="119">
        <f t="shared" si="47"/>
        <v>229</v>
      </c>
      <c r="J60" s="120">
        <f t="shared" si="47"/>
        <v>12520.68</v>
      </c>
      <c r="K60" s="119">
        <f t="shared" si="47"/>
        <v>8852.49</v>
      </c>
      <c r="L60" s="118">
        <f t="shared" si="47"/>
        <v>1302150.7199999997</v>
      </c>
      <c r="M60" s="151">
        <f t="shared" si="47"/>
        <v>23816</v>
      </c>
      <c r="N60" s="123">
        <f>'Odometro-Kilometraje'!I88</f>
        <v>12534</v>
      </c>
      <c r="O60" s="21">
        <f>(W60/N60)*100</f>
        <v>98.673288654858794</v>
      </c>
      <c r="P60" s="192"/>
      <c r="Q60" s="181"/>
      <c r="R60" s="181"/>
      <c r="S60" s="181"/>
      <c r="T60" s="181"/>
      <c r="U60" s="181"/>
      <c r="V60" s="181"/>
      <c r="W60" s="193">
        <f>SUM(W54:W59)</f>
        <v>12367.710000000001</v>
      </c>
      <c r="X60" s="193">
        <f>SUM(X54:X59)</f>
        <v>12606.940000000002</v>
      </c>
    </row>
    <row r="61" spans="1:65" x14ac:dyDescent="0.25">
      <c r="A61" s="60">
        <f>A54+1</f>
        <v>46182</v>
      </c>
      <c r="B61" s="295">
        <v>38</v>
      </c>
      <c r="C61" s="295">
        <v>41</v>
      </c>
      <c r="D61" s="126">
        <f>'Data Ocupacion'!T31</f>
        <v>40</v>
      </c>
      <c r="E61" s="126">
        <f>'Data Ocupacion'!U31</f>
        <v>39</v>
      </c>
      <c r="F61" s="125" t="s">
        <v>38</v>
      </c>
      <c r="G61" s="125">
        <f t="shared" ref="G61:G66" si="48">D61+E61*2</f>
        <v>118</v>
      </c>
      <c r="H61" s="125">
        <f>B61+C61*2</f>
        <v>120</v>
      </c>
      <c r="I61" s="125">
        <f t="shared" ref="I61:I66" si="49">D61+E61</f>
        <v>79</v>
      </c>
      <c r="J61" s="125">
        <f>G61*M$2</f>
        <v>5089.34</v>
      </c>
      <c r="K61" s="153">
        <f>I61*M$2</f>
        <v>3407.27</v>
      </c>
      <c r="L61" s="125">
        <f t="shared" ref="L61:L66" si="50">J61*104</f>
        <v>529291.36</v>
      </c>
      <c r="M61" s="125">
        <f t="shared" ref="M61:M66" si="51">I61*104</f>
        <v>8216</v>
      </c>
      <c r="N61" s="19"/>
      <c r="O61" s="19"/>
      <c r="P61" s="146"/>
      <c r="Q61" s="183">
        <v>3</v>
      </c>
      <c r="R61" s="183"/>
      <c r="S61" s="206"/>
      <c r="T61" s="203"/>
      <c r="U61" s="191"/>
      <c r="V61" s="228"/>
      <c r="W61" s="182">
        <f>J61-(Q61*($M$2-$K$1))-(R61*($M$2-$M$1))- (S61*($M$2-$I$2))+ (T61*($G$2))</f>
        <v>5036.1500000000005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38</v>
      </c>
      <c r="E62" s="126">
        <f>'Data Ocupacion'!U32</f>
        <v>40</v>
      </c>
      <c r="F62" s="125" t="s">
        <v>52</v>
      </c>
      <c r="G62" s="125">
        <f t="shared" si="48"/>
        <v>118</v>
      </c>
      <c r="H62" s="125">
        <f t="shared" ref="H62:H66" si="52">B62+C62*2</f>
        <v>120</v>
      </c>
      <c r="I62" s="125">
        <f t="shared" si="49"/>
        <v>78</v>
      </c>
      <c r="J62" s="125">
        <f>G62*M$2</f>
        <v>5089.34</v>
      </c>
      <c r="K62" s="153">
        <f>I62*M$2</f>
        <v>3364.1400000000003</v>
      </c>
      <c r="L62" s="125">
        <f t="shared" si="50"/>
        <v>529291.36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5036.1500000000005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33</v>
      </c>
      <c r="E63" s="126">
        <f>'Data Ocupacion'!U33</f>
        <v>3</v>
      </c>
      <c r="F63" s="125" t="s">
        <v>36</v>
      </c>
      <c r="G63" s="125">
        <f t="shared" si="48"/>
        <v>39</v>
      </c>
      <c r="H63" s="125">
        <f t="shared" si="52"/>
        <v>39</v>
      </c>
      <c r="I63" s="125">
        <f t="shared" si="49"/>
        <v>36</v>
      </c>
      <c r="J63" s="125">
        <f>G63*M$1</f>
        <v>1135.29</v>
      </c>
      <c r="K63" s="153">
        <f>I63*M$1</f>
        <v>1047.96</v>
      </c>
      <c r="L63" s="125">
        <f t="shared" si="50"/>
        <v>118070.16</v>
      </c>
      <c r="M63" s="125">
        <f t="shared" si="51"/>
        <v>3744</v>
      </c>
      <c r="N63" s="19"/>
      <c r="O63" s="19"/>
      <c r="P63" s="146"/>
      <c r="Q63" s="183">
        <v>3</v>
      </c>
      <c r="R63" s="187"/>
      <c r="S63" s="207"/>
      <c r="T63" s="188"/>
      <c r="U63" s="189"/>
      <c r="V63" s="189"/>
      <c r="W63" s="182">
        <f>J63-(Q63*($M$1-$K$1))</f>
        <v>1124.1599999999999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29</v>
      </c>
      <c r="E64" s="126">
        <f>'Data Ocupacion'!U34</f>
        <v>3</v>
      </c>
      <c r="F64" s="125" t="s">
        <v>53</v>
      </c>
      <c r="G64" s="125">
        <f t="shared" si="48"/>
        <v>35</v>
      </c>
      <c r="H64" s="125">
        <f t="shared" si="52"/>
        <v>35</v>
      </c>
      <c r="I64" s="125">
        <f t="shared" si="49"/>
        <v>32</v>
      </c>
      <c r="J64" s="125">
        <f>G64*M$1</f>
        <v>1018.85</v>
      </c>
      <c r="K64" s="153">
        <f>I64*M$1</f>
        <v>931.52</v>
      </c>
      <c r="L64" s="125">
        <f t="shared" si="50"/>
        <v>105960.40000000001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189"/>
      <c r="U64" s="189"/>
      <c r="V64" s="189"/>
      <c r="W64" s="182">
        <f>J64</f>
        <v>1018.85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144</v>
      </c>
      <c r="E67" s="152">
        <f>SUM(E61:E66)</f>
        <v>85</v>
      </c>
      <c r="F67" s="119"/>
      <c r="G67" s="119">
        <f t="shared" ref="G67:M67" si="53">SUM(G61:G66)</f>
        <v>314</v>
      </c>
      <c r="H67" s="119">
        <f t="shared" si="53"/>
        <v>318</v>
      </c>
      <c r="I67" s="119">
        <f t="shared" si="53"/>
        <v>229</v>
      </c>
      <c r="J67" s="119">
        <f t="shared" si="53"/>
        <v>12434.420000000002</v>
      </c>
      <c r="K67" s="119">
        <f t="shared" si="53"/>
        <v>8852.49</v>
      </c>
      <c r="L67" s="119">
        <f t="shared" si="53"/>
        <v>1293179.6799999997</v>
      </c>
      <c r="M67" s="119">
        <f t="shared" si="53"/>
        <v>23816</v>
      </c>
      <c r="N67" s="123">
        <f>'Odometro-Kilometraje'!J88</f>
        <v>12757</v>
      </c>
      <c r="O67" s="21">
        <f>(W67/N67)*100</f>
        <v>96.550207729089919</v>
      </c>
      <c r="P67" s="192"/>
      <c r="Q67" s="181"/>
      <c r="R67" s="181"/>
      <c r="S67" s="181"/>
      <c r="T67" s="181"/>
      <c r="U67" s="181"/>
      <c r="V67" s="181"/>
      <c r="W67" s="193">
        <f>SUM(W61:W66)</f>
        <v>12316.910000000002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46183</v>
      </c>
      <c r="B68" s="295">
        <v>38</v>
      </c>
      <c r="C68" s="295">
        <v>41</v>
      </c>
      <c r="D68" s="126">
        <f>'Data Ocupacion'!V31</f>
        <v>38</v>
      </c>
      <c r="E68" s="126">
        <f>'Data Ocupacion'!W31</f>
        <v>41</v>
      </c>
      <c r="F68" s="125" t="s">
        <v>38</v>
      </c>
      <c r="G68" s="125">
        <f t="shared" ref="G68:G75" si="54">D68+E68*2</f>
        <v>120</v>
      </c>
      <c r="H68" s="125">
        <f>B68+C68*2</f>
        <v>120</v>
      </c>
      <c r="I68" s="125">
        <f t="shared" ref="I68:I73" si="55">D68+E68</f>
        <v>79</v>
      </c>
      <c r="J68" s="125">
        <f>G68*M$2</f>
        <v>5175.6000000000004</v>
      </c>
      <c r="K68" s="153">
        <f>I68*M$2</f>
        <v>3407.27</v>
      </c>
      <c r="L68" s="125">
        <f t="shared" ref="L68:L73" si="56">J68*104</f>
        <v>538262.4</v>
      </c>
      <c r="M68" s="125">
        <f t="shared" ref="M68:M73" si="57">I68*104</f>
        <v>8216</v>
      </c>
      <c r="N68" s="19"/>
      <c r="O68" s="19"/>
      <c r="P68" s="146"/>
      <c r="Q68" s="183">
        <v>4</v>
      </c>
      <c r="R68" s="183"/>
      <c r="S68" s="206"/>
      <c r="T68" s="285"/>
      <c r="U68" s="191"/>
      <c r="V68" s="228"/>
      <c r="W68" s="182">
        <f>J68-(Q68*($M$2-$K$1))-(R68*($M$2-$M$1))- (S68*($M$2-$I$2))+ (T68*($G$2))</f>
        <v>5104.68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36</v>
      </c>
      <c r="E69" s="126">
        <f>'Data Ocupacion'!W32</f>
        <v>42</v>
      </c>
      <c r="F69" s="125" t="s">
        <v>52</v>
      </c>
      <c r="G69" s="125">
        <f t="shared" si="54"/>
        <v>120</v>
      </c>
      <c r="H69" s="125">
        <f t="shared" ref="H69:H73" si="58">B69+C69*2</f>
        <v>120</v>
      </c>
      <c r="I69" s="125">
        <f t="shared" si="55"/>
        <v>78</v>
      </c>
      <c r="J69" s="125">
        <f>G69*M$2</f>
        <v>5175.6000000000004</v>
      </c>
      <c r="K69" s="153">
        <f>I69*M$2</f>
        <v>3364.1400000000003</v>
      </c>
      <c r="L69" s="125">
        <f t="shared" si="56"/>
        <v>538262.4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5175.6000000000004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33</v>
      </c>
      <c r="E70" s="126">
        <f>'Data Ocupacion'!W33</f>
        <v>3</v>
      </c>
      <c r="F70" s="125" t="s">
        <v>36</v>
      </c>
      <c r="G70" s="125">
        <f t="shared" si="54"/>
        <v>39</v>
      </c>
      <c r="H70" s="125">
        <f t="shared" si="58"/>
        <v>39</v>
      </c>
      <c r="I70" s="125">
        <f t="shared" si="55"/>
        <v>36</v>
      </c>
      <c r="J70" s="125">
        <f>G70*M$1</f>
        <v>1135.29</v>
      </c>
      <c r="K70" s="153">
        <f>I70*M$1</f>
        <v>1047.96</v>
      </c>
      <c r="L70" s="125">
        <f t="shared" si="56"/>
        <v>118070.16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1127.8699999999999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29</v>
      </c>
      <c r="E71" s="126">
        <f>'Data Ocupacion'!W34</f>
        <v>3</v>
      </c>
      <c r="F71" s="125" t="s">
        <v>53</v>
      </c>
      <c r="G71" s="125">
        <f t="shared" si="54"/>
        <v>35</v>
      </c>
      <c r="H71" s="125">
        <f t="shared" si="58"/>
        <v>35</v>
      </c>
      <c r="I71" s="125">
        <f t="shared" si="55"/>
        <v>32</v>
      </c>
      <c r="J71" s="125">
        <f>G71*M$1</f>
        <v>1018.85</v>
      </c>
      <c r="K71" s="153">
        <f>I71*M$1</f>
        <v>931.52</v>
      </c>
      <c r="L71" s="125">
        <f t="shared" si="56"/>
        <v>105960.40000000001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1018.85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140</v>
      </c>
      <c r="E74" s="152">
        <f>SUM(E68:E73)</f>
        <v>89</v>
      </c>
      <c r="F74" s="119"/>
      <c r="G74" s="119">
        <f t="shared" ref="G74:M74" si="59">SUM(G68:G73)</f>
        <v>318</v>
      </c>
      <c r="H74" s="119">
        <f t="shared" si="59"/>
        <v>318</v>
      </c>
      <c r="I74" s="119">
        <f t="shared" si="59"/>
        <v>229</v>
      </c>
      <c r="J74" s="119">
        <f t="shared" si="59"/>
        <v>12606.940000000002</v>
      </c>
      <c r="K74" s="119">
        <f t="shared" si="59"/>
        <v>8852.49</v>
      </c>
      <c r="L74" s="119">
        <f t="shared" si="59"/>
        <v>1311121.7599999998</v>
      </c>
      <c r="M74" s="119">
        <f t="shared" si="59"/>
        <v>23816</v>
      </c>
      <c r="N74" s="180">
        <f>'Odometro-Kilometraje'!K88</f>
        <v>13155</v>
      </c>
      <c r="O74" s="21">
        <f>(W74/N74)*100</f>
        <v>95.238312428734346</v>
      </c>
      <c r="P74" s="192"/>
      <c r="Q74" s="181"/>
      <c r="R74" s="181"/>
      <c r="S74" s="181"/>
      <c r="T74" s="181"/>
      <c r="U74" s="181"/>
      <c r="V74" s="181"/>
      <c r="W74" s="193">
        <f>SUM(W68:W73)</f>
        <v>12528.600000000002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46184</v>
      </c>
      <c r="B75" s="295">
        <v>38</v>
      </c>
      <c r="C75" s="295">
        <v>41</v>
      </c>
      <c r="D75" s="126">
        <f>'Data Ocupacion'!X31</f>
        <v>38</v>
      </c>
      <c r="E75" s="126">
        <f>'Data Ocupacion'!Y31</f>
        <v>41</v>
      </c>
      <c r="F75" s="125" t="s">
        <v>38</v>
      </c>
      <c r="G75" s="125">
        <f t="shared" si="54"/>
        <v>120</v>
      </c>
      <c r="H75" s="125">
        <f>B75+C75*2</f>
        <v>120</v>
      </c>
      <c r="I75" s="125">
        <f t="shared" ref="I75:I80" si="60">D75+E75</f>
        <v>79</v>
      </c>
      <c r="J75" s="125">
        <f>G75*M$2</f>
        <v>5175.6000000000004</v>
      </c>
      <c r="K75" s="153">
        <f>I75*M$2</f>
        <v>3407.27</v>
      </c>
      <c r="L75" s="125">
        <f t="shared" ref="L75:L80" si="61">J75*104</f>
        <v>538262.4</v>
      </c>
      <c r="M75" s="125">
        <f t="shared" ref="M75:M80" si="62">I75*104</f>
        <v>8216</v>
      </c>
      <c r="N75" s="19"/>
      <c r="O75" s="19"/>
      <c r="P75" s="146"/>
      <c r="Q75" s="183">
        <v>3</v>
      </c>
      <c r="R75" s="183"/>
      <c r="S75" s="206"/>
      <c r="T75" s="285"/>
      <c r="U75" s="191"/>
      <c r="V75" s="228"/>
      <c r="W75" s="182">
        <f>J75-(Q75*($M$2-$K$1))-(R75*($M$2-$M$1))- (S75*($M$2-$I$2))+ (T75*($G$2))</f>
        <v>5122.4100000000008</v>
      </c>
      <c r="X75" s="182">
        <f>H75*$M$2</f>
        <v>5175.6000000000004</v>
      </c>
      <c r="Y75" s="255"/>
      <c r="Z75" s="255"/>
      <c r="AA75" s="255"/>
    </row>
    <row r="76" spans="1:27" ht="15" customHeight="1" x14ac:dyDescent="0.25">
      <c r="A76" s="276"/>
      <c r="B76" s="295">
        <v>36</v>
      </c>
      <c r="C76" s="295">
        <v>42</v>
      </c>
      <c r="D76" s="126">
        <f>'Data Ocupacion'!X32</f>
        <v>36</v>
      </c>
      <c r="E76" s="126">
        <f>'Data Ocupacion'!Y32</f>
        <v>42</v>
      </c>
      <c r="F76" s="125" t="s">
        <v>52</v>
      </c>
      <c r="G76" s="125">
        <f t="shared" ref="G76:G80" si="63">D76+E76*2</f>
        <v>120</v>
      </c>
      <c r="H76" s="125">
        <f t="shared" ref="H76:H80" si="64">B76+C76*2</f>
        <v>120</v>
      </c>
      <c r="I76" s="125">
        <f t="shared" si="60"/>
        <v>78</v>
      </c>
      <c r="J76" s="125">
        <f>G76*M$2</f>
        <v>5175.6000000000004</v>
      </c>
      <c r="K76" s="153">
        <f>I76*M$2</f>
        <v>3364.1400000000003</v>
      </c>
      <c r="L76" s="125">
        <f t="shared" si="61"/>
        <v>538262.4</v>
      </c>
      <c r="M76" s="125">
        <f t="shared" si="62"/>
        <v>8112</v>
      </c>
      <c r="N76" s="19"/>
      <c r="O76" s="19"/>
      <c r="P76" s="146"/>
      <c r="Q76" s="186"/>
      <c r="R76" s="186"/>
      <c r="S76" s="217"/>
      <c r="T76" s="183">
        <v>2</v>
      </c>
      <c r="U76" s="217"/>
      <c r="V76" s="229"/>
      <c r="W76" s="185">
        <f>J76-(T76*($M$2-$K$1)+(U76*($M$2-$M$1)))</f>
        <v>5140.1400000000003</v>
      </c>
      <c r="X76" s="182">
        <f>H76*$M$2</f>
        <v>5175.6000000000004</v>
      </c>
      <c r="Y76" s="255"/>
      <c r="Z76" s="255"/>
      <c r="AA76" s="255"/>
    </row>
    <row r="77" spans="1:27" ht="15" customHeight="1" x14ac:dyDescent="0.25">
      <c r="A77" s="253"/>
      <c r="B77" s="295">
        <v>33</v>
      </c>
      <c r="C77" s="295">
        <v>3</v>
      </c>
      <c r="D77" s="126">
        <f>'Data Ocupacion'!X33</f>
        <v>33</v>
      </c>
      <c r="E77" s="126">
        <f>'Data Ocupacion'!Y33</f>
        <v>3</v>
      </c>
      <c r="F77" s="125" t="s">
        <v>36</v>
      </c>
      <c r="G77" s="125">
        <f t="shared" si="63"/>
        <v>39</v>
      </c>
      <c r="H77" s="125">
        <f t="shared" si="64"/>
        <v>39</v>
      </c>
      <c r="I77" s="125">
        <f t="shared" si="60"/>
        <v>36</v>
      </c>
      <c r="J77" s="125">
        <f>G77*M$1</f>
        <v>1135.29</v>
      </c>
      <c r="K77" s="153">
        <f>I77*M$1</f>
        <v>1047.96</v>
      </c>
      <c r="L77" s="125">
        <f t="shared" si="61"/>
        <v>118070.16</v>
      </c>
      <c r="M77" s="125">
        <f t="shared" si="62"/>
        <v>3744</v>
      </c>
      <c r="N77" s="19"/>
      <c r="O77" s="19" t="s">
        <v>144</v>
      </c>
      <c r="P77" s="146"/>
      <c r="Q77" s="183">
        <v>3</v>
      </c>
      <c r="R77" s="190"/>
      <c r="S77" s="228"/>
      <c r="T77" s="186"/>
      <c r="U77" s="189"/>
      <c r="V77" s="189"/>
      <c r="W77" s="182">
        <f>J77-(Q77*($M$1-$K$1))</f>
        <v>1124.1599999999999</v>
      </c>
      <c r="X77" s="182">
        <f>H77*$M$1</f>
        <v>1135.29</v>
      </c>
      <c r="Y77" s="255"/>
      <c r="Z77" s="255"/>
      <c r="AA77" s="255"/>
    </row>
    <row r="78" spans="1:27" ht="13.5" customHeight="1" x14ac:dyDescent="0.25">
      <c r="A78" s="253"/>
      <c r="B78" s="295">
        <v>29</v>
      </c>
      <c r="C78" s="295">
        <v>3</v>
      </c>
      <c r="D78" s="126">
        <f>'Data Ocupacion'!X34</f>
        <v>29</v>
      </c>
      <c r="E78" s="126">
        <f>'Data Ocupacion'!Y34</f>
        <v>3</v>
      </c>
      <c r="F78" s="125" t="s">
        <v>53</v>
      </c>
      <c r="G78" s="125">
        <f t="shared" si="63"/>
        <v>35</v>
      </c>
      <c r="H78" s="125">
        <f t="shared" si="64"/>
        <v>35</v>
      </c>
      <c r="I78" s="125">
        <f t="shared" si="60"/>
        <v>32</v>
      </c>
      <c r="J78" s="125">
        <f>G78*M$1</f>
        <v>1018.85</v>
      </c>
      <c r="K78" s="153">
        <f>I78*M$1</f>
        <v>931.52</v>
      </c>
      <c r="L78" s="125">
        <f t="shared" si="61"/>
        <v>105960.40000000001</v>
      </c>
      <c r="M78" s="125">
        <f t="shared" si="62"/>
        <v>3328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1018.85</v>
      </c>
      <c r="X78" s="182">
        <f>H78*$M$1</f>
        <v>1018.85</v>
      </c>
      <c r="Y78" s="255"/>
      <c r="Z78" s="255"/>
      <c r="AA78" s="255"/>
    </row>
    <row r="79" spans="1:27" s="124" customFormat="1" ht="13.5" customHeight="1" x14ac:dyDescent="0.25">
      <c r="A79" s="253"/>
      <c r="B79" s="295">
        <v>0</v>
      </c>
      <c r="C79" s="295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295">
        <v>4</v>
      </c>
      <c r="C80" s="295">
        <v>0</v>
      </c>
      <c r="D80" s="254">
        <f>'Data Ocupacion'!X36</f>
        <v>4</v>
      </c>
      <c r="E80" s="126">
        <f>'Data Ocupacion'!Y36</f>
        <v>0</v>
      </c>
      <c r="F80" s="125" t="s">
        <v>35</v>
      </c>
      <c r="G80" s="125">
        <f t="shared" si="63"/>
        <v>4</v>
      </c>
      <c r="H80" s="125">
        <f t="shared" si="64"/>
        <v>4</v>
      </c>
      <c r="I80" s="125">
        <f t="shared" si="60"/>
        <v>4</v>
      </c>
      <c r="J80" s="125">
        <f>G80*K$1</f>
        <v>101.6</v>
      </c>
      <c r="K80" s="153">
        <f>I80*K$1</f>
        <v>101.6</v>
      </c>
      <c r="L80" s="125">
        <f t="shared" si="61"/>
        <v>10566.4</v>
      </c>
      <c r="M80" s="125">
        <f t="shared" si="62"/>
        <v>416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101.6</v>
      </c>
      <c r="X80" s="182">
        <f>H80*$K$1</f>
        <v>101.6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140</v>
      </c>
      <c r="C81" s="119">
        <f>SUM(C75:C80)</f>
        <v>89</v>
      </c>
      <c r="D81" s="152">
        <f>SUM(D75:D80)</f>
        <v>140</v>
      </c>
      <c r="E81" s="152">
        <f>SUM(E75:E80)</f>
        <v>89</v>
      </c>
      <c r="F81" s="119"/>
      <c r="G81" s="119">
        <f t="shared" ref="G81:M81" si="65">SUM(G75:G80)</f>
        <v>318</v>
      </c>
      <c r="H81" s="119">
        <f t="shared" si="65"/>
        <v>318</v>
      </c>
      <c r="I81" s="119">
        <f t="shared" si="65"/>
        <v>229</v>
      </c>
      <c r="J81" s="120">
        <f t="shared" si="65"/>
        <v>12606.940000000002</v>
      </c>
      <c r="K81" s="119">
        <f t="shared" si="65"/>
        <v>8852.49</v>
      </c>
      <c r="L81" s="118">
        <f t="shared" si="65"/>
        <v>1311121.7599999998</v>
      </c>
      <c r="M81" s="151">
        <f t="shared" si="65"/>
        <v>23816</v>
      </c>
      <c r="N81" s="123">
        <f>'Odometro-Kilometraje'!L88</f>
        <v>12942</v>
      </c>
      <c r="O81" s="21">
        <f>(W81/N81)*100</f>
        <v>96.640086539947461</v>
      </c>
      <c r="P81" s="192"/>
      <c r="Q81" s="181"/>
      <c r="R81" s="181"/>
      <c r="S81" s="181"/>
      <c r="T81" s="181"/>
      <c r="U81" s="181"/>
      <c r="V81" s="181"/>
      <c r="W81" s="193">
        <f>SUM(W75:W80)</f>
        <v>12507.160000000002</v>
      </c>
      <c r="X81" s="193">
        <f>SUM(X75:X80)</f>
        <v>12606.940000000002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46185</v>
      </c>
      <c r="B82" s="295">
        <v>38</v>
      </c>
      <c r="C82" s="295">
        <v>41</v>
      </c>
      <c r="D82" s="126">
        <f>'Data Ocupacion'!Z31</f>
        <v>39</v>
      </c>
      <c r="E82" s="126">
        <f>'Data Ocupacion'!AA31</f>
        <v>40</v>
      </c>
      <c r="F82" s="125" t="s">
        <v>38</v>
      </c>
      <c r="G82" s="125">
        <f t="shared" ref="G82:G87" si="66">D82+E82*2</f>
        <v>119</v>
      </c>
      <c r="H82" s="125">
        <f>B82+C82*2</f>
        <v>120</v>
      </c>
      <c r="I82" s="125">
        <f t="shared" ref="I82:I87" si="67">D82+E82</f>
        <v>79</v>
      </c>
      <c r="J82" s="125">
        <f>G82*M$2</f>
        <v>5132.47</v>
      </c>
      <c r="K82" s="153">
        <f>I82*M$2</f>
        <v>3407.27</v>
      </c>
      <c r="L82" s="125">
        <f t="shared" ref="L82:L87" si="68">J82*104</f>
        <v>533776.88</v>
      </c>
      <c r="M82" s="125">
        <f t="shared" ref="M82:M87" si="69">I82*104</f>
        <v>8216</v>
      </c>
      <c r="N82" s="19"/>
      <c r="O82" s="19"/>
      <c r="P82" s="146"/>
      <c r="Q82" s="244">
        <v>3</v>
      </c>
      <c r="R82" s="183"/>
      <c r="S82" s="206"/>
      <c r="T82" s="285"/>
      <c r="U82" s="191"/>
      <c r="V82" s="228"/>
      <c r="W82" s="182">
        <f>J82-(Q82*($M$2-$K$1))-(R82*($M$2-$M$1))- (S82*($M$2-$I$2))+ (T82*($G$2))</f>
        <v>5079.2800000000007</v>
      </c>
      <c r="X82" s="182">
        <f>H82*$M$2</f>
        <v>5175.6000000000004</v>
      </c>
      <c r="Y82" s="255"/>
      <c r="Z82" s="255"/>
      <c r="AA82" s="255"/>
    </row>
    <row r="83" spans="1:30" ht="15" customHeight="1" x14ac:dyDescent="0.25">
      <c r="A83" s="347" t="s">
        <v>186</v>
      </c>
      <c r="B83" s="295">
        <v>36</v>
      </c>
      <c r="C83" s="295">
        <v>42</v>
      </c>
      <c r="D83" s="126">
        <f>'Data Ocupacion'!Z32</f>
        <v>38</v>
      </c>
      <c r="E83" s="126">
        <f>'Data Ocupacion'!AA32</f>
        <v>40</v>
      </c>
      <c r="F83" s="125" t="s">
        <v>52</v>
      </c>
      <c r="G83" s="125">
        <f t="shared" si="66"/>
        <v>118</v>
      </c>
      <c r="H83" s="125">
        <f t="shared" ref="H83:H87" si="70">B83+C83*2</f>
        <v>120</v>
      </c>
      <c r="I83" s="125">
        <f t="shared" si="67"/>
        <v>78</v>
      </c>
      <c r="J83" s="125">
        <f>G83*M$2</f>
        <v>5089.34</v>
      </c>
      <c r="K83" s="153">
        <f>I83*M$2</f>
        <v>3364.1400000000003</v>
      </c>
      <c r="L83" s="125">
        <f t="shared" si="68"/>
        <v>529291.36</v>
      </c>
      <c r="M83" s="125">
        <f t="shared" si="69"/>
        <v>8112</v>
      </c>
      <c r="N83" s="19"/>
      <c r="O83" s="19"/>
      <c r="P83" s="146"/>
      <c r="Q83" s="186"/>
      <c r="R83" s="186"/>
      <c r="S83" s="217"/>
      <c r="T83" s="183">
        <v>2</v>
      </c>
      <c r="U83" s="217"/>
      <c r="V83" s="206"/>
      <c r="W83" s="185">
        <f>J83-(T83*($M$2-$K$1)+(U83*($M$2-$M$1)))</f>
        <v>5053.88</v>
      </c>
      <c r="X83" s="182">
        <f>H83*$M$2</f>
        <v>5175.6000000000004</v>
      </c>
      <c r="Y83" s="255"/>
      <c r="Z83" s="255"/>
      <c r="AA83" s="255"/>
    </row>
    <row r="84" spans="1:30" ht="15" customHeight="1" x14ac:dyDescent="0.25">
      <c r="A84" s="347"/>
      <c r="B84" s="295">
        <v>33</v>
      </c>
      <c r="C84" s="295">
        <v>3</v>
      </c>
      <c r="D84" s="126">
        <f>'Data Ocupacion'!Z33</f>
        <v>32</v>
      </c>
      <c r="E84" s="126">
        <f>'Data Ocupacion'!AA33</f>
        <v>3</v>
      </c>
      <c r="F84" s="125" t="s">
        <v>36</v>
      </c>
      <c r="G84" s="125">
        <f t="shared" si="66"/>
        <v>38</v>
      </c>
      <c r="H84" s="125">
        <f t="shared" si="70"/>
        <v>39</v>
      </c>
      <c r="I84" s="125">
        <f t="shared" si="67"/>
        <v>35</v>
      </c>
      <c r="J84" s="125">
        <f>G84*M$1</f>
        <v>1106.18</v>
      </c>
      <c r="K84" s="153">
        <f>I84*M$1</f>
        <v>1018.85</v>
      </c>
      <c r="L84" s="125">
        <f t="shared" si="68"/>
        <v>115042.72</v>
      </c>
      <c r="M84" s="125">
        <f t="shared" si="69"/>
        <v>3640</v>
      </c>
      <c r="N84" s="19"/>
      <c r="O84" s="19"/>
      <c r="P84" s="146"/>
      <c r="Q84" s="244">
        <v>1</v>
      </c>
      <c r="R84" s="244">
        <v>2</v>
      </c>
      <c r="S84" s="228"/>
      <c r="T84" s="186"/>
      <c r="U84" s="189"/>
      <c r="V84" s="189"/>
      <c r="W84" s="182">
        <f>J84-(Q84*($M$1-$K$1))</f>
        <v>1102.47</v>
      </c>
      <c r="X84" s="182">
        <f>H84*$M$1</f>
        <v>1135.29</v>
      </c>
      <c r="Y84" s="255"/>
      <c r="Z84" s="255"/>
      <c r="AA84" s="255"/>
    </row>
    <row r="85" spans="1:30" ht="15" customHeight="1" x14ac:dyDescent="0.25">
      <c r="A85" s="347"/>
      <c r="B85" s="295">
        <v>29</v>
      </c>
      <c r="C85" s="295">
        <v>3</v>
      </c>
      <c r="D85" s="126">
        <f>'Data Ocupacion'!Z34</f>
        <v>29</v>
      </c>
      <c r="E85" s="126">
        <f>'Data Ocupacion'!AA34</f>
        <v>3</v>
      </c>
      <c r="F85" s="125" t="s">
        <v>53</v>
      </c>
      <c r="G85" s="125">
        <f t="shared" si="66"/>
        <v>35</v>
      </c>
      <c r="H85" s="125">
        <f t="shared" si="70"/>
        <v>35</v>
      </c>
      <c r="I85" s="125">
        <f t="shared" si="67"/>
        <v>32</v>
      </c>
      <c r="J85" s="125">
        <f>G85*M$1</f>
        <v>1018.85</v>
      </c>
      <c r="K85" s="153">
        <f>I85*M$1</f>
        <v>931.52</v>
      </c>
      <c r="L85" s="125">
        <f t="shared" si="68"/>
        <v>105960.40000000001</v>
      </c>
      <c r="M85" s="125">
        <f t="shared" si="69"/>
        <v>3328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1018.85</v>
      </c>
      <c r="X85" s="182">
        <f>H85*$M$1</f>
        <v>1018.85</v>
      </c>
      <c r="Y85" s="255"/>
      <c r="Z85" s="255"/>
      <c r="AA85" s="255"/>
    </row>
    <row r="86" spans="1:30" ht="15" customHeight="1" x14ac:dyDescent="0.25">
      <c r="A86" s="347"/>
      <c r="B86" s="295">
        <v>0</v>
      </c>
      <c r="C86" s="295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95">
        <v>4</v>
      </c>
      <c r="C87" s="295">
        <v>0</v>
      </c>
      <c r="D87" s="254">
        <f>'Data Ocupacion'!Z36</f>
        <v>4</v>
      </c>
      <c r="E87" s="126">
        <f>'Data Ocupacion'!AA36</f>
        <v>0</v>
      </c>
      <c r="F87" s="125" t="s">
        <v>35</v>
      </c>
      <c r="G87" s="125">
        <f t="shared" si="66"/>
        <v>4</v>
      </c>
      <c r="H87" s="125">
        <f t="shared" si="70"/>
        <v>4</v>
      </c>
      <c r="I87" s="125">
        <f t="shared" si="67"/>
        <v>4</v>
      </c>
      <c r="J87" s="125">
        <f>G87*K$1</f>
        <v>101.6</v>
      </c>
      <c r="K87" s="153">
        <f>I87*K$1</f>
        <v>101.6</v>
      </c>
      <c r="L87" s="125">
        <f t="shared" si="68"/>
        <v>10566.4</v>
      </c>
      <c r="M87" s="125">
        <f t="shared" si="69"/>
        <v>416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101.6</v>
      </c>
      <c r="X87" s="182">
        <f>H87*$K$1</f>
        <v>101.6</v>
      </c>
    </row>
    <row r="88" spans="1:30" s="124" customFormat="1" ht="15.75" thickBot="1" x14ac:dyDescent="0.3">
      <c r="A88" s="122"/>
      <c r="B88" s="119">
        <f>SUM(B82:B87)</f>
        <v>140</v>
      </c>
      <c r="C88" s="119">
        <f>SUM(C82:C87)</f>
        <v>89</v>
      </c>
      <c r="D88" s="152">
        <f>SUM(D82:D87)</f>
        <v>142</v>
      </c>
      <c r="E88" s="152">
        <f>SUM(E82:E87)</f>
        <v>86</v>
      </c>
      <c r="F88" s="119"/>
      <c r="G88" s="119">
        <f t="shared" ref="G88:M88" si="71">SUM(G82:G87)</f>
        <v>314</v>
      </c>
      <c r="H88" s="119">
        <f t="shared" si="71"/>
        <v>318</v>
      </c>
      <c r="I88" s="119">
        <f t="shared" si="71"/>
        <v>228</v>
      </c>
      <c r="J88" s="120">
        <f t="shared" si="71"/>
        <v>12448.440000000002</v>
      </c>
      <c r="K88" s="119">
        <f t="shared" si="71"/>
        <v>8823.380000000001</v>
      </c>
      <c r="L88" s="118">
        <f t="shared" si="71"/>
        <v>1294637.7599999998</v>
      </c>
      <c r="M88" s="151">
        <f t="shared" si="71"/>
        <v>23712</v>
      </c>
      <c r="N88" s="123">
        <f>'Odometro-Kilometraje'!M88</f>
        <v>12928</v>
      </c>
      <c r="O88" s="21">
        <f>(W88/N88)*100</f>
        <v>95.576113861386133</v>
      </c>
      <c r="P88" s="192"/>
      <c r="Q88" s="181"/>
      <c r="R88" s="181"/>
      <c r="S88" s="181"/>
      <c r="T88" s="181"/>
      <c r="U88" s="181"/>
      <c r="V88" s="181"/>
      <c r="W88" s="193">
        <f>SUM(W82:W87)</f>
        <v>12356.08</v>
      </c>
      <c r="X88" s="193">
        <f>SUM(X82:X87)</f>
        <v>12606.940000000002</v>
      </c>
      <c r="AA88" s="172"/>
    </row>
    <row r="89" spans="1:30" x14ac:dyDescent="0.25">
      <c r="A89" s="121">
        <f>A82+1</f>
        <v>46186</v>
      </c>
      <c r="B89" s="116">
        <v>69</v>
      </c>
      <c r="C89" s="116">
        <v>3</v>
      </c>
      <c r="D89" s="147">
        <f>'Data Ocupacion'!AB31</f>
        <v>69</v>
      </c>
      <c r="E89" s="147">
        <f>'Data Ocupacion'!AC31</f>
        <v>3</v>
      </c>
      <c r="F89" s="116" t="s">
        <v>38</v>
      </c>
      <c r="G89" s="116">
        <f t="shared" ref="G89:G94" si="72">D89+E89*2</f>
        <v>75</v>
      </c>
      <c r="H89" s="116">
        <f>B89+C89*2</f>
        <v>75</v>
      </c>
      <c r="I89" s="116">
        <f t="shared" ref="I89:I94" si="73">D89+E89</f>
        <v>72</v>
      </c>
      <c r="J89" s="116">
        <f>G89*M$2</f>
        <v>3234.75</v>
      </c>
      <c r="K89" s="153">
        <f>I89*M$2</f>
        <v>3105.36</v>
      </c>
      <c r="L89" s="116">
        <f t="shared" ref="L89:L94" si="74">J89*104</f>
        <v>336414</v>
      </c>
      <c r="M89" s="116">
        <f t="shared" ref="M89:M94" si="75">I89*104</f>
        <v>7488</v>
      </c>
      <c r="N89" s="19"/>
      <c r="O89" s="19"/>
      <c r="P89" s="146"/>
      <c r="Q89" s="183"/>
      <c r="R89" s="183"/>
      <c r="S89" s="206"/>
      <c r="T89" s="285"/>
      <c r="U89" s="191"/>
      <c r="V89" s="228"/>
      <c r="W89" s="182">
        <f>J89-(Q89*($M$2-$K$1))-(R89*($M$2-$M$1))- (S89*($M$2-$I$2))+ (T89*($G$2))</f>
        <v>3234.75</v>
      </c>
      <c r="X89" s="182">
        <f>H89*$M$2</f>
        <v>3234.75</v>
      </c>
    </row>
    <row r="90" spans="1:30" ht="17.25" customHeight="1" x14ac:dyDescent="0.25">
      <c r="A90" s="202"/>
      <c r="B90" s="116">
        <v>75</v>
      </c>
      <c r="C90" s="116">
        <v>0</v>
      </c>
      <c r="D90" s="147">
        <f>'Data Ocupacion'!AB32</f>
        <v>75</v>
      </c>
      <c r="E90" s="147">
        <f>'Data Ocupacion'!AC32</f>
        <v>0</v>
      </c>
      <c r="F90" s="116" t="s">
        <v>52</v>
      </c>
      <c r="G90" s="116">
        <f t="shared" si="72"/>
        <v>75</v>
      </c>
      <c r="H90" s="116">
        <f t="shared" ref="H90:H94" si="76">B90+C90*2</f>
        <v>75</v>
      </c>
      <c r="I90" s="116">
        <f t="shared" si="73"/>
        <v>75</v>
      </c>
      <c r="J90" s="116">
        <f>G90*M$2</f>
        <v>3234.75</v>
      </c>
      <c r="K90" s="153">
        <f>I90*M$2</f>
        <v>3234.75</v>
      </c>
      <c r="L90" s="116">
        <f t="shared" si="74"/>
        <v>336414</v>
      </c>
      <c r="M90" s="116">
        <f t="shared" si="75"/>
        <v>7800</v>
      </c>
      <c r="N90" s="19"/>
      <c r="O90" s="19"/>
      <c r="P90" s="146"/>
      <c r="Q90" s="186"/>
      <c r="R90" s="186"/>
      <c r="S90" s="217"/>
      <c r="T90" s="183"/>
      <c r="U90" s="217"/>
      <c r="V90" s="229"/>
      <c r="W90" s="185">
        <f>J90-(T90*($M$2-$K$1)+(U90*($M$2-$M$1)))</f>
        <v>3234.75</v>
      </c>
      <c r="X90" s="182">
        <f>H90*$M$2</f>
        <v>3234.75</v>
      </c>
    </row>
    <row r="91" spans="1:30" ht="14.45" customHeight="1" x14ac:dyDescent="0.25">
      <c r="A91" s="202"/>
      <c r="B91" s="116">
        <v>0</v>
      </c>
      <c r="C91" s="116">
        <v>0</v>
      </c>
      <c r="D91" s="147">
        <f>'Data Ocupacion'!AB33</f>
        <v>0</v>
      </c>
      <c r="E91" s="147">
        <f>'Data Ocupacion'!AC33</f>
        <v>0</v>
      </c>
      <c r="F91" s="116" t="s">
        <v>36</v>
      </c>
      <c r="G91" s="116">
        <f t="shared" si="72"/>
        <v>0</v>
      </c>
      <c r="H91" s="116">
        <f t="shared" si="76"/>
        <v>0</v>
      </c>
      <c r="I91" s="116">
        <f t="shared" si="73"/>
        <v>0</v>
      </c>
      <c r="J91" s="116">
        <f>G91*M$1</f>
        <v>0</v>
      </c>
      <c r="K91" s="153">
        <f>I91*M$1</f>
        <v>0</v>
      </c>
      <c r="L91" s="116">
        <f t="shared" si="74"/>
        <v>0</v>
      </c>
      <c r="M91" s="116">
        <f t="shared" si="75"/>
        <v>0</v>
      </c>
      <c r="N91" s="19"/>
      <c r="O91" s="19"/>
      <c r="P91" s="146"/>
      <c r="Q91" s="183"/>
      <c r="R91" s="190"/>
      <c r="S91" s="228"/>
      <c r="T91" s="186"/>
      <c r="U91" s="189"/>
      <c r="V91" s="189"/>
      <c r="W91" s="182">
        <f>J91-(Q91*($M$1-$K$1))</f>
        <v>0</v>
      </c>
      <c r="X91" s="182">
        <f>H91*$M$1</f>
        <v>0</v>
      </c>
    </row>
    <row r="92" spans="1:30" ht="15" customHeight="1" x14ac:dyDescent="0.25">
      <c r="A92" s="202"/>
      <c r="B92" s="116">
        <v>0</v>
      </c>
      <c r="C92" s="116">
        <v>0</v>
      </c>
      <c r="D92" s="147">
        <f>'Data Ocupacion'!AB34</f>
        <v>0</v>
      </c>
      <c r="E92" s="147">
        <f>'Data Ocupacion'!AC34</f>
        <v>0</v>
      </c>
      <c r="F92" s="116" t="s">
        <v>53</v>
      </c>
      <c r="G92" s="116">
        <f t="shared" si="72"/>
        <v>0</v>
      </c>
      <c r="H92" s="116">
        <f t="shared" si="76"/>
        <v>0</v>
      </c>
      <c r="I92" s="116">
        <f t="shared" si="73"/>
        <v>0</v>
      </c>
      <c r="J92" s="116">
        <f>G92*M$1</f>
        <v>0</v>
      </c>
      <c r="K92" s="153">
        <f>I92*M$1</f>
        <v>0</v>
      </c>
      <c r="L92" s="116">
        <f t="shared" si="74"/>
        <v>0</v>
      </c>
      <c r="M92" s="116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0</v>
      </c>
    </row>
    <row r="93" spans="1:30" ht="15" customHeight="1" x14ac:dyDescent="0.25">
      <c r="A93" s="202"/>
      <c r="B93" s="116">
        <v>0</v>
      </c>
      <c r="C93" s="116">
        <v>0</v>
      </c>
      <c r="D93" s="147">
        <f>'Data Ocupacion'!AB35</f>
        <v>0</v>
      </c>
      <c r="E93" s="147">
        <f>'Data Ocupacion'!AC35</f>
        <v>0</v>
      </c>
      <c r="F93" s="116" t="s">
        <v>122</v>
      </c>
      <c r="G93" s="116">
        <f t="shared" si="72"/>
        <v>0</v>
      </c>
      <c r="H93" s="116">
        <f t="shared" si="76"/>
        <v>0</v>
      </c>
      <c r="I93" s="116">
        <f t="shared" si="73"/>
        <v>0</v>
      </c>
      <c r="J93" s="116">
        <f>G93*K$1</f>
        <v>0</v>
      </c>
      <c r="K93" s="153">
        <f>I93*K$1</f>
        <v>0</v>
      </c>
      <c r="L93" s="116">
        <f t="shared" si="74"/>
        <v>0</v>
      </c>
      <c r="M93" s="116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116">
        <v>0</v>
      </c>
      <c r="C94" s="116">
        <v>0</v>
      </c>
      <c r="D94" s="341">
        <f>'Data Ocupacion'!AB36</f>
        <v>0</v>
      </c>
      <c r="E94" s="147">
        <f>'Data Ocupacion'!AC36</f>
        <v>0</v>
      </c>
      <c r="F94" s="116" t="s">
        <v>35</v>
      </c>
      <c r="G94" s="116">
        <f t="shared" si="72"/>
        <v>0</v>
      </c>
      <c r="H94" s="116">
        <f t="shared" si="76"/>
        <v>0</v>
      </c>
      <c r="I94" s="116">
        <f t="shared" si="73"/>
        <v>0</v>
      </c>
      <c r="J94" s="116">
        <f>G94*K$1</f>
        <v>0</v>
      </c>
      <c r="K94" s="153">
        <f>I94*K$1</f>
        <v>0</v>
      </c>
      <c r="L94" s="116">
        <f t="shared" si="74"/>
        <v>0</v>
      </c>
      <c r="M94" s="116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0</v>
      </c>
    </row>
    <row r="95" spans="1:30" s="124" customFormat="1" ht="15.75" thickBot="1" x14ac:dyDescent="0.3">
      <c r="A95" s="20"/>
      <c r="B95" s="119">
        <f>SUM(B89:B94)</f>
        <v>144</v>
      </c>
      <c r="C95" s="119">
        <f>SUM(C89:C94)</f>
        <v>3</v>
      </c>
      <c r="D95" s="152">
        <f>SUM(D89:D94)</f>
        <v>144</v>
      </c>
      <c r="E95" s="152">
        <f>SUM(E89:E94)</f>
        <v>3</v>
      </c>
      <c r="F95" s="119"/>
      <c r="G95" s="119">
        <f t="shared" ref="G95:M95" si="77">SUM(G89:G94)</f>
        <v>150</v>
      </c>
      <c r="H95" s="119">
        <f t="shared" si="77"/>
        <v>150</v>
      </c>
      <c r="I95" s="119">
        <f t="shared" si="77"/>
        <v>147</v>
      </c>
      <c r="J95" s="120">
        <f t="shared" si="77"/>
        <v>6469.5</v>
      </c>
      <c r="K95" s="119">
        <f t="shared" si="77"/>
        <v>6340.1100000000006</v>
      </c>
      <c r="L95" s="118">
        <f t="shared" si="77"/>
        <v>672828</v>
      </c>
      <c r="M95" s="151">
        <f t="shared" si="77"/>
        <v>15288</v>
      </c>
      <c r="N95" s="123">
        <f>'Odometro-Kilometraje'!N88</f>
        <v>6570</v>
      </c>
      <c r="O95" s="21">
        <f>(W95/N95)*100</f>
        <v>98.470319634703202</v>
      </c>
      <c r="P95" s="192"/>
      <c r="Q95" s="249"/>
      <c r="R95" s="249"/>
      <c r="S95" s="249"/>
      <c r="T95" s="249"/>
      <c r="U95" s="181"/>
      <c r="V95" s="181"/>
      <c r="W95" s="193">
        <f>SUM(W89:W94)</f>
        <v>6469.5</v>
      </c>
      <c r="X95" s="193">
        <f>SUM(X89:X94)</f>
        <v>6469.5</v>
      </c>
    </row>
    <row r="96" spans="1:30" ht="17.25" customHeight="1" x14ac:dyDescent="0.25">
      <c r="A96" s="60">
        <f>A89+1</f>
        <v>46187</v>
      </c>
      <c r="B96" s="218">
        <v>51</v>
      </c>
      <c r="C96" s="218">
        <v>3</v>
      </c>
      <c r="D96" s="138">
        <f>'Data Ocupacion'!AD31</f>
        <v>51</v>
      </c>
      <c r="E96" s="138">
        <f>'Data Ocupacion'!AE31</f>
        <v>3</v>
      </c>
      <c r="F96" s="218" t="s">
        <v>38</v>
      </c>
      <c r="G96" s="218">
        <f t="shared" ref="G96:G101" si="78">D96+E96*2</f>
        <v>57</v>
      </c>
      <c r="H96" s="218">
        <f>B96+C96*2</f>
        <v>57</v>
      </c>
      <c r="I96" s="218">
        <f>D96+E96</f>
        <v>54</v>
      </c>
      <c r="J96" s="218">
        <f>G96*M$2</f>
        <v>2458.4100000000003</v>
      </c>
      <c r="K96" s="153">
        <f>I96*M$2</f>
        <v>2329.02</v>
      </c>
      <c r="L96" s="218">
        <f t="shared" ref="L96:L101" si="79">J96*104</f>
        <v>255674.64000000004</v>
      </c>
      <c r="M96" s="218">
        <f t="shared" ref="M96:M101" si="80">I96*104</f>
        <v>5616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2458.4100000000003</v>
      </c>
      <c r="X96" s="182">
        <f>H96*$M$2</f>
        <v>2458.4100000000003</v>
      </c>
    </row>
    <row r="97" spans="1:30" ht="15" customHeight="1" x14ac:dyDescent="0.25">
      <c r="A97" s="276"/>
      <c r="B97" s="218">
        <v>57</v>
      </c>
      <c r="C97" s="218">
        <v>0</v>
      </c>
      <c r="D97" s="138">
        <f>'Data Ocupacion'!AD32</f>
        <v>57</v>
      </c>
      <c r="E97" s="138">
        <f>'Data Ocupacion'!AE32</f>
        <v>0</v>
      </c>
      <c r="F97" s="218" t="s">
        <v>52</v>
      </c>
      <c r="G97" s="218">
        <f t="shared" si="78"/>
        <v>57</v>
      </c>
      <c r="H97" s="218">
        <f t="shared" ref="H97:H101" si="81">B97+C97*2</f>
        <v>57</v>
      </c>
      <c r="I97" s="218">
        <f t="shared" ref="I97:I101" si="82">D97+E97</f>
        <v>57</v>
      </c>
      <c r="J97" s="218">
        <f>G97*M$2</f>
        <v>2458.4100000000003</v>
      </c>
      <c r="K97" s="153">
        <f>I97*M$2</f>
        <v>2458.4100000000003</v>
      </c>
      <c r="L97" s="218">
        <f t="shared" si="79"/>
        <v>255674.64000000004</v>
      </c>
      <c r="M97" s="218">
        <f t="shared" si="80"/>
        <v>5928</v>
      </c>
      <c r="N97" s="19"/>
      <c r="O97" s="19"/>
      <c r="P97" s="146"/>
      <c r="Q97" s="186"/>
      <c r="R97" s="186"/>
      <c r="S97" s="217"/>
      <c r="T97" s="183"/>
      <c r="U97" s="217"/>
      <c r="V97" s="206"/>
      <c r="W97" s="185">
        <f>J97-(T97*($M$2-$K$1)+(U97*($M$2-$M$1)))</f>
        <v>2458.4100000000003</v>
      </c>
      <c r="X97" s="182">
        <f>H97*$M$2</f>
        <v>2458.4100000000003</v>
      </c>
    </row>
    <row r="98" spans="1:30" ht="15" customHeight="1" x14ac:dyDescent="0.25">
      <c r="A98" s="253"/>
      <c r="B98" s="218">
        <v>0</v>
      </c>
      <c r="C98" s="218">
        <v>0</v>
      </c>
      <c r="D98" s="138">
        <f>'Data Ocupacion'!AD33</f>
        <v>0</v>
      </c>
      <c r="E98" s="138">
        <f>'Data Ocupacion'!AE33</f>
        <v>0</v>
      </c>
      <c r="F98" s="218" t="s">
        <v>36</v>
      </c>
      <c r="G98" s="218">
        <f t="shared" si="78"/>
        <v>0</v>
      </c>
      <c r="H98" s="218">
        <f t="shared" si="81"/>
        <v>0</v>
      </c>
      <c r="I98" s="218">
        <f t="shared" si="82"/>
        <v>0</v>
      </c>
      <c r="J98" s="218">
        <f>G98*M$1</f>
        <v>0</v>
      </c>
      <c r="K98" s="153">
        <f>I98*M$1</f>
        <v>0</v>
      </c>
      <c r="L98" s="218">
        <f t="shared" si="79"/>
        <v>0</v>
      </c>
      <c r="M98" s="218">
        <f t="shared" si="80"/>
        <v>0</v>
      </c>
      <c r="N98" s="19"/>
      <c r="O98" s="19"/>
      <c r="P98" s="146"/>
      <c r="Q98" s="244"/>
      <c r="R98" s="190"/>
      <c r="S98" s="228"/>
      <c r="T98" s="186"/>
      <c r="U98" s="189"/>
      <c r="V98" s="189"/>
      <c r="W98" s="182">
        <f>J98-(Q98*($M$1-$K$1))</f>
        <v>0</v>
      </c>
      <c r="X98" s="182">
        <f>H98*$M$1</f>
        <v>0</v>
      </c>
    </row>
    <row r="99" spans="1:30" ht="15" customHeight="1" x14ac:dyDescent="0.25">
      <c r="A99" s="253"/>
      <c r="B99" s="218">
        <v>0</v>
      </c>
      <c r="C99" s="218">
        <v>0</v>
      </c>
      <c r="D99" s="138">
        <f>'Data Ocupacion'!AD34</f>
        <v>0</v>
      </c>
      <c r="E99" s="138">
        <f>'Data Ocupacion'!AE34</f>
        <v>0</v>
      </c>
      <c r="F99" s="218" t="s">
        <v>53</v>
      </c>
      <c r="G99" s="218">
        <f t="shared" si="78"/>
        <v>0</v>
      </c>
      <c r="H99" s="218">
        <f t="shared" si="81"/>
        <v>0</v>
      </c>
      <c r="I99" s="218">
        <f t="shared" si="82"/>
        <v>0</v>
      </c>
      <c r="J99" s="218">
        <f>G99*M$1</f>
        <v>0</v>
      </c>
      <c r="K99" s="153">
        <f>I99*M$1</f>
        <v>0</v>
      </c>
      <c r="L99" s="218">
        <f t="shared" si="79"/>
        <v>0</v>
      </c>
      <c r="M99" s="218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0</v>
      </c>
    </row>
    <row r="100" spans="1:30" ht="15" customHeight="1" x14ac:dyDescent="0.25">
      <c r="A100" s="253"/>
      <c r="B100" s="218">
        <v>0</v>
      </c>
      <c r="C100" s="218">
        <v>0</v>
      </c>
      <c r="D100" s="138">
        <f>'Data Ocupacion'!AD35</f>
        <v>0</v>
      </c>
      <c r="E100" s="138">
        <f>'Data Ocupacion'!AE35</f>
        <v>0</v>
      </c>
      <c r="F100" s="218" t="s">
        <v>122</v>
      </c>
      <c r="G100" s="218">
        <f t="shared" si="78"/>
        <v>0</v>
      </c>
      <c r="H100" s="218">
        <f t="shared" si="81"/>
        <v>0</v>
      </c>
      <c r="I100" s="218">
        <f t="shared" si="82"/>
        <v>0</v>
      </c>
      <c r="J100" s="218">
        <f>G100*K$1</f>
        <v>0</v>
      </c>
      <c r="K100" s="153">
        <f>I100*K$1</f>
        <v>0</v>
      </c>
      <c r="L100" s="218">
        <f t="shared" si="79"/>
        <v>0</v>
      </c>
      <c r="M100" s="218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18">
        <v>0</v>
      </c>
      <c r="C101" s="218">
        <v>0</v>
      </c>
      <c r="D101" s="138">
        <f>'Data Ocupacion'!AD36</f>
        <v>0</v>
      </c>
      <c r="E101" s="138">
        <f>'Data Ocupacion'!AE36</f>
        <v>0</v>
      </c>
      <c r="F101" s="218" t="s">
        <v>35</v>
      </c>
      <c r="G101" s="218">
        <f t="shared" si="78"/>
        <v>0</v>
      </c>
      <c r="H101" s="218">
        <f t="shared" si="81"/>
        <v>0</v>
      </c>
      <c r="I101" s="218">
        <f t="shared" si="82"/>
        <v>0</v>
      </c>
      <c r="J101" s="218">
        <f>G101*K$1</f>
        <v>0</v>
      </c>
      <c r="K101" s="153">
        <f>I101*K$1</f>
        <v>0</v>
      </c>
      <c r="L101" s="218">
        <f t="shared" si="79"/>
        <v>0</v>
      </c>
      <c r="M101" s="218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0</v>
      </c>
    </row>
    <row r="102" spans="1:30" s="124" customFormat="1" ht="15" customHeight="1" thickBot="1" x14ac:dyDescent="0.3">
      <c r="A102" s="20"/>
      <c r="B102" s="119">
        <f>SUM(B96:B101)</f>
        <v>108</v>
      </c>
      <c r="C102" s="119">
        <f>SUM(C96:C101)</f>
        <v>3</v>
      </c>
      <c r="D102" s="152">
        <f>SUM(D96:D101)</f>
        <v>108</v>
      </c>
      <c r="E102" s="152">
        <f>SUM(E96:E101)</f>
        <v>3</v>
      </c>
      <c r="F102" s="119"/>
      <c r="G102" s="119">
        <f t="shared" ref="G102:M102" si="83">SUM(G96:G101)</f>
        <v>114</v>
      </c>
      <c r="H102" s="119">
        <f t="shared" si="83"/>
        <v>114</v>
      </c>
      <c r="I102" s="119">
        <f t="shared" si="83"/>
        <v>111</v>
      </c>
      <c r="J102" s="120">
        <f t="shared" si="83"/>
        <v>4916.8200000000006</v>
      </c>
      <c r="K102" s="119">
        <f t="shared" si="83"/>
        <v>4787.43</v>
      </c>
      <c r="L102" s="118">
        <f t="shared" si="83"/>
        <v>511349.28000000009</v>
      </c>
      <c r="M102" s="151">
        <f t="shared" si="83"/>
        <v>11544</v>
      </c>
      <c r="N102" s="123">
        <f>'Odometro-Kilometraje'!O88</f>
        <v>4994</v>
      </c>
      <c r="O102" s="21">
        <f>(W102/N102)*100</f>
        <v>98.454545454545467</v>
      </c>
      <c r="P102" s="192"/>
      <c r="Q102" s="181"/>
      <c r="R102" s="181"/>
      <c r="S102" s="181"/>
      <c r="T102" s="181"/>
      <c r="U102" s="181"/>
      <c r="V102" s="181"/>
      <c r="W102" s="193">
        <f>SUM(W96:W101)</f>
        <v>4916.8200000000006</v>
      </c>
      <c r="X102" s="193">
        <f>SUM(X96:X101)</f>
        <v>4916.8200000000006</v>
      </c>
      <c r="AA102" s="172"/>
      <c r="AD102"/>
    </row>
    <row r="103" spans="1:30" ht="16.149999999999999" customHeight="1" x14ac:dyDescent="0.25">
      <c r="A103" s="60">
        <f>A96+1</f>
        <v>46188</v>
      </c>
      <c r="B103" s="295">
        <v>38</v>
      </c>
      <c r="C103" s="295">
        <v>41</v>
      </c>
      <c r="D103" s="138">
        <f>'Data Ocupacion'!AF31</f>
        <v>39</v>
      </c>
      <c r="E103" s="138">
        <f>'Data Ocupacion'!AG31</f>
        <v>40</v>
      </c>
      <c r="F103" s="125" t="s">
        <v>38</v>
      </c>
      <c r="G103" s="125">
        <f t="shared" ref="G103:G108" si="84">D103+E103*2</f>
        <v>119</v>
      </c>
      <c r="H103" s="125">
        <f>B103+C103*2</f>
        <v>120</v>
      </c>
      <c r="I103" s="125">
        <f t="shared" ref="I103:I108" si="85">D103+E103</f>
        <v>79</v>
      </c>
      <c r="J103" s="125">
        <f>G103*M$2</f>
        <v>5132.47</v>
      </c>
      <c r="K103" s="153">
        <f>I103*M$2</f>
        <v>3407.27</v>
      </c>
      <c r="L103" s="125">
        <f t="shared" ref="L103:L108" si="86">J103*104</f>
        <v>533776.88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5097.01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37</v>
      </c>
      <c r="E104" s="138">
        <f>'Data Ocupacion'!AG32</f>
        <v>41</v>
      </c>
      <c r="F104" s="125" t="s">
        <v>52</v>
      </c>
      <c r="G104" s="125">
        <f t="shared" si="84"/>
        <v>119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5132.47</v>
      </c>
      <c r="K104" s="153">
        <f>I104*M$2</f>
        <v>3364.1400000000003</v>
      </c>
      <c r="L104" s="125">
        <f t="shared" si="86"/>
        <v>533776.88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3</v>
      </c>
      <c r="U104" s="184"/>
      <c r="V104" s="229"/>
      <c r="W104" s="185">
        <f>J104-(T104*($M$2-$K$1)+(U104*($M$2-$M$1)))</f>
        <v>5079.2800000000007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26">
        <f>'Data Ocupacion'!AF33</f>
        <v>33</v>
      </c>
      <c r="E105" s="126">
        <f>'Data Ocupacion'!AG33</f>
        <v>3</v>
      </c>
      <c r="F105" s="125" t="s">
        <v>36</v>
      </c>
      <c r="G105" s="125">
        <f t="shared" si="84"/>
        <v>39</v>
      </c>
      <c r="H105" s="125">
        <f t="shared" si="88"/>
        <v>39</v>
      </c>
      <c r="I105" s="125">
        <f t="shared" si="85"/>
        <v>36</v>
      </c>
      <c r="J105" s="125">
        <f>G105*M$1</f>
        <v>1135.29</v>
      </c>
      <c r="K105" s="153">
        <f>I105*M$1</f>
        <v>1047.96</v>
      </c>
      <c r="L105" s="125">
        <f t="shared" si="86"/>
        <v>118070.16</v>
      </c>
      <c r="M105" s="125">
        <f t="shared" si="87"/>
        <v>3744</v>
      </c>
      <c r="N105" s="19"/>
      <c r="O105" s="19"/>
      <c r="P105" s="146"/>
      <c r="Q105" s="244">
        <v>3</v>
      </c>
      <c r="R105" s="187"/>
      <c r="S105" s="207"/>
      <c r="T105" s="188"/>
      <c r="U105" s="189"/>
      <c r="V105" s="189"/>
      <c r="W105" s="182">
        <f>J105-(Q105*($M$1-$K$1))</f>
        <v>1124.1599999999999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26">
        <f>'Data Ocupacion'!AF34</f>
        <v>29</v>
      </c>
      <c r="E106" s="126">
        <f>'Data Ocupacion'!AG34</f>
        <v>3</v>
      </c>
      <c r="F106" s="125" t="s">
        <v>53</v>
      </c>
      <c r="G106" s="125">
        <f t="shared" si="84"/>
        <v>35</v>
      </c>
      <c r="H106" s="125">
        <f t="shared" si="88"/>
        <v>35</v>
      </c>
      <c r="I106" s="125">
        <f t="shared" si="85"/>
        <v>32</v>
      </c>
      <c r="J106" s="125">
        <f>G106*M$1</f>
        <v>1018.85</v>
      </c>
      <c r="K106" s="153">
        <f>I106*M$1</f>
        <v>931.52</v>
      </c>
      <c r="L106" s="125">
        <f t="shared" si="86"/>
        <v>105960.40000000001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1018.85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142</v>
      </c>
      <c r="E109" s="152">
        <f>SUM(E103:E108)</f>
        <v>87</v>
      </c>
      <c r="F109" s="119"/>
      <c r="G109" s="119">
        <f t="shared" ref="G109:M109" si="89">SUM(G103:G108)</f>
        <v>316</v>
      </c>
      <c r="H109" s="119">
        <f t="shared" si="89"/>
        <v>318</v>
      </c>
      <c r="I109" s="119">
        <f t="shared" si="89"/>
        <v>229</v>
      </c>
      <c r="J109" s="120">
        <f t="shared" si="89"/>
        <v>12520.68</v>
      </c>
      <c r="K109" s="119">
        <f t="shared" si="89"/>
        <v>8852.49</v>
      </c>
      <c r="L109" s="118">
        <f t="shared" si="89"/>
        <v>1302150.7199999997</v>
      </c>
      <c r="M109" s="151">
        <f t="shared" si="89"/>
        <v>23816</v>
      </c>
      <c r="N109" s="123">
        <f>'Odometro-Kilometraje'!P88</f>
        <v>13022</v>
      </c>
      <c r="O109" s="21">
        <f>(W109/N109)*100</f>
        <v>95.383965596682557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12420.900000000001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46189</v>
      </c>
      <c r="B110" s="295">
        <v>38</v>
      </c>
      <c r="C110" s="295">
        <v>41</v>
      </c>
      <c r="D110" s="138">
        <f>'Data Ocupacion'!AH31</f>
        <v>39</v>
      </c>
      <c r="E110" s="138">
        <f>'Data Ocupacion'!AI31</f>
        <v>40</v>
      </c>
      <c r="F110" s="220" t="s">
        <v>38</v>
      </c>
      <c r="G110" s="221">
        <f t="shared" ref="G110:G115" si="90">D110+E110*2</f>
        <v>119</v>
      </c>
      <c r="H110" s="125">
        <f>B110+C110*2</f>
        <v>120</v>
      </c>
      <c r="I110" s="222">
        <f t="shared" ref="I110:I115" si="91">D110+E110</f>
        <v>79</v>
      </c>
      <c r="J110" s="222">
        <f>G110*M$2</f>
        <v>5132.47</v>
      </c>
      <c r="K110" s="153">
        <f>I110*M$2</f>
        <v>3407.27</v>
      </c>
      <c r="L110" s="125">
        <f t="shared" ref="L110:L115" si="92">J110*104</f>
        <v>533776.88</v>
      </c>
      <c r="M110" s="125">
        <f t="shared" ref="M110:M115" si="93">I110*104</f>
        <v>8216</v>
      </c>
      <c r="N110" s="19"/>
      <c r="O110" s="19"/>
      <c r="P110" s="146"/>
      <c r="Q110" s="183">
        <v>2</v>
      </c>
      <c r="R110" s="183"/>
      <c r="S110" s="206"/>
      <c r="T110" s="244"/>
      <c r="U110" s="191"/>
      <c r="V110" s="228"/>
      <c r="W110" s="182">
        <f>J110-(Q110*($M$2-$K$1))-(R110*($M$2-$M$1))- (S110*($M$2-$I$2))+ (T110*($G$2))</f>
        <v>5097.01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38">
        <f>'Data Ocupacion'!AH32</f>
        <v>37</v>
      </c>
      <c r="E111" s="138">
        <f>'Data Ocupacion'!AI32</f>
        <v>41</v>
      </c>
      <c r="F111" s="220" t="s">
        <v>52</v>
      </c>
      <c r="G111" s="221">
        <f t="shared" si="90"/>
        <v>119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5132.47</v>
      </c>
      <c r="K111" s="153">
        <f>I111*M$2</f>
        <v>3364.1400000000003</v>
      </c>
      <c r="L111" s="125">
        <f t="shared" si="92"/>
        <v>533776.88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>
        <v>3</v>
      </c>
      <c r="U111" s="204"/>
      <c r="V111" s="229"/>
      <c r="W111" s="185">
        <f>J111-(T111*($M$2-$K$1)+(U111*($M$2-$M$1)))</f>
        <v>5079.2800000000007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Ocupacion'!AH33</f>
        <v>33</v>
      </c>
      <c r="E112" s="126">
        <f>'Data Ocupacion'!AI33</f>
        <v>3</v>
      </c>
      <c r="F112" s="220" t="s">
        <v>36</v>
      </c>
      <c r="G112" s="221">
        <f t="shared" si="90"/>
        <v>39</v>
      </c>
      <c r="H112" s="125">
        <f t="shared" si="94"/>
        <v>39</v>
      </c>
      <c r="I112" s="125">
        <f t="shared" si="91"/>
        <v>36</v>
      </c>
      <c r="J112" s="125">
        <f>G112*M$1</f>
        <v>1135.29</v>
      </c>
      <c r="K112" s="153">
        <f>I112*M$1</f>
        <v>1047.96</v>
      </c>
      <c r="L112" s="125">
        <f t="shared" si="92"/>
        <v>118070.16</v>
      </c>
      <c r="M112" s="125">
        <f t="shared" si="93"/>
        <v>3744</v>
      </c>
      <c r="N112" s="19"/>
      <c r="O112" s="19"/>
      <c r="P112" s="146"/>
      <c r="Q112" s="183">
        <v>3</v>
      </c>
      <c r="R112" s="187"/>
      <c r="S112" s="207"/>
      <c r="T112" s="188"/>
      <c r="U112" s="189"/>
      <c r="V112" s="189"/>
      <c r="W112" s="182">
        <f>J112-(Q112*($M$1-$K$1))</f>
        <v>1124.1599999999999</v>
      </c>
      <c r="X112" s="182">
        <f>H112*$M$1</f>
        <v>1135.29</v>
      </c>
    </row>
    <row r="113" spans="1:28" ht="16.149999999999999" customHeight="1" x14ac:dyDescent="0.25">
      <c r="A113" s="202"/>
      <c r="B113" s="295">
        <v>29</v>
      </c>
      <c r="C113" s="295">
        <v>3</v>
      </c>
      <c r="D113" s="126">
        <f>'Data Ocupacion'!AH34</f>
        <v>29</v>
      </c>
      <c r="E113" s="126">
        <f>'Data Ocupacion'!AI34</f>
        <v>3</v>
      </c>
      <c r="F113" s="220" t="s">
        <v>53</v>
      </c>
      <c r="G113" s="221">
        <f t="shared" si="90"/>
        <v>35</v>
      </c>
      <c r="H113" s="125">
        <f t="shared" si="94"/>
        <v>35</v>
      </c>
      <c r="I113" s="125">
        <f t="shared" si="91"/>
        <v>32</v>
      </c>
      <c r="J113" s="125">
        <f>G113*M$1</f>
        <v>1018.85</v>
      </c>
      <c r="K113" s="153">
        <f>I113*M$1</f>
        <v>931.52</v>
      </c>
      <c r="L113" s="125">
        <f t="shared" si="92"/>
        <v>105960.40000000001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1018.85</v>
      </c>
      <c r="X113" s="182">
        <f>H113*$M$1</f>
        <v>1018.85</v>
      </c>
    </row>
    <row r="114" spans="1:28" ht="15" customHeight="1" x14ac:dyDescent="0.25">
      <c r="A114" s="202"/>
      <c r="B114" s="295">
        <v>0</v>
      </c>
      <c r="C114" s="295">
        <v>0</v>
      </c>
      <c r="D114" s="126">
        <f>'Data Ocupacion'!AH35</f>
        <v>0</v>
      </c>
      <c r="E114" s="126">
        <f>'Data Ocupacion'!AI35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2"/>
      <c r="B115" s="295">
        <v>4</v>
      </c>
      <c r="C115" s="295">
        <v>0</v>
      </c>
      <c r="D115" s="295">
        <f>'Data Ocupacion'!AH36</f>
        <v>4</v>
      </c>
      <c r="E115" s="295">
        <f>'Data Ocupacion'!AI36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142</v>
      </c>
      <c r="E116" s="152">
        <f>SUM(E110:E115)</f>
        <v>87</v>
      </c>
      <c r="F116" s="119"/>
      <c r="G116" s="119">
        <f t="shared" ref="G116:M116" si="95">SUM(G110:G115)</f>
        <v>316</v>
      </c>
      <c r="H116" s="119">
        <f t="shared" si="95"/>
        <v>318</v>
      </c>
      <c r="I116" s="119">
        <f t="shared" si="95"/>
        <v>229</v>
      </c>
      <c r="J116" s="120">
        <f t="shared" si="95"/>
        <v>12520.68</v>
      </c>
      <c r="K116" s="119">
        <f t="shared" si="95"/>
        <v>8852.49</v>
      </c>
      <c r="L116" s="119">
        <f t="shared" si="95"/>
        <v>1302150.7199999997</v>
      </c>
      <c r="M116" s="119">
        <f t="shared" si="95"/>
        <v>23816</v>
      </c>
      <c r="N116" s="123">
        <f>'Odometro-Kilometraje'!Q88</f>
        <v>12925</v>
      </c>
      <c r="O116" s="21">
        <f>(W116/N116)*100</f>
        <v>96.099806576402329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12420.900000000001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46190</v>
      </c>
      <c r="B117" s="295">
        <v>38</v>
      </c>
      <c r="C117" s="295">
        <v>41</v>
      </c>
      <c r="D117" s="138">
        <f>'Data Ocupacion'!AJ31</f>
        <v>37</v>
      </c>
      <c r="E117" s="138">
        <f>'Data Ocupacion'!AK31</f>
        <v>42</v>
      </c>
      <c r="F117" s="220" t="s">
        <v>38</v>
      </c>
      <c r="G117" s="221">
        <f t="shared" ref="G117:G122" si="96">D117+E117*2</f>
        <v>121</v>
      </c>
      <c r="H117" s="125">
        <f>B117+C117*2</f>
        <v>120</v>
      </c>
      <c r="I117" s="222">
        <f t="shared" ref="I117:I122" si="97">D117+E117</f>
        <v>79</v>
      </c>
      <c r="J117" s="222">
        <f>G117*M$2</f>
        <v>5218.7300000000005</v>
      </c>
      <c r="K117" s="153">
        <f>I117*M$2</f>
        <v>3407.27</v>
      </c>
      <c r="L117" s="125">
        <f t="shared" ref="L117:L122" si="98">J117*104</f>
        <v>542747.92000000004</v>
      </c>
      <c r="M117" s="125">
        <f t="shared" ref="M117:M122" si="99">I117*104</f>
        <v>8216</v>
      </c>
      <c r="N117" s="19"/>
      <c r="O117" s="19"/>
      <c r="P117" s="146"/>
      <c r="Q117" s="183">
        <v>2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5183.2700000000004</v>
      </c>
      <c r="X117" s="182">
        <f>H117*$M$2</f>
        <v>5175.6000000000004</v>
      </c>
    </row>
    <row r="118" spans="1:28" ht="15" customHeight="1" x14ac:dyDescent="0.25">
      <c r="A118" s="253"/>
      <c r="B118" s="295">
        <v>36</v>
      </c>
      <c r="C118" s="295">
        <v>42</v>
      </c>
      <c r="D118" s="126">
        <f>'Data Ocupacion'!AJ32</f>
        <v>35</v>
      </c>
      <c r="E118" s="126">
        <f>'Data Ocupacion'!AK32</f>
        <v>43</v>
      </c>
      <c r="F118" s="220" t="s">
        <v>52</v>
      </c>
      <c r="G118" s="221">
        <f t="shared" si="96"/>
        <v>121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5218.7300000000005</v>
      </c>
      <c r="K118" s="153">
        <f>I118*M$2</f>
        <v>3364.1400000000003</v>
      </c>
      <c r="L118" s="125">
        <f t="shared" si="98"/>
        <v>542747.92000000004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3</v>
      </c>
      <c r="U118" s="217"/>
      <c r="V118" s="229"/>
      <c r="W118" s="185">
        <f>J118-(T118*($M$2-$K$1)+(U118*($M$2-$M$1)))</f>
        <v>5165.5400000000009</v>
      </c>
      <c r="X118" s="182">
        <f>H118*$M$2</f>
        <v>5175.6000000000004</v>
      </c>
      <c r="Y118" s="172"/>
    </row>
    <row r="119" spans="1:28" ht="15" customHeight="1" x14ac:dyDescent="0.25">
      <c r="A119" s="253"/>
      <c r="B119" s="295">
        <v>33</v>
      </c>
      <c r="C119" s="295">
        <v>3</v>
      </c>
      <c r="D119" s="126">
        <f>'Data Ocupacion'!AJ33</f>
        <v>33</v>
      </c>
      <c r="E119" s="126">
        <f>'Data Ocupacion'!AK33</f>
        <v>3</v>
      </c>
      <c r="F119" s="220" t="s">
        <v>36</v>
      </c>
      <c r="G119" s="221">
        <f t="shared" si="96"/>
        <v>39</v>
      </c>
      <c r="H119" s="125">
        <f t="shared" si="100"/>
        <v>39</v>
      </c>
      <c r="I119" s="125">
        <f t="shared" si="97"/>
        <v>36</v>
      </c>
      <c r="J119" s="125">
        <f>G119*M$1</f>
        <v>1135.29</v>
      </c>
      <c r="K119" s="153">
        <f>I119*M$1</f>
        <v>1047.96</v>
      </c>
      <c r="L119" s="125">
        <f t="shared" si="98"/>
        <v>118070.16</v>
      </c>
      <c r="M119" s="125">
        <f t="shared" si="99"/>
        <v>3744</v>
      </c>
      <c r="N119" s="19"/>
      <c r="O119" s="19"/>
      <c r="P119" s="146"/>
      <c r="Q119" s="244">
        <v>3</v>
      </c>
      <c r="R119" s="190"/>
      <c r="S119" s="228"/>
      <c r="T119" s="186"/>
      <c r="U119" s="189"/>
      <c r="V119" s="189"/>
      <c r="W119" s="182">
        <f>J119-(Q119*($M$1-$K$1))</f>
        <v>1124.1599999999999</v>
      </c>
      <c r="X119" s="182">
        <f>H119*$M$1</f>
        <v>1135.29</v>
      </c>
    </row>
    <row r="120" spans="1:28" ht="15" customHeight="1" x14ac:dyDescent="0.25">
      <c r="A120" s="253"/>
      <c r="B120" s="295">
        <v>29</v>
      </c>
      <c r="C120" s="295">
        <v>3</v>
      </c>
      <c r="D120" s="126">
        <f>'Data Ocupacion'!AJ34</f>
        <v>29</v>
      </c>
      <c r="E120" s="126">
        <f>'Data Ocupacion'!AK34</f>
        <v>3</v>
      </c>
      <c r="F120" s="220" t="s">
        <v>53</v>
      </c>
      <c r="G120" s="221">
        <f t="shared" si="96"/>
        <v>35</v>
      </c>
      <c r="H120" s="125">
        <f t="shared" si="100"/>
        <v>35</v>
      </c>
      <c r="I120" s="125">
        <f t="shared" si="97"/>
        <v>32</v>
      </c>
      <c r="J120" s="125">
        <f>G120*M$1</f>
        <v>1018.85</v>
      </c>
      <c r="K120" s="153">
        <f>I120*M$1</f>
        <v>931.52</v>
      </c>
      <c r="L120" s="125">
        <f t="shared" si="98"/>
        <v>105960.40000000001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1018.85</v>
      </c>
      <c r="X120" s="182">
        <f>H120*$M$1</f>
        <v>1018.85</v>
      </c>
      <c r="Z120" s="198"/>
    </row>
    <row r="121" spans="1:28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220" t="s">
        <v>122</v>
      </c>
      <c r="G121" s="221">
        <f t="shared" si="96"/>
        <v>0</v>
      </c>
      <c r="H121" s="125">
        <f t="shared" si="100"/>
        <v>0</v>
      </c>
      <c r="I121" s="125">
        <f t="shared" si="97"/>
        <v>0</v>
      </c>
      <c r="J121" s="223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220" t="s">
        <v>35</v>
      </c>
      <c r="G122" s="221">
        <f t="shared" si="96"/>
        <v>4</v>
      </c>
      <c r="H122" s="125">
        <f t="shared" si="100"/>
        <v>4</v>
      </c>
      <c r="I122" s="224">
        <f t="shared" si="97"/>
        <v>4</v>
      </c>
      <c r="J122" s="224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138</v>
      </c>
      <c r="E123" s="148">
        <f>SUM(E117:E122)</f>
        <v>91</v>
      </c>
      <c r="F123" s="119"/>
      <c r="G123" s="119">
        <f t="shared" ref="G123:M123" si="101">SUM(G117:G122)</f>
        <v>320</v>
      </c>
      <c r="H123" s="119">
        <f t="shared" si="101"/>
        <v>318</v>
      </c>
      <c r="I123" s="119">
        <f t="shared" si="101"/>
        <v>229</v>
      </c>
      <c r="J123" s="120">
        <f>SUM(J117:J122)</f>
        <v>12693.2</v>
      </c>
      <c r="K123" s="119">
        <f t="shared" si="101"/>
        <v>8852.49</v>
      </c>
      <c r="L123" s="119">
        <f t="shared" si="101"/>
        <v>1320092.7999999998</v>
      </c>
      <c r="M123" s="119">
        <f t="shared" si="101"/>
        <v>23816</v>
      </c>
      <c r="N123" s="123">
        <f>'Odometro-Kilometraje'!R88</f>
        <v>12977</v>
      </c>
      <c r="O123" s="21">
        <f>(W123/N123)*100</f>
        <v>97.044155043538581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12593.420000000002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46191</v>
      </c>
      <c r="B124" s="295">
        <v>38</v>
      </c>
      <c r="C124" s="295">
        <v>41</v>
      </c>
      <c r="D124" s="126">
        <f>'Data Ocupacion'!AL31</f>
        <v>39</v>
      </c>
      <c r="E124" s="126">
        <f>'Data Ocupacion'!AM31</f>
        <v>40</v>
      </c>
      <c r="F124" s="125" t="s">
        <v>38</v>
      </c>
      <c r="G124" s="125">
        <f t="shared" ref="G124:G129" si="102">D124+E124*2</f>
        <v>119</v>
      </c>
      <c r="H124" s="125">
        <f>B124+C124*2</f>
        <v>120</v>
      </c>
      <c r="I124" s="125">
        <f t="shared" ref="I124:I129" si="103">D124+E124</f>
        <v>79</v>
      </c>
      <c r="J124" s="125">
        <f>G124*M$2</f>
        <v>5132.47</v>
      </c>
      <c r="K124" s="153">
        <f>I124*M$2</f>
        <v>3407.27</v>
      </c>
      <c r="L124" s="125">
        <f t="shared" ref="L124:L129" si="104">J124*104</f>
        <v>533776.88</v>
      </c>
      <c r="M124" s="125">
        <f t="shared" ref="M124:M129" si="105">I124*104</f>
        <v>8216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5132.47</v>
      </c>
      <c r="X124" s="182">
        <f>H124*$M$2</f>
        <v>5175.6000000000004</v>
      </c>
    </row>
    <row r="125" spans="1:28" ht="15" customHeight="1" x14ac:dyDescent="0.25">
      <c r="A125" s="202"/>
      <c r="B125" s="295">
        <v>36</v>
      </c>
      <c r="C125" s="295">
        <v>42</v>
      </c>
      <c r="D125" s="126">
        <f>'Data Ocupacion'!AL32</f>
        <v>37</v>
      </c>
      <c r="E125" s="126">
        <f>'Data Ocupacion'!AM32</f>
        <v>41</v>
      </c>
      <c r="F125" s="125" t="s">
        <v>52</v>
      </c>
      <c r="G125" s="125">
        <f t="shared" si="102"/>
        <v>119</v>
      </c>
      <c r="H125" s="125">
        <f t="shared" ref="H125:H129" si="106">B125+C125*2</f>
        <v>120</v>
      </c>
      <c r="I125" s="125">
        <f t="shared" si="103"/>
        <v>78</v>
      </c>
      <c r="J125" s="125">
        <f>G125*M$2</f>
        <v>5132.47</v>
      </c>
      <c r="K125" s="153">
        <f>I125*M$2</f>
        <v>3364.1400000000003</v>
      </c>
      <c r="L125" s="125">
        <f t="shared" si="104"/>
        <v>533776.88</v>
      </c>
      <c r="M125" s="125">
        <f t="shared" si="105"/>
        <v>8112</v>
      </c>
      <c r="N125" s="19"/>
      <c r="O125" s="19"/>
      <c r="P125" s="146"/>
      <c r="Q125" s="186"/>
      <c r="R125" s="186"/>
      <c r="S125" s="217"/>
      <c r="T125" s="183">
        <v>3</v>
      </c>
      <c r="U125" s="217"/>
      <c r="V125" s="229"/>
      <c r="W125" s="182">
        <f>J125-(Q125*($K$1)+(T125*($M$2-$K$1))+(U125*($M$2-$M$1)))</f>
        <v>5079.2800000000007</v>
      </c>
      <c r="X125" s="182">
        <f>H125*$M$2</f>
        <v>5175.6000000000004</v>
      </c>
    </row>
    <row r="126" spans="1:28" ht="15" customHeight="1" x14ac:dyDescent="0.25">
      <c r="A126" s="202"/>
      <c r="B126" s="295">
        <v>33</v>
      </c>
      <c r="C126" s="295">
        <v>3</v>
      </c>
      <c r="D126" s="126">
        <f>'Data Ocupacion'!AL33</f>
        <v>33</v>
      </c>
      <c r="E126" s="126">
        <f>'Data Ocupacion'!AM33</f>
        <v>3</v>
      </c>
      <c r="F126" s="125" t="s">
        <v>36</v>
      </c>
      <c r="G126" s="125">
        <f t="shared" si="102"/>
        <v>39</v>
      </c>
      <c r="H126" s="125">
        <f t="shared" si="106"/>
        <v>39</v>
      </c>
      <c r="I126" s="125">
        <f t="shared" si="103"/>
        <v>36</v>
      </c>
      <c r="J126" s="125">
        <f>G126*M$1</f>
        <v>1135.29</v>
      </c>
      <c r="K126" s="153">
        <f>I126*M$1</f>
        <v>1047.96</v>
      </c>
      <c r="L126" s="125">
        <f t="shared" si="104"/>
        <v>118070.16</v>
      </c>
      <c r="M126" s="125">
        <f t="shared" si="105"/>
        <v>3744</v>
      </c>
      <c r="N126" s="19"/>
      <c r="O126" s="19"/>
      <c r="P126" s="146"/>
      <c r="Q126" s="244">
        <v>3</v>
      </c>
      <c r="R126" s="190"/>
      <c r="S126" s="228"/>
      <c r="T126" s="186"/>
      <c r="U126" s="189"/>
      <c r="V126" s="189"/>
      <c r="W126" s="182">
        <f>J126-(Q126*($M$1-$K$1))</f>
        <v>1124.1599999999999</v>
      </c>
      <c r="X126" s="182">
        <f>H126*$M$1</f>
        <v>1135.29</v>
      </c>
    </row>
    <row r="127" spans="1:28" ht="15" customHeight="1" x14ac:dyDescent="0.25">
      <c r="A127" s="202"/>
      <c r="B127" s="295">
        <v>29</v>
      </c>
      <c r="C127" s="295">
        <v>3</v>
      </c>
      <c r="D127" s="126">
        <f>'Data Ocupacion'!AL34</f>
        <v>29</v>
      </c>
      <c r="E127" s="126">
        <f>'Data Ocupacion'!AM34</f>
        <v>3</v>
      </c>
      <c r="F127" s="125" t="s">
        <v>53</v>
      </c>
      <c r="G127" s="125">
        <f t="shared" si="102"/>
        <v>35</v>
      </c>
      <c r="H127" s="125">
        <f t="shared" si="106"/>
        <v>35</v>
      </c>
      <c r="I127" s="125">
        <f t="shared" si="103"/>
        <v>32</v>
      </c>
      <c r="J127" s="125">
        <f>G127*M$1</f>
        <v>1018.85</v>
      </c>
      <c r="K127" s="153">
        <f>I127*M$1</f>
        <v>931.52</v>
      </c>
      <c r="L127" s="125">
        <f t="shared" si="104"/>
        <v>105960.40000000001</v>
      </c>
      <c r="M127" s="125">
        <f t="shared" si="105"/>
        <v>3328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1018.85</v>
      </c>
      <c r="X127" s="182">
        <f>H127*$M$1</f>
        <v>1018.85</v>
      </c>
    </row>
    <row r="128" spans="1:28" s="124" customFormat="1" ht="15" customHeight="1" x14ac:dyDescent="0.25">
      <c r="A128" s="202"/>
      <c r="B128" s="295">
        <v>0</v>
      </c>
      <c r="C128" s="295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295">
        <v>4</v>
      </c>
      <c r="C129" s="295">
        <v>0</v>
      </c>
      <c r="D129" s="126">
        <f>'Data Ocupacion'!AL36</f>
        <v>4</v>
      </c>
      <c r="E129" s="126">
        <f>'Data Ocupacion'!AM36</f>
        <v>0</v>
      </c>
      <c r="F129" s="125" t="s">
        <v>35</v>
      </c>
      <c r="G129" s="125">
        <f t="shared" si="102"/>
        <v>4</v>
      </c>
      <c r="H129" s="125">
        <f t="shared" si="106"/>
        <v>4</v>
      </c>
      <c r="I129" s="125">
        <f t="shared" si="103"/>
        <v>4</v>
      </c>
      <c r="J129" s="125">
        <f>G129*K$1</f>
        <v>101.6</v>
      </c>
      <c r="K129" s="153">
        <f>I129*K$1</f>
        <v>101.6</v>
      </c>
      <c r="L129" s="125">
        <f t="shared" si="104"/>
        <v>10566.4</v>
      </c>
      <c r="M129" s="125">
        <f t="shared" si="105"/>
        <v>416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101.6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142</v>
      </c>
      <c r="E130" s="152">
        <f>SUM(E124:E129)</f>
        <v>87</v>
      </c>
      <c r="F130" s="119"/>
      <c r="G130" s="119">
        <f t="shared" ref="G130:M130" si="107">SUM(G124:G129)</f>
        <v>316</v>
      </c>
      <c r="H130" s="119">
        <f t="shared" si="107"/>
        <v>318</v>
      </c>
      <c r="I130" s="119">
        <f t="shared" si="107"/>
        <v>229</v>
      </c>
      <c r="J130" s="120">
        <f t="shared" si="107"/>
        <v>12520.68</v>
      </c>
      <c r="K130" s="119">
        <f t="shared" si="107"/>
        <v>8852.49</v>
      </c>
      <c r="L130" s="118">
        <f t="shared" si="107"/>
        <v>1302150.7199999997</v>
      </c>
      <c r="M130" s="151">
        <f t="shared" si="107"/>
        <v>23816</v>
      </c>
      <c r="N130" s="123">
        <f>'Odometro-Kilometraje'!S88</f>
        <v>13062</v>
      </c>
      <c r="O130" s="21">
        <f>(W130/N130)*100</f>
        <v>95.363344051446958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12456.36</v>
      </c>
      <c r="X130" s="193">
        <f>SUM(X124:X129)</f>
        <v>12606.940000000002</v>
      </c>
    </row>
    <row r="131" spans="1:27" ht="15" customHeight="1" x14ac:dyDescent="0.25">
      <c r="A131" s="60">
        <f>A124+1</f>
        <v>46192</v>
      </c>
      <c r="B131" s="295">
        <v>38</v>
      </c>
      <c r="C131" s="295">
        <v>41</v>
      </c>
      <c r="D131" s="126">
        <f>'Data Ocupacion'!AN31</f>
        <v>38</v>
      </c>
      <c r="E131" s="126">
        <f>'Data Ocupacion'!AO31</f>
        <v>41</v>
      </c>
      <c r="F131" s="125" t="s">
        <v>38</v>
      </c>
      <c r="G131" s="125">
        <f t="shared" ref="G131:G136" si="108">D131+E131*2</f>
        <v>120</v>
      </c>
      <c r="H131" s="125">
        <f>B131+C131*2</f>
        <v>120</v>
      </c>
      <c r="I131" s="125">
        <f t="shared" ref="I131:I136" si="109">D131+E131</f>
        <v>79</v>
      </c>
      <c r="J131" s="125">
        <f>G131*M$2</f>
        <v>5175.6000000000004</v>
      </c>
      <c r="K131" s="153">
        <f>I131*M$2</f>
        <v>3407.27</v>
      </c>
      <c r="L131" s="125">
        <f t="shared" ref="L131:L136" si="110">J131*104</f>
        <v>538262.4</v>
      </c>
      <c r="M131" s="125">
        <f t="shared" ref="M131:M136" si="111">I131*104</f>
        <v>8216</v>
      </c>
      <c r="N131" s="19"/>
      <c r="O131" s="19"/>
      <c r="P131" s="146"/>
      <c r="Q131" s="183">
        <v>3</v>
      </c>
      <c r="R131" s="183"/>
      <c r="S131" s="206"/>
      <c r="T131" s="285"/>
      <c r="U131" s="191"/>
      <c r="V131" s="228"/>
      <c r="W131" s="182">
        <f>J131-(Q131*($M$2-$K$1))-(R131*($M$2-$M$1))- (S131*($M$2-$I$2))+ (T131*($G$2))</f>
        <v>5122.4100000000008</v>
      </c>
      <c r="X131" s="182">
        <f>H131*$M$2</f>
        <v>5175.6000000000004</v>
      </c>
    </row>
    <row r="132" spans="1:27" ht="15" customHeight="1" x14ac:dyDescent="0.25">
      <c r="A132" s="202"/>
      <c r="B132" s="295">
        <v>36</v>
      </c>
      <c r="C132" s="295">
        <v>42</v>
      </c>
      <c r="D132" s="126">
        <f>'Data Ocupacion'!AN32</f>
        <v>36</v>
      </c>
      <c r="E132" s="126">
        <f>'Data Ocupacion'!AO32</f>
        <v>42</v>
      </c>
      <c r="F132" s="125" t="s">
        <v>52</v>
      </c>
      <c r="G132" s="125">
        <f t="shared" si="108"/>
        <v>120</v>
      </c>
      <c r="H132" s="125">
        <f t="shared" ref="H132:H136" si="112">B132+C132*2</f>
        <v>120</v>
      </c>
      <c r="I132" s="125">
        <f t="shared" si="109"/>
        <v>78</v>
      </c>
      <c r="J132" s="125">
        <f>G132*M$2</f>
        <v>5175.6000000000004</v>
      </c>
      <c r="K132" s="153">
        <f>I132*M$2</f>
        <v>3364.1400000000003</v>
      </c>
      <c r="L132" s="125">
        <f t="shared" si="110"/>
        <v>538262.4</v>
      </c>
      <c r="M132" s="125">
        <f t="shared" si="111"/>
        <v>8112</v>
      </c>
      <c r="N132" s="19"/>
      <c r="O132" s="19"/>
      <c r="P132" s="146"/>
      <c r="Q132" s="186"/>
      <c r="R132" s="186"/>
      <c r="S132" s="217"/>
      <c r="T132" s="183">
        <v>3</v>
      </c>
      <c r="U132" s="217"/>
      <c r="V132" s="229"/>
      <c r="W132" s="185">
        <f>J132-(T132*($M$2-$K$1)+(U132*($M$2-$M$1)))</f>
        <v>5122.4100000000008</v>
      </c>
      <c r="X132" s="182">
        <f>H132*$M$2</f>
        <v>5175.6000000000004</v>
      </c>
    </row>
    <row r="133" spans="1:27" ht="15" customHeight="1" x14ac:dyDescent="0.25">
      <c r="A133" s="202"/>
      <c r="B133" s="295">
        <v>33</v>
      </c>
      <c r="C133" s="295">
        <v>3</v>
      </c>
      <c r="D133" s="138">
        <f>'Data Ocupacion'!AN33</f>
        <v>34</v>
      </c>
      <c r="E133" s="138">
        <f>'Data Ocupacion'!AO33</f>
        <v>2</v>
      </c>
      <c r="F133" s="125" t="s">
        <v>36</v>
      </c>
      <c r="G133" s="125">
        <f t="shared" si="108"/>
        <v>38</v>
      </c>
      <c r="H133" s="125">
        <f t="shared" si="112"/>
        <v>39</v>
      </c>
      <c r="I133" s="125">
        <f t="shared" si="109"/>
        <v>36</v>
      </c>
      <c r="J133" s="125">
        <f>G133*M$1</f>
        <v>1106.18</v>
      </c>
      <c r="K133" s="153">
        <f>I133*M$1</f>
        <v>1047.96</v>
      </c>
      <c r="L133" s="125">
        <f t="shared" si="110"/>
        <v>115042.72</v>
      </c>
      <c r="M133" s="125">
        <f t="shared" si="111"/>
        <v>3744</v>
      </c>
      <c r="N133" s="19"/>
      <c r="O133" s="19"/>
      <c r="P133" s="146"/>
      <c r="Q133" s="183">
        <v>2</v>
      </c>
      <c r="R133" s="190"/>
      <c r="S133" s="228"/>
      <c r="T133" s="186"/>
      <c r="U133" s="189"/>
      <c r="V133" s="189"/>
      <c r="W133" s="182">
        <f>J133-(Q133*($M$1-$K$1))</f>
        <v>1098.76</v>
      </c>
      <c r="X133" s="182">
        <f>H133*$M$1</f>
        <v>1135.29</v>
      </c>
    </row>
    <row r="134" spans="1:27" ht="15" customHeight="1" x14ac:dyDescent="0.25">
      <c r="A134" s="202"/>
      <c r="B134" s="295">
        <v>29</v>
      </c>
      <c r="C134" s="295">
        <v>3</v>
      </c>
      <c r="D134" s="138">
        <f>'Data Ocupacion'!AN34</f>
        <v>30</v>
      </c>
      <c r="E134" s="138">
        <f>'Data Ocupacion'!AO34</f>
        <v>2</v>
      </c>
      <c r="F134" s="125" t="s">
        <v>53</v>
      </c>
      <c r="G134" s="125">
        <f t="shared" si="108"/>
        <v>34</v>
      </c>
      <c r="H134" s="125">
        <f t="shared" si="112"/>
        <v>35</v>
      </c>
      <c r="I134" s="125">
        <f t="shared" si="109"/>
        <v>32</v>
      </c>
      <c r="J134" s="125">
        <f>G134*M$1</f>
        <v>989.74</v>
      </c>
      <c r="K134" s="153">
        <f>I134*M$1</f>
        <v>931.52</v>
      </c>
      <c r="L134" s="125">
        <f t="shared" si="110"/>
        <v>102932.96</v>
      </c>
      <c r="M134" s="125">
        <f t="shared" si="111"/>
        <v>3328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989.74</v>
      </c>
      <c r="X134" s="182">
        <f>H134*$M$1</f>
        <v>1018.85</v>
      </c>
    </row>
    <row r="135" spans="1:27" ht="15" customHeight="1" x14ac:dyDescent="0.25">
      <c r="A135" s="202"/>
      <c r="B135" s="295">
        <v>0</v>
      </c>
      <c r="C135" s="295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95">
        <v>4</v>
      </c>
      <c r="C136" s="295">
        <v>0</v>
      </c>
      <c r="D136" s="295">
        <f>'Data Ocupacion'!AN36</f>
        <v>4</v>
      </c>
      <c r="E136" s="295">
        <f>'Data Ocupacion'!AO36</f>
        <v>0</v>
      </c>
      <c r="F136" s="125" t="s">
        <v>35</v>
      </c>
      <c r="G136" s="125">
        <f t="shared" si="108"/>
        <v>4</v>
      </c>
      <c r="H136" s="125">
        <f t="shared" si="112"/>
        <v>4</v>
      </c>
      <c r="I136" s="125">
        <f t="shared" si="109"/>
        <v>4</v>
      </c>
      <c r="J136" s="125">
        <f>G136*K$1</f>
        <v>101.6</v>
      </c>
      <c r="K136" s="153">
        <f>I136*K$1</f>
        <v>101.6</v>
      </c>
      <c r="L136" s="125">
        <f t="shared" si="110"/>
        <v>10566.4</v>
      </c>
      <c r="M136" s="125">
        <f t="shared" si="111"/>
        <v>416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101.6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142</v>
      </c>
      <c r="E137" s="152">
        <f>SUM(E131:E136)</f>
        <v>87</v>
      </c>
      <c r="F137" s="119"/>
      <c r="G137" s="119">
        <f t="shared" ref="G137:M137" si="113">SUM(G131:G136)</f>
        <v>316</v>
      </c>
      <c r="H137" s="119">
        <f t="shared" si="113"/>
        <v>318</v>
      </c>
      <c r="I137" s="119">
        <f t="shared" si="113"/>
        <v>229</v>
      </c>
      <c r="J137" s="120">
        <f t="shared" si="113"/>
        <v>12548.720000000001</v>
      </c>
      <c r="K137" s="119">
        <f t="shared" si="113"/>
        <v>8852.49</v>
      </c>
      <c r="L137" s="118">
        <f t="shared" si="113"/>
        <v>1305066.8799999999</v>
      </c>
      <c r="M137" s="151">
        <f t="shared" si="113"/>
        <v>23816</v>
      </c>
      <c r="N137" s="123">
        <f>'Odometro-Kilometraje'!T88</f>
        <v>12851</v>
      </c>
      <c r="O137" s="21">
        <f>(W137/N137)*100</f>
        <v>96.762275309314461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12434.920000000002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46193</v>
      </c>
      <c r="B138" s="116">
        <v>69</v>
      </c>
      <c r="C138" s="116">
        <v>3</v>
      </c>
      <c r="D138" s="147">
        <f>'Data Ocupacion'!AP31</f>
        <v>69</v>
      </c>
      <c r="E138" s="147">
        <f>'Data Ocupacion'!AQ31</f>
        <v>3</v>
      </c>
      <c r="F138" s="319" t="s">
        <v>38</v>
      </c>
      <c r="G138" s="320">
        <f t="shared" ref="G138:G143" si="114">D138+E138*2</f>
        <v>75</v>
      </c>
      <c r="H138" s="116">
        <f>B138+C138*2</f>
        <v>75</v>
      </c>
      <c r="I138" s="321">
        <f t="shared" ref="I138:I143" si="115">D138+E138</f>
        <v>72</v>
      </c>
      <c r="J138" s="321">
        <f>G138*M$2</f>
        <v>3234.75</v>
      </c>
      <c r="K138" s="153">
        <f>I138*M$2</f>
        <v>3105.36</v>
      </c>
      <c r="L138" s="116">
        <f t="shared" ref="L138:L143" si="116">J138*104</f>
        <v>336414</v>
      </c>
      <c r="M138" s="116">
        <f t="shared" ref="M138:M143" si="117">I138*104</f>
        <v>7488</v>
      </c>
      <c r="N138" s="19"/>
      <c r="O138" s="19"/>
      <c r="P138" s="146"/>
      <c r="Q138" s="183"/>
      <c r="R138" s="183"/>
      <c r="S138" s="206"/>
      <c r="T138" s="285"/>
      <c r="U138" s="191"/>
      <c r="V138" s="228"/>
      <c r="W138" s="182">
        <f>J138-(Q138*($M$2-$K$1))-(R138*($M$2-$M$1))- (S138*($M$2-$I$2))+ (T138*($G$2))</f>
        <v>3234.75</v>
      </c>
      <c r="X138" s="182">
        <f>H138*$M$2</f>
        <v>3234.75</v>
      </c>
    </row>
    <row r="139" spans="1:27" ht="15" customHeight="1" x14ac:dyDescent="0.25">
      <c r="A139" s="253"/>
      <c r="B139" s="116">
        <v>75</v>
      </c>
      <c r="C139" s="116">
        <v>0</v>
      </c>
      <c r="D139" s="147">
        <f>'Data Ocupacion'!AP32</f>
        <v>75</v>
      </c>
      <c r="E139" s="147">
        <f>'Data Ocupacion'!AQ32</f>
        <v>0</v>
      </c>
      <c r="F139" s="319" t="s">
        <v>52</v>
      </c>
      <c r="G139" s="320">
        <f t="shared" si="114"/>
        <v>75</v>
      </c>
      <c r="H139" s="116">
        <f t="shared" ref="H139:H143" si="118">B139+C139*2</f>
        <v>75</v>
      </c>
      <c r="I139" s="116">
        <f t="shared" si="115"/>
        <v>75</v>
      </c>
      <c r="J139" s="116">
        <f>G139*M$2</f>
        <v>3234.75</v>
      </c>
      <c r="K139" s="153">
        <f>I139*M$2</f>
        <v>3234.75</v>
      </c>
      <c r="L139" s="116">
        <f t="shared" si="116"/>
        <v>336414</v>
      </c>
      <c r="M139" s="116">
        <f t="shared" si="117"/>
        <v>7800</v>
      </c>
      <c r="N139" s="19"/>
      <c r="O139" s="19"/>
      <c r="P139" s="146"/>
      <c r="Q139" s="186"/>
      <c r="R139" s="186"/>
      <c r="S139" s="217"/>
      <c r="T139" s="183"/>
      <c r="U139" s="217"/>
      <c r="V139" s="229"/>
      <c r="W139" s="185">
        <f>J139-(T139*($M$2-$K$1)+(U139*($M$2-$M$1)))</f>
        <v>3234.75</v>
      </c>
      <c r="X139" s="182">
        <f>H139*$M$2</f>
        <v>3234.75</v>
      </c>
    </row>
    <row r="140" spans="1:27" ht="15" customHeight="1" x14ac:dyDescent="0.25">
      <c r="A140" s="253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9" t="s">
        <v>36</v>
      </c>
      <c r="G140" s="320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8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3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9" t="s">
        <v>53</v>
      </c>
      <c r="G141" s="320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3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9" t="s">
        <v>122</v>
      </c>
      <c r="G142" s="320">
        <f t="shared" si="114"/>
        <v>0</v>
      </c>
      <c r="H142" s="116">
        <f t="shared" si="118"/>
        <v>0</v>
      </c>
      <c r="I142" s="116">
        <f t="shared" si="115"/>
        <v>0</v>
      </c>
      <c r="J142" s="322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9" t="s">
        <v>35</v>
      </c>
      <c r="G143" s="320">
        <f t="shared" si="114"/>
        <v>0</v>
      </c>
      <c r="H143" s="116">
        <f t="shared" si="118"/>
        <v>0</v>
      </c>
      <c r="I143" s="323">
        <f t="shared" si="115"/>
        <v>0</v>
      </c>
      <c r="J143" s="323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144</v>
      </c>
      <c r="E144" s="148">
        <f>SUM(E138:E143)</f>
        <v>3</v>
      </c>
      <c r="F144" s="119"/>
      <c r="G144" s="119">
        <f t="shared" ref="G144:M144" si="119">SUM(G138:G143)</f>
        <v>150</v>
      </c>
      <c r="H144" s="119">
        <f t="shared" si="119"/>
        <v>150</v>
      </c>
      <c r="I144" s="119">
        <f t="shared" si="119"/>
        <v>147</v>
      </c>
      <c r="J144" s="120">
        <f t="shared" si="119"/>
        <v>6469.5</v>
      </c>
      <c r="K144" s="119">
        <f t="shared" si="119"/>
        <v>6340.1100000000006</v>
      </c>
      <c r="L144" s="119">
        <f t="shared" si="119"/>
        <v>672828</v>
      </c>
      <c r="M144" s="119">
        <f t="shared" si="119"/>
        <v>15288</v>
      </c>
      <c r="N144" s="123">
        <f>'Odometro-Kilometraje'!U88</f>
        <v>6497</v>
      </c>
      <c r="O144" s="21">
        <f>(W144/N144)*100</f>
        <v>99.576727720486375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6469.5</v>
      </c>
      <c r="X144" s="193">
        <f>SUM(X138:X143)</f>
        <v>6469.5</v>
      </c>
      <c r="AA144" s="172"/>
    </row>
    <row r="145" spans="1:26" x14ac:dyDescent="0.25">
      <c r="A145" s="60">
        <f>A138+1</f>
        <v>46194</v>
      </c>
      <c r="B145" s="218">
        <v>51</v>
      </c>
      <c r="C145" s="218">
        <v>3</v>
      </c>
      <c r="D145" s="138">
        <f>'Data Ocupacion'!AR31</f>
        <v>51</v>
      </c>
      <c r="E145" s="138">
        <f>'Data Ocupacion'!AS31</f>
        <v>3</v>
      </c>
      <c r="F145" s="218" t="s">
        <v>38</v>
      </c>
      <c r="G145" s="218">
        <f t="shared" ref="G145:G150" si="120">D145+E145*2</f>
        <v>57</v>
      </c>
      <c r="H145" s="218">
        <f>B145+C145*2</f>
        <v>57</v>
      </c>
      <c r="I145" s="218">
        <f t="shared" ref="I145:I150" si="121">D145+E145</f>
        <v>54</v>
      </c>
      <c r="J145" s="218">
        <f>G145*M$2</f>
        <v>2458.4100000000003</v>
      </c>
      <c r="K145" s="153">
        <f>I145*M$2</f>
        <v>2329.02</v>
      </c>
      <c r="L145" s="218">
        <f t="shared" ref="L145:L150" si="122">J145*104</f>
        <v>255674.64000000004</v>
      </c>
      <c r="M145" s="218">
        <f t="shared" ref="M145:M150" si="123">I145*104</f>
        <v>5616</v>
      </c>
      <c r="N145" s="19"/>
      <c r="O145" s="19"/>
      <c r="P145" s="146"/>
      <c r="Q145" s="183"/>
      <c r="R145" s="183"/>
      <c r="S145" s="206"/>
      <c r="T145" s="285"/>
      <c r="U145" s="191"/>
      <c r="V145" s="228"/>
      <c r="W145" s="182">
        <f>J145-(Q145*($M$2-$K$1))-(R145*($M$2-$M$1))- (S145*($M$2-$I$2))+ (T145*($G$2))</f>
        <v>2458.4100000000003</v>
      </c>
      <c r="X145" s="182">
        <f>H145*$M$2</f>
        <v>2458.4100000000003</v>
      </c>
    </row>
    <row r="146" spans="1:26" ht="15" customHeight="1" x14ac:dyDescent="0.25">
      <c r="A146" s="253"/>
      <c r="B146" s="218">
        <v>57</v>
      </c>
      <c r="C146" s="218">
        <v>0</v>
      </c>
      <c r="D146" s="138">
        <f>'Data Ocupacion'!AR32</f>
        <v>57</v>
      </c>
      <c r="E146" s="138">
        <f>'Data Ocupacion'!AS32</f>
        <v>0</v>
      </c>
      <c r="F146" s="218" t="s">
        <v>52</v>
      </c>
      <c r="G146" s="218">
        <f t="shared" si="120"/>
        <v>57</v>
      </c>
      <c r="H146" s="218">
        <f t="shared" ref="H146:H150" si="124">B146+C146*2</f>
        <v>57</v>
      </c>
      <c r="I146" s="218">
        <f t="shared" si="121"/>
        <v>57</v>
      </c>
      <c r="J146" s="218">
        <f>G146*M$2</f>
        <v>2458.4100000000003</v>
      </c>
      <c r="K146" s="153">
        <f>I146*M$2</f>
        <v>2458.4100000000003</v>
      </c>
      <c r="L146" s="218">
        <f t="shared" si="122"/>
        <v>255674.64000000004</v>
      </c>
      <c r="M146" s="218">
        <f t="shared" si="123"/>
        <v>5928</v>
      </c>
      <c r="N146" s="19"/>
      <c r="O146" s="19"/>
      <c r="P146" s="146"/>
      <c r="Q146" s="186"/>
      <c r="R146" s="186"/>
      <c r="S146" s="217"/>
      <c r="T146" s="183"/>
      <c r="U146" s="217"/>
      <c r="V146" s="229"/>
      <c r="W146" s="185">
        <f>J146-(T146*($M$2-$K$1)+(U146*($M$2-$M$1)))</f>
        <v>2458.4100000000003</v>
      </c>
      <c r="X146" s="182">
        <f>H146*$M$2</f>
        <v>2458.4100000000003</v>
      </c>
    </row>
    <row r="147" spans="1:26" x14ac:dyDescent="0.25">
      <c r="A147" s="253"/>
      <c r="B147" s="218">
        <v>0</v>
      </c>
      <c r="C147" s="218">
        <v>0</v>
      </c>
      <c r="D147" s="138">
        <f>'Data Ocupacion'!AR33</f>
        <v>0</v>
      </c>
      <c r="E147" s="138">
        <f>'Data Ocupacion'!AS33</f>
        <v>0</v>
      </c>
      <c r="F147" s="218" t="s">
        <v>36</v>
      </c>
      <c r="G147" s="218">
        <f t="shared" si="120"/>
        <v>0</v>
      </c>
      <c r="H147" s="218">
        <f t="shared" si="124"/>
        <v>0</v>
      </c>
      <c r="I147" s="218">
        <f t="shared" si="121"/>
        <v>0</v>
      </c>
      <c r="J147" s="218">
        <f>G147*M$1</f>
        <v>0</v>
      </c>
      <c r="K147" s="153">
        <f>I147*M$1</f>
        <v>0</v>
      </c>
      <c r="L147" s="218">
        <f t="shared" si="122"/>
        <v>0</v>
      </c>
      <c r="M147" s="218">
        <f t="shared" si="123"/>
        <v>0</v>
      </c>
      <c r="N147" s="19"/>
      <c r="O147" s="19"/>
      <c r="P147" s="146"/>
      <c r="Q147" s="244"/>
      <c r="R147" s="190"/>
      <c r="S147" s="228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3"/>
      <c r="B148" s="218">
        <v>0</v>
      </c>
      <c r="C148" s="218">
        <v>0</v>
      </c>
      <c r="D148" s="138">
        <f>'Data Ocupacion'!AR34</f>
        <v>0</v>
      </c>
      <c r="E148" s="138">
        <f>'Data Ocupacion'!AS34</f>
        <v>0</v>
      </c>
      <c r="F148" s="218" t="s">
        <v>53</v>
      </c>
      <c r="G148" s="218">
        <f t="shared" si="120"/>
        <v>0</v>
      </c>
      <c r="H148" s="218">
        <f t="shared" si="124"/>
        <v>0</v>
      </c>
      <c r="I148" s="218">
        <f t="shared" si="121"/>
        <v>0</v>
      </c>
      <c r="J148" s="218">
        <f>G148*M$1</f>
        <v>0</v>
      </c>
      <c r="K148" s="153">
        <f>I148*M$1</f>
        <v>0</v>
      </c>
      <c r="L148" s="218">
        <f t="shared" si="122"/>
        <v>0</v>
      </c>
      <c r="M148" s="218">
        <f t="shared" si="123"/>
        <v>0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3"/>
      <c r="B149" s="218">
        <v>0</v>
      </c>
      <c r="C149" s="218">
        <v>0</v>
      </c>
      <c r="D149" s="138">
        <f>'Data Ocupacion'!AR35</f>
        <v>0</v>
      </c>
      <c r="E149" s="138">
        <f>'Data Ocupacion'!AS35</f>
        <v>0</v>
      </c>
      <c r="F149" s="218" t="s">
        <v>122</v>
      </c>
      <c r="G149" s="218">
        <f t="shared" si="120"/>
        <v>0</v>
      </c>
      <c r="H149" s="218">
        <f t="shared" si="124"/>
        <v>0</v>
      </c>
      <c r="I149" s="218">
        <f t="shared" si="121"/>
        <v>0</v>
      </c>
      <c r="J149" s="218">
        <f>G149*K$1</f>
        <v>0</v>
      </c>
      <c r="K149" s="153">
        <f>I149*K$1</f>
        <v>0</v>
      </c>
      <c r="L149" s="218">
        <f t="shared" si="122"/>
        <v>0</v>
      </c>
      <c r="M149" s="218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18">
        <v>0</v>
      </c>
      <c r="C150" s="218">
        <v>0</v>
      </c>
      <c r="D150" s="138">
        <f>'Data Ocupacion'!AR36</f>
        <v>0</v>
      </c>
      <c r="E150" s="138">
        <f>'Data Ocupacion'!AS36</f>
        <v>0</v>
      </c>
      <c r="F150" s="218" t="s">
        <v>35</v>
      </c>
      <c r="G150" s="218">
        <f t="shared" si="120"/>
        <v>0</v>
      </c>
      <c r="H150" s="218">
        <f t="shared" si="124"/>
        <v>0</v>
      </c>
      <c r="I150" s="218">
        <f t="shared" si="121"/>
        <v>0</v>
      </c>
      <c r="J150" s="218">
        <f>G150*K$1</f>
        <v>0</v>
      </c>
      <c r="K150" s="153">
        <f>I150*K$1</f>
        <v>0</v>
      </c>
      <c r="L150" s="218">
        <f t="shared" si="122"/>
        <v>0</v>
      </c>
      <c r="M150" s="218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108</v>
      </c>
      <c r="E151" s="152">
        <f>SUM(E145:E150)</f>
        <v>3</v>
      </c>
      <c r="F151" s="119"/>
      <c r="G151" s="119">
        <f t="shared" ref="G151:M151" si="125">SUM(G145:G150)</f>
        <v>114</v>
      </c>
      <c r="H151" s="119">
        <f t="shared" si="125"/>
        <v>114</v>
      </c>
      <c r="I151" s="119">
        <f t="shared" si="125"/>
        <v>111</v>
      </c>
      <c r="J151" s="120">
        <f>SUM(J145:J150)</f>
        <v>4916.8200000000006</v>
      </c>
      <c r="K151" s="119">
        <f t="shared" si="125"/>
        <v>4787.43</v>
      </c>
      <c r="L151" s="118">
        <f t="shared" si="125"/>
        <v>511349.28000000009</v>
      </c>
      <c r="M151" s="151">
        <f t="shared" si="125"/>
        <v>11544</v>
      </c>
      <c r="N151" s="123">
        <f>'Odometro-Kilometraje'!V88</f>
        <v>4966</v>
      </c>
      <c r="O151" s="21">
        <f>(W151/N151)*100</f>
        <v>99.009665726943226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4916.8200000000006</v>
      </c>
      <c r="X151" s="193">
        <f>SUM(X145:X150)</f>
        <v>4916.8200000000006</v>
      </c>
    </row>
    <row r="152" spans="1:26" x14ac:dyDescent="0.25">
      <c r="A152" s="60">
        <f>A145+1</f>
        <v>46195</v>
      </c>
      <c r="B152" s="295">
        <v>38</v>
      </c>
      <c r="C152" s="295">
        <v>41</v>
      </c>
      <c r="D152" s="126">
        <f>'Data Ocupacion'!AT31</f>
        <v>39</v>
      </c>
      <c r="E152" s="126">
        <f>'Data Ocupacion'!AU31</f>
        <v>40</v>
      </c>
      <c r="F152" s="125" t="s">
        <v>38</v>
      </c>
      <c r="G152" s="125">
        <f t="shared" ref="G152:G157" si="126">D152+E152*2</f>
        <v>119</v>
      </c>
      <c r="H152" s="125">
        <f>B152+C152*2</f>
        <v>120</v>
      </c>
      <c r="I152" s="125">
        <f t="shared" ref="I152:I157" si="127">D152+E152</f>
        <v>79</v>
      </c>
      <c r="J152" s="125">
        <f>G152*M$2</f>
        <v>5132.47</v>
      </c>
      <c r="K152" s="153">
        <f>I152*M$2</f>
        <v>3407.27</v>
      </c>
      <c r="L152" s="125">
        <f t="shared" ref="L152:L157" si="128">J152*104</f>
        <v>533776.88</v>
      </c>
      <c r="M152" s="125">
        <f t="shared" ref="M152:M157" si="129">I152*104</f>
        <v>8216</v>
      </c>
      <c r="N152" s="19"/>
      <c r="O152" s="19"/>
      <c r="P152" s="146"/>
      <c r="Q152" s="183">
        <v>4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5061.55</v>
      </c>
      <c r="X152" s="182">
        <f>H152*$M$2</f>
        <v>5175.6000000000004</v>
      </c>
    </row>
    <row r="153" spans="1:26" ht="15" customHeight="1" x14ac:dyDescent="0.25">
      <c r="A153" s="202"/>
      <c r="B153" s="295">
        <v>36</v>
      </c>
      <c r="C153" s="295">
        <v>42</v>
      </c>
      <c r="D153" s="126">
        <f>'Data Ocupacion'!AT32</f>
        <v>37</v>
      </c>
      <c r="E153" s="126">
        <f>'Data Ocupacion'!AU32</f>
        <v>41</v>
      </c>
      <c r="F153" s="125" t="s">
        <v>52</v>
      </c>
      <c r="G153" s="125">
        <f t="shared" si="126"/>
        <v>119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5132.47</v>
      </c>
      <c r="K153" s="153">
        <f>I153*M$2</f>
        <v>3364.1400000000003</v>
      </c>
      <c r="L153" s="125">
        <f t="shared" si="128"/>
        <v>533776.88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5</v>
      </c>
      <c r="U153" s="204"/>
      <c r="V153" s="229"/>
      <c r="W153" s="185">
        <f>J153-(T153*($M$2-$K$1)+(U153*($M$2-$M$1)))</f>
        <v>5043.8200000000006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2"/>
      <c r="B154" s="295">
        <v>33</v>
      </c>
      <c r="C154" s="295">
        <v>3</v>
      </c>
      <c r="D154" s="126">
        <f>'Data Ocupacion'!AT33</f>
        <v>33</v>
      </c>
      <c r="E154" s="126">
        <f>'Data Ocupacion'!AU33</f>
        <v>3</v>
      </c>
      <c r="F154" s="125" t="s">
        <v>36</v>
      </c>
      <c r="G154" s="125">
        <f t="shared" si="126"/>
        <v>39</v>
      </c>
      <c r="H154" s="125">
        <f t="shared" si="130"/>
        <v>39</v>
      </c>
      <c r="I154" s="125">
        <f t="shared" si="127"/>
        <v>36</v>
      </c>
      <c r="J154" s="125">
        <f>G154*M$1</f>
        <v>1135.29</v>
      </c>
      <c r="K154" s="153">
        <f>I154*M$1</f>
        <v>1047.96</v>
      </c>
      <c r="L154" s="125">
        <f t="shared" si="128"/>
        <v>118070.16</v>
      </c>
      <c r="M154" s="125">
        <f t="shared" si="129"/>
        <v>3744</v>
      </c>
      <c r="N154" s="19"/>
      <c r="O154" s="19"/>
      <c r="P154" s="146"/>
      <c r="Q154" s="244">
        <v>3</v>
      </c>
      <c r="R154" s="187"/>
      <c r="S154" s="207"/>
      <c r="T154" s="188"/>
      <c r="U154" s="189"/>
      <c r="V154" s="189"/>
      <c r="W154" s="182">
        <f>J154-(Q154*($M$1-$K$1))</f>
        <v>1124.1599999999999</v>
      </c>
      <c r="X154" s="182">
        <f>H154*$M$1</f>
        <v>1135.29</v>
      </c>
      <c r="Y154" s="124"/>
      <c r="Z154" s="124"/>
    </row>
    <row r="155" spans="1:26" ht="15" customHeight="1" x14ac:dyDescent="0.25">
      <c r="A155" s="202"/>
      <c r="B155" s="295">
        <v>29</v>
      </c>
      <c r="C155" s="295">
        <v>3</v>
      </c>
      <c r="D155" s="126">
        <f>'Data Ocupacion'!AT34</f>
        <v>29</v>
      </c>
      <c r="E155" s="126">
        <f>'Data Ocupacion'!AU34</f>
        <v>3</v>
      </c>
      <c r="F155" s="125" t="s">
        <v>53</v>
      </c>
      <c r="G155" s="125">
        <f t="shared" si="126"/>
        <v>35</v>
      </c>
      <c r="H155" s="125">
        <f t="shared" si="130"/>
        <v>35</v>
      </c>
      <c r="I155" s="125">
        <f t="shared" si="127"/>
        <v>32</v>
      </c>
      <c r="J155" s="125">
        <f>G155*M$1</f>
        <v>1018.85</v>
      </c>
      <c r="K155" s="153">
        <f>I155*M$1</f>
        <v>931.52</v>
      </c>
      <c r="L155" s="125">
        <f t="shared" si="128"/>
        <v>105960.40000000001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1018.85</v>
      </c>
      <c r="X155" s="182">
        <f>H155*$M$1</f>
        <v>1018.85</v>
      </c>
      <c r="Y155" s="124"/>
      <c r="Z155" s="124"/>
    </row>
    <row r="156" spans="1:26" ht="13.5" customHeight="1" x14ac:dyDescent="0.25">
      <c r="A156" s="202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2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142</v>
      </c>
      <c r="E158" s="152">
        <f>SUM(E152:E157)</f>
        <v>87</v>
      </c>
      <c r="F158" s="119"/>
      <c r="G158" s="119">
        <f t="shared" ref="G158:M158" si="131">SUM(G152:G157)</f>
        <v>316</v>
      </c>
      <c r="H158" s="119">
        <f t="shared" si="131"/>
        <v>318</v>
      </c>
      <c r="I158" s="119">
        <f t="shared" si="131"/>
        <v>229</v>
      </c>
      <c r="J158" s="120">
        <f t="shared" si="131"/>
        <v>12520.68</v>
      </c>
      <c r="K158" s="119">
        <f t="shared" si="131"/>
        <v>8852.49</v>
      </c>
      <c r="L158" s="118">
        <f t="shared" si="131"/>
        <v>1302150.7199999997</v>
      </c>
      <c r="M158" s="151">
        <f t="shared" si="131"/>
        <v>23816</v>
      </c>
      <c r="N158" s="123">
        <f>'Odometro-Kilometraje'!W88</f>
        <v>12795</v>
      </c>
      <c r="O158" s="21">
        <f>(W158/N158)*100</f>
        <v>96.521922626025798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12349.980000000001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46196</v>
      </c>
      <c r="B159" s="295">
        <v>38</v>
      </c>
      <c r="C159" s="295">
        <v>41</v>
      </c>
      <c r="D159" s="126">
        <f>'Data Ocupacion'!AV31</f>
        <v>38</v>
      </c>
      <c r="E159" s="126">
        <f>'Data Ocupacion'!AW31</f>
        <v>41</v>
      </c>
      <c r="F159" s="220" t="s">
        <v>38</v>
      </c>
      <c r="G159" s="221">
        <f t="shared" ref="G159:G164" si="132">D159+E159*2</f>
        <v>120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5175.6000000000004</v>
      </c>
      <c r="K159" s="153">
        <f>I159*M$2</f>
        <v>3407.27</v>
      </c>
      <c r="L159" s="125">
        <f t="shared" ref="L159:L164" si="134">J159*104</f>
        <v>538262.4</v>
      </c>
      <c r="M159" s="125">
        <f t="shared" ref="M159:M164" si="135">I159*104</f>
        <v>8216</v>
      </c>
      <c r="N159" s="19"/>
      <c r="O159" s="19"/>
      <c r="P159" s="146"/>
      <c r="Q159" s="183">
        <v>1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5157.8700000000008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36</v>
      </c>
      <c r="E160" s="126">
        <f>'Data Ocupacion'!AW32</f>
        <v>42</v>
      </c>
      <c r="F160" s="220" t="s">
        <v>52</v>
      </c>
      <c r="G160" s="221">
        <f t="shared" si="132"/>
        <v>120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5175.6000000000004</v>
      </c>
      <c r="K160" s="153">
        <f>I160*M$2</f>
        <v>3364.1400000000003</v>
      </c>
      <c r="L160" s="125">
        <f t="shared" si="134"/>
        <v>538262.4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/>
      <c r="U160" s="217"/>
      <c r="V160" s="229"/>
      <c r="W160" s="185">
        <f>J160-(T160*($M$2-$K$1)+(U160*($M$2-$M$1)))</f>
        <v>5175.6000000000004</v>
      </c>
      <c r="X160" s="182">
        <f>H160*$M$2</f>
        <v>5175.6000000000004</v>
      </c>
      <c r="Y160" s="172"/>
    </row>
    <row r="161" spans="1:25" ht="15" customHeight="1" x14ac:dyDescent="0.25">
      <c r="A161" s="276"/>
      <c r="B161" s="295">
        <v>33</v>
      </c>
      <c r="C161" s="295">
        <v>3</v>
      </c>
      <c r="D161" s="126">
        <f>'Data Ocupacion'!AV33</f>
        <v>33</v>
      </c>
      <c r="E161" s="126">
        <f>'Data Ocupacion'!AW33</f>
        <v>3</v>
      </c>
      <c r="F161" s="220" t="s">
        <v>36</v>
      </c>
      <c r="G161" s="221">
        <f t="shared" si="132"/>
        <v>39</v>
      </c>
      <c r="H161" s="125">
        <f t="shared" si="136"/>
        <v>39</v>
      </c>
      <c r="I161" s="125">
        <f t="shared" si="133"/>
        <v>36</v>
      </c>
      <c r="J161" s="125">
        <f>G161*M$1</f>
        <v>1135.29</v>
      </c>
      <c r="K161" s="153">
        <f>I161*M$1</f>
        <v>1047.96</v>
      </c>
      <c r="L161" s="125">
        <f t="shared" si="134"/>
        <v>118070.16</v>
      </c>
      <c r="M161" s="125">
        <f t="shared" si="135"/>
        <v>3744</v>
      </c>
      <c r="N161" s="19"/>
      <c r="O161" s="19"/>
      <c r="P161" s="146"/>
      <c r="Q161" s="183">
        <v>4</v>
      </c>
      <c r="R161" s="187"/>
      <c r="S161" s="207"/>
      <c r="T161" s="188"/>
      <c r="U161" s="189"/>
      <c r="V161" s="189"/>
      <c r="W161" s="182">
        <f>J161-(Q161*($M$1-$K$1))</f>
        <v>1120.45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29</v>
      </c>
      <c r="E162" s="126">
        <f>'Data Ocupacion'!AW34</f>
        <v>3</v>
      </c>
      <c r="F162" s="220" t="s">
        <v>53</v>
      </c>
      <c r="G162" s="221">
        <f t="shared" si="132"/>
        <v>35</v>
      </c>
      <c r="H162" s="125">
        <f t="shared" si="136"/>
        <v>35</v>
      </c>
      <c r="I162" s="125">
        <f t="shared" si="133"/>
        <v>32</v>
      </c>
      <c r="J162" s="125">
        <f>G162*M$1</f>
        <v>1018.85</v>
      </c>
      <c r="K162" s="153">
        <f>I162*M$1</f>
        <v>931.52</v>
      </c>
      <c r="L162" s="125">
        <f t="shared" si="134"/>
        <v>105960.40000000001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1018.85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254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12606.940000000002</v>
      </c>
      <c r="K165" s="119">
        <f t="shared" si="137"/>
        <v>8852.49</v>
      </c>
      <c r="L165" s="119">
        <f t="shared" si="137"/>
        <v>1311121.7599999998</v>
      </c>
      <c r="M165" s="119">
        <f t="shared" si="137"/>
        <v>23816</v>
      </c>
      <c r="N165" s="123">
        <f>'Odometro-Kilometraje'!X88</f>
        <v>13014</v>
      </c>
      <c r="O165" s="21">
        <f>(W165/N165)*100</f>
        <v>96.621868756723543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12574.370000000003</v>
      </c>
      <c r="X165" s="193">
        <f>SUM(X159:X164)</f>
        <v>12606.940000000002</v>
      </c>
    </row>
    <row r="166" spans="1:25" x14ac:dyDescent="0.25">
      <c r="A166" s="60">
        <f>A159+1</f>
        <v>46197</v>
      </c>
      <c r="B166" s="295">
        <v>38</v>
      </c>
      <c r="C166" s="295">
        <v>41</v>
      </c>
      <c r="D166" s="126">
        <f>'Data Ocupacion'!AX31</f>
        <v>39</v>
      </c>
      <c r="E166" s="126">
        <f>'Data Ocupacion'!AY31</f>
        <v>40</v>
      </c>
      <c r="F166" s="220" t="s">
        <v>38</v>
      </c>
      <c r="G166" s="221">
        <f t="shared" ref="G166:G171" si="138">D166+E166*2</f>
        <v>119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5132.47</v>
      </c>
      <c r="K166" s="153">
        <f>I166*M$2</f>
        <v>3407.27</v>
      </c>
      <c r="L166" s="125">
        <f t="shared" ref="L166:L171" si="140">J166*104</f>
        <v>533776.88</v>
      </c>
      <c r="M166" s="125">
        <f t="shared" ref="M166:M171" si="141">I166*104</f>
        <v>8216</v>
      </c>
      <c r="N166" s="19"/>
      <c r="O166" s="19"/>
      <c r="P166" s="146"/>
      <c r="Q166" s="183">
        <v>2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5097.01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37</v>
      </c>
      <c r="E167" s="126">
        <f>'Data Ocupacion'!AY32</f>
        <v>41</v>
      </c>
      <c r="F167" s="220" t="s">
        <v>52</v>
      </c>
      <c r="G167" s="221">
        <f t="shared" si="138"/>
        <v>119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5132.47</v>
      </c>
      <c r="K167" s="153">
        <f>I167*M$2</f>
        <v>3364.1400000000003</v>
      </c>
      <c r="L167" s="125">
        <f t="shared" si="140"/>
        <v>533776.88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2</v>
      </c>
      <c r="U167" s="217"/>
      <c r="V167" s="229"/>
      <c r="W167" s="185">
        <f>J167-(T167*($M$2-$K$1)+(U167*($M$2-$M$1)))</f>
        <v>5097.01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34</v>
      </c>
      <c r="E168" s="126">
        <f>'Data Ocupacion'!AY33</f>
        <v>2</v>
      </c>
      <c r="F168" s="220" t="s">
        <v>36</v>
      </c>
      <c r="G168" s="221">
        <f t="shared" si="138"/>
        <v>38</v>
      </c>
      <c r="H168" s="125">
        <f t="shared" si="142"/>
        <v>39</v>
      </c>
      <c r="I168" s="125">
        <f t="shared" si="139"/>
        <v>36</v>
      </c>
      <c r="J168" s="125">
        <f>G168*M$1</f>
        <v>1106.18</v>
      </c>
      <c r="K168" s="153">
        <f>I168*M$1</f>
        <v>1047.96</v>
      </c>
      <c r="L168" s="125">
        <f t="shared" si="140"/>
        <v>115042.72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1098.76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30</v>
      </c>
      <c r="E169" s="126">
        <f>'Data Ocupacion'!AY34</f>
        <v>2</v>
      </c>
      <c r="F169" s="220" t="s">
        <v>53</v>
      </c>
      <c r="G169" s="221">
        <f t="shared" si="138"/>
        <v>34</v>
      </c>
      <c r="H169" s="125">
        <f t="shared" si="142"/>
        <v>35</v>
      </c>
      <c r="I169" s="125">
        <f t="shared" si="139"/>
        <v>32</v>
      </c>
      <c r="J169" s="125">
        <f>G169*M$1</f>
        <v>989.74</v>
      </c>
      <c r="K169" s="153">
        <f>I169*M$1</f>
        <v>931.52</v>
      </c>
      <c r="L169" s="125">
        <f t="shared" si="140"/>
        <v>102932.96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989.74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254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144</v>
      </c>
      <c r="E172" s="148">
        <f>SUM(E166:E171)</f>
        <v>85</v>
      </c>
      <c r="F172" s="119"/>
      <c r="G172" s="119">
        <f t="shared" ref="G172:M172" si="143">SUM(G166:G171)</f>
        <v>314</v>
      </c>
      <c r="H172" s="119">
        <f t="shared" si="143"/>
        <v>318</v>
      </c>
      <c r="I172" s="119">
        <f t="shared" si="143"/>
        <v>229</v>
      </c>
      <c r="J172" s="120">
        <f t="shared" si="143"/>
        <v>12462.460000000001</v>
      </c>
      <c r="K172" s="119">
        <f t="shared" si="143"/>
        <v>8852.49</v>
      </c>
      <c r="L172" s="119">
        <f t="shared" si="143"/>
        <v>1296095.8399999999</v>
      </c>
      <c r="M172" s="119">
        <f t="shared" si="143"/>
        <v>23816</v>
      </c>
      <c r="N172" s="123">
        <f>'Odometro-Kilometraje'!Y88</f>
        <v>12842</v>
      </c>
      <c r="O172" s="21">
        <f>(W172/N172)*100</f>
        <v>96.434511758293112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12384.12</v>
      </c>
      <c r="X172" s="193">
        <f>SUM(X166:X171)</f>
        <v>12606.940000000002</v>
      </c>
    </row>
    <row r="173" spans="1:25" x14ac:dyDescent="0.25">
      <c r="A173" s="60">
        <f>A166+1</f>
        <v>46198</v>
      </c>
      <c r="B173" s="295">
        <v>38</v>
      </c>
      <c r="C173" s="295">
        <v>41</v>
      </c>
      <c r="D173" s="147">
        <f>'Data Ocupacion'!AZ31</f>
        <v>39</v>
      </c>
      <c r="E173" s="147">
        <f>'Data Ocupacion'!BA31</f>
        <v>40</v>
      </c>
      <c r="F173" s="220" t="s">
        <v>38</v>
      </c>
      <c r="G173" s="221">
        <f t="shared" ref="G173:G178" si="144">D173+E173*2</f>
        <v>119</v>
      </c>
      <c r="H173" s="125">
        <f>B173+C173*2</f>
        <v>120</v>
      </c>
      <c r="I173" s="222">
        <f t="shared" ref="I173:I178" si="145">D173+E173</f>
        <v>79</v>
      </c>
      <c r="J173" s="222">
        <f>G173*M$2</f>
        <v>5132.47</v>
      </c>
      <c r="K173" s="153">
        <f>I173*M$2</f>
        <v>3407.27</v>
      </c>
      <c r="L173" s="125">
        <f t="shared" ref="L173:L178" si="146">J173*104</f>
        <v>533776.88</v>
      </c>
      <c r="M173" s="125">
        <f t="shared" ref="M173:M178" si="147">I173*104</f>
        <v>8216</v>
      </c>
      <c r="N173" s="19"/>
      <c r="O173" s="19"/>
      <c r="P173" s="146"/>
      <c r="Q173" s="183">
        <v>3</v>
      </c>
      <c r="R173" s="183"/>
      <c r="S173" s="206"/>
      <c r="T173" s="285"/>
      <c r="U173" s="191"/>
      <c r="V173" s="228"/>
      <c r="W173" s="182">
        <f>J173-(Q173*($M$2-$K$1))-(R173*($M$2-$M$1))- (S173*($M$2-$I$2))+ (T173*($G$2))</f>
        <v>5079.2800000000007</v>
      </c>
      <c r="X173" s="182">
        <f>H173*$M$2</f>
        <v>5175.6000000000004</v>
      </c>
    </row>
    <row r="174" spans="1:25" ht="18" customHeight="1" x14ac:dyDescent="0.25">
      <c r="A174" s="276"/>
      <c r="B174" s="295">
        <v>36</v>
      </c>
      <c r="C174" s="295">
        <v>42</v>
      </c>
      <c r="D174" s="147">
        <f>'Data Ocupacion'!AZ32</f>
        <v>37</v>
      </c>
      <c r="E174" s="147">
        <f>'Data Ocupacion'!BA32</f>
        <v>41</v>
      </c>
      <c r="F174" s="220" t="s">
        <v>52</v>
      </c>
      <c r="G174" s="221">
        <f t="shared" si="144"/>
        <v>119</v>
      </c>
      <c r="H174" s="125">
        <f t="shared" ref="H174:H178" si="148">B174+C174*2</f>
        <v>120</v>
      </c>
      <c r="I174" s="125">
        <f t="shared" si="145"/>
        <v>78</v>
      </c>
      <c r="J174" s="125">
        <f>G174*M$2</f>
        <v>5132.47</v>
      </c>
      <c r="K174" s="153">
        <f>I174*M$2</f>
        <v>3364.1400000000003</v>
      </c>
      <c r="L174" s="125">
        <f t="shared" si="146"/>
        <v>533776.88</v>
      </c>
      <c r="M174" s="125">
        <f t="shared" si="147"/>
        <v>8112</v>
      </c>
      <c r="N174" s="19"/>
      <c r="O174" s="19"/>
      <c r="P174" s="146"/>
      <c r="Q174" s="186"/>
      <c r="R174" s="186"/>
      <c r="S174" s="217"/>
      <c r="T174" s="183">
        <v>3</v>
      </c>
      <c r="U174" s="217"/>
      <c r="V174" s="229"/>
      <c r="W174" s="185">
        <f>J174-(T174*($M$2-$K$1)+(U174*($M$2-$M$1)))</f>
        <v>5079.2800000000007</v>
      </c>
      <c r="X174" s="182">
        <f>H174*$M$2</f>
        <v>5175.6000000000004</v>
      </c>
      <c r="Y174" s="172"/>
    </row>
    <row r="175" spans="1:25" x14ac:dyDescent="0.25">
      <c r="A175" s="276"/>
      <c r="B175" s="295">
        <v>33</v>
      </c>
      <c r="C175" s="295">
        <v>3</v>
      </c>
      <c r="D175" s="126">
        <f>'Data Ocupacion'!AZ33</f>
        <v>33</v>
      </c>
      <c r="E175" s="126">
        <f>'Data Ocupacion'!BA33</f>
        <v>3</v>
      </c>
      <c r="F175" s="220" t="s">
        <v>36</v>
      </c>
      <c r="G175" s="221">
        <f t="shared" si="144"/>
        <v>39</v>
      </c>
      <c r="H175" s="125">
        <f t="shared" si="148"/>
        <v>39</v>
      </c>
      <c r="I175" s="125">
        <f t="shared" si="145"/>
        <v>36</v>
      </c>
      <c r="J175" s="125">
        <f>G175*M$1</f>
        <v>1135.29</v>
      </c>
      <c r="K175" s="153">
        <f>I175*M$1</f>
        <v>1047.96</v>
      </c>
      <c r="L175" s="125">
        <f t="shared" si="146"/>
        <v>118070.16</v>
      </c>
      <c r="M175" s="125">
        <f t="shared" si="147"/>
        <v>3744</v>
      </c>
      <c r="N175" s="19"/>
      <c r="O175" s="19"/>
      <c r="P175" s="146"/>
      <c r="Q175" s="244">
        <v>2</v>
      </c>
      <c r="R175" s="190"/>
      <c r="S175" s="228"/>
      <c r="T175" s="186"/>
      <c r="U175" s="189"/>
      <c r="V175" s="189"/>
      <c r="W175" s="182">
        <f>J175-(Q175*($M$1-$K$1))</f>
        <v>1127.8699999999999</v>
      </c>
      <c r="X175" s="182">
        <f>H175*$M$1</f>
        <v>1135.29</v>
      </c>
    </row>
    <row r="176" spans="1:25" ht="15" customHeight="1" x14ac:dyDescent="0.25">
      <c r="A176" s="276"/>
      <c r="B176" s="295">
        <v>29</v>
      </c>
      <c r="C176" s="295">
        <v>3</v>
      </c>
      <c r="D176" s="126">
        <f>'Data Ocupacion'!AZ34</f>
        <v>29</v>
      </c>
      <c r="E176" s="126">
        <f>'Data Ocupacion'!BA34</f>
        <v>3</v>
      </c>
      <c r="F176" s="220" t="s">
        <v>53</v>
      </c>
      <c r="G176" s="221">
        <f t="shared" si="144"/>
        <v>35</v>
      </c>
      <c r="H176" s="125">
        <f t="shared" si="148"/>
        <v>35</v>
      </c>
      <c r="I176" s="125">
        <f t="shared" si="145"/>
        <v>32</v>
      </c>
      <c r="J176" s="125">
        <f>G176*M$1</f>
        <v>1018.85</v>
      </c>
      <c r="K176" s="153">
        <f>I176*M$1</f>
        <v>931.52</v>
      </c>
      <c r="L176" s="125">
        <f t="shared" si="146"/>
        <v>105960.40000000001</v>
      </c>
      <c r="M176" s="125">
        <f t="shared" si="147"/>
        <v>3328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1018.85</v>
      </c>
      <c r="X176" s="182">
        <f>H176*$M$1</f>
        <v>1018.85</v>
      </c>
    </row>
    <row r="177" spans="1:30" ht="16.149999999999999" customHeight="1" x14ac:dyDescent="0.25">
      <c r="A177" s="276"/>
      <c r="B177" s="295">
        <v>0</v>
      </c>
      <c r="C177" s="295">
        <v>0</v>
      </c>
      <c r="D177" s="126">
        <f>'Data Ocupacion'!AZ35</f>
        <v>0</v>
      </c>
      <c r="E177" s="126">
        <f>'Data Ocupacion'!BA35</f>
        <v>0</v>
      </c>
      <c r="F177" s="220" t="s">
        <v>122</v>
      </c>
      <c r="G177" s="221">
        <f t="shared" si="144"/>
        <v>0</v>
      </c>
      <c r="H177" s="125">
        <f t="shared" si="148"/>
        <v>0</v>
      </c>
      <c r="I177" s="125">
        <f t="shared" si="145"/>
        <v>0</v>
      </c>
      <c r="J177" s="223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295">
        <v>4</v>
      </c>
      <c r="C178" s="295">
        <v>0</v>
      </c>
      <c r="D178" s="126">
        <f>'Data Ocupacion'!AZ36</f>
        <v>4</v>
      </c>
      <c r="E178" s="126">
        <f>'Data Ocupacion'!BA36</f>
        <v>0</v>
      </c>
      <c r="F178" s="220" t="s">
        <v>35</v>
      </c>
      <c r="G178" s="221">
        <f t="shared" si="144"/>
        <v>4</v>
      </c>
      <c r="H178" s="125">
        <f t="shared" si="148"/>
        <v>4</v>
      </c>
      <c r="I178" s="224">
        <f t="shared" si="145"/>
        <v>4</v>
      </c>
      <c r="J178" s="224">
        <f>G178*K$1</f>
        <v>101.6</v>
      </c>
      <c r="K178" s="153">
        <f>I178*K$1</f>
        <v>101.6</v>
      </c>
      <c r="L178" s="125">
        <f t="shared" si="146"/>
        <v>10566.4</v>
      </c>
      <c r="M178" s="125">
        <f t="shared" si="147"/>
        <v>416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101.6</v>
      </c>
      <c r="X178" s="182">
        <f>H178*$K$1</f>
        <v>101.6</v>
      </c>
    </row>
    <row r="179" spans="1:30" s="124" customFormat="1" ht="15.75" thickBot="1" x14ac:dyDescent="0.3">
      <c r="A179" s="201"/>
      <c r="B179" s="119">
        <f>SUM(B173:B178)</f>
        <v>140</v>
      </c>
      <c r="C179" s="119">
        <f>SUM(C173:C178)</f>
        <v>89</v>
      </c>
      <c r="D179" s="148">
        <f>SUM(D173:D178)</f>
        <v>142</v>
      </c>
      <c r="E179" s="148">
        <f>SUM(E173:E178)</f>
        <v>87</v>
      </c>
      <c r="F179" s="119"/>
      <c r="G179" s="119">
        <f t="shared" ref="G179:M179" si="149">SUM(G173:G178)</f>
        <v>316</v>
      </c>
      <c r="H179" s="119">
        <f t="shared" si="149"/>
        <v>318</v>
      </c>
      <c r="I179" s="119">
        <f t="shared" si="149"/>
        <v>229</v>
      </c>
      <c r="J179" s="120">
        <f t="shared" si="149"/>
        <v>12520.68</v>
      </c>
      <c r="K179" s="119">
        <f t="shared" si="149"/>
        <v>8852.49</v>
      </c>
      <c r="L179" s="119">
        <f t="shared" si="149"/>
        <v>1302150.7199999997</v>
      </c>
      <c r="M179" s="119">
        <f t="shared" si="149"/>
        <v>23816</v>
      </c>
      <c r="N179" s="123">
        <f>'Odometro-Kilometraje'!Z88</f>
        <v>12915</v>
      </c>
      <c r="O179" s="21">
        <f>(W179/N179)*100</f>
        <v>96.065660085172283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12406.880000000001</v>
      </c>
      <c r="X179" s="193">
        <f>SUM(X173:X178)</f>
        <v>12606.940000000002</v>
      </c>
      <c r="AB179" s="172"/>
    </row>
    <row r="180" spans="1:30" x14ac:dyDescent="0.25">
      <c r="A180" s="60">
        <f>A173+1</f>
        <v>46199</v>
      </c>
      <c r="B180" s="295">
        <v>38</v>
      </c>
      <c r="C180" s="295">
        <v>41</v>
      </c>
      <c r="D180" s="126">
        <f>'Data Ocupacion'!BB31</f>
        <v>39</v>
      </c>
      <c r="E180" s="126">
        <f>'Data Ocupacion'!BC31</f>
        <v>40</v>
      </c>
      <c r="F180" s="125" t="s">
        <v>38</v>
      </c>
      <c r="G180" s="125">
        <f t="shared" ref="G180:G185" si="150">D180+E180*2</f>
        <v>119</v>
      </c>
      <c r="H180" s="125">
        <f>B180+C180*2</f>
        <v>120</v>
      </c>
      <c r="I180" s="125">
        <f t="shared" ref="I180:I185" si="151">D180+E180</f>
        <v>79</v>
      </c>
      <c r="J180" s="125">
        <f>G180*M$2</f>
        <v>5132.47</v>
      </c>
      <c r="K180" s="153">
        <f>I180*M$2</f>
        <v>3407.27</v>
      </c>
      <c r="L180" s="125">
        <f t="shared" ref="L180:L185" si="152">J180*104</f>
        <v>533776.88</v>
      </c>
      <c r="M180" s="125">
        <f t="shared" ref="M180:M185" si="153">I180*104</f>
        <v>8216</v>
      </c>
      <c r="N180" s="19"/>
      <c r="O180" s="19"/>
      <c r="P180" s="146"/>
      <c r="Q180" s="183">
        <v>1</v>
      </c>
      <c r="R180" s="183"/>
      <c r="S180" s="206"/>
      <c r="T180" s="285"/>
      <c r="U180" s="191"/>
      <c r="V180" s="228"/>
      <c r="W180" s="182">
        <f>J180-(Q180*($M$2-$K$1))-(R180*($M$2-$M$1))- (S180*($M$2-$I$2))+ (T180*($G$2))</f>
        <v>5114.7400000000007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95">
        <v>36</v>
      </c>
      <c r="C181" s="295">
        <v>42</v>
      </c>
      <c r="D181" s="138">
        <f>'Data Ocupacion'!BB32</f>
        <v>37</v>
      </c>
      <c r="E181" s="138">
        <f>'Data Ocupacion'!BC32</f>
        <v>41</v>
      </c>
      <c r="F181" s="125" t="s">
        <v>52</v>
      </c>
      <c r="G181" s="125">
        <f t="shared" si="150"/>
        <v>119</v>
      </c>
      <c r="H181" s="125">
        <f t="shared" ref="H181:H185" si="154">B181+C181*2</f>
        <v>120</v>
      </c>
      <c r="I181" s="125">
        <f t="shared" si="151"/>
        <v>78</v>
      </c>
      <c r="J181" s="125">
        <f>G181*M$2</f>
        <v>5132.47</v>
      </c>
      <c r="K181" s="153">
        <f>I181*M$2</f>
        <v>3364.1400000000003</v>
      </c>
      <c r="L181" s="125">
        <f t="shared" si="152"/>
        <v>533776.88</v>
      </c>
      <c r="M181" s="125">
        <f t="shared" si="153"/>
        <v>8112</v>
      </c>
      <c r="N181" s="19"/>
      <c r="O181" s="19"/>
      <c r="P181" s="146"/>
      <c r="Q181" s="186"/>
      <c r="R181" s="186"/>
      <c r="S181" s="217"/>
      <c r="T181" s="285">
        <v>2</v>
      </c>
      <c r="U181" s="217"/>
      <c r="V181" s="206"/>
      <c r="W181" s="182">
        <f>J181-(Q181*($K$1)+(T181*($M$2-$K$1))+(U181*($M$2-$M$1)))</f>
        <v>5097.01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6"/>
      <c r="B182" s="295">
        <v>33</v>
      </c>
      <c r="C182" s="295">
        <v>3</v>
      </c>
      <c r="D182" s="126">
        <f>'Data Ocupacion'!BB33</f>
        <v>33</v>
      </c>
      <c r="E182" s="126">
        <f>'Data Ocupacion'!BC33</f>
        <v>3</v>
      </c>
      <c r="F182" s="125" t="s">
        <v>36</v>
      </c>
      <c r="G182" s="125">
        <f t="shared" si="150"/>
        <v>39</v>
      </c>
      <c r="H182" s="125">
        <f t="shared" si="154"/>
        <v>39</v>
      </c>
      <c r="I182" s="125">
        <f t="shared" si="151"/>
        <v>36</v>
      </c>
      <c r="J182" s="125">
        <f>G182*M$1</f>
        <v>1135.29</v>
      </c>
      <c r="K182" s="153">
        <f>I182*M$1</f>
        <v>1047.96</v>
      </c>
      <c r="L182" s="125">
        <f t="shared" si="152"/>
        <v>118070.16</v>
      </c>
      <c r="M182" s="125">
        <f t="shared" si="153"/>
        <v>3744</v>
      </c>
      <c r="N182" s="19"/>
      <c r="O182" s="19" t="s">
        <v>144</v>
      </c>
      <c r="P182" s="146"/>
      <c r="Q182" s="183">
        <v>3</v>
      </c>
      <c r="R182" s="190"/>
      <c r="S182" s="228"/>
      <c r="T182" s="186"/>
      <c r="U182" s="189"/>
      <c r="V182" s="189"/>
      <c r="W182" s="182">
        <f>J182-(Q182*($M$1-$K$1))</f>
        <v>1124.1599999999999</v>
      </c>
      <c r="X182" s="182">
        <f>H182*$M$1</f>
        <v>1135.29</v>
      </c>
    </row>
    <row r="183" spans="1:30" ht="15" customHeight="1" x14ac:dyDescent="0.25">
      <c r="A183" s="276"/>
      <c r="B183" s="295">
        <v>29</v>
      </c>
      <c r="C183" s="295">
        <v>3</v>
      </c>
      <c r="D183" s="126">
        <f>'Data Ocupacion'!BB34</f>
        <v>29</v>
      </c>
      <c r="E183" s="126">
        <f>'Data Ocupacion'!BC34</f>
        <v>3</v>
      </c>
      <c r="F183" s="125" t="s">
        <v>53</v>
      </c>
      <c r="G183" s="125">
        <f t="shared" si="150"/>
        <v>35</v>
      </c>
      <c r="H183" s="125">
        <f t="shared" si="154"/>
        <v>35</v>
      </c>
      <c r="I183" s="125">
        <f t="shared" si="151"/>
        <v>32</v>
      </c>
      <c r="J183" s="125">
        <f>G183*M$1</f>
        <v>1018.85</v>
      </c>
      <c r="K183" s="153">
        <f>I183*M$1</f>
        <v>931.52</v>
      </c>
      <c r="L183" s="125">
        <f t="shared" si="152"/>
        <v>105960.40000000001</v>
      </c>
      <c r="M183" s="125">
        <f t="shared" si="153"/>
        <v>3328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1018.85</v>
      </c>
      <c r="X183" s="182">
        <f>H183*$M$1</f>
        <v>1018.85</v>
      </c>
    </row>
    <row r="184" spans="1:30" ht="15" customHeight="1" x14ac:dyDescent="0.25">
      <c r="A184" s="276"/>
      <c r="B184" s="295">
        <v>0</v>
      </c>
      <c r="C184" s="295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95">
        <v>4</v>
      </c>
      <c r="C185" s="295">
        <v>0</v>
      </c>
      <c r="D185" s="126">
        <f>'Data Ocupacion'!BB36</f>
        <v>4</v>
      </c>
      <c r="E185" s="126">
        <f>'Data Ocupacion'!BC36</f>
        <v>0</v>
      </c>
      <c r="F185" s="125" t="s">
        <v>35</v>
      </c>
      <c r="G185" s="125">
        <f t="shared" si="150"/>
        <v>4</v>
      </c>
      <c r="H185" s="125">
        <f t="shared" si="154"/>
        <v>4</v>
      </c>
      <c r="I185" s="125">
        <f t="shared" si="151"/>
        <v>4</v>
      </c>
      <c r="J185" s="125">
        <f>G185*K$1</f>
        <v>101.6</v>
      </c>
      <c r="K185" s="153">
        <f>I185*K$1</f>
        <v>101.6</v>
      </c>
      <c r="L185" s="125">
        <f t="shared" si="152"/>
        <v>10566.4</v>
      </c>
      <c r="M185" s="125">
        <f t="shared" si="153"/>
        <v>416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101.6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142</v>
      </c>
      <c r="E186" s="152">
        <f>SUM(E180:E185)</f>
        <v>87</v>
      </c>
      <c r="F186" s="119"/>
      <c r="G186" s="119">
        <f t="shared" ref="G186:M186" si="155">SUM(G180:G185)</f>
        <v>316</v>
      </c>
      <c r="H186" s="119">
        <f t="shared" si="155"/>
        <v>318</v>
      </c>
      <c r="I186" s="119">
        <f t="shared" si="155"/>
        <v>229</v>
      </c>
      <c r="J186" s="120">
        <f t="shared" si="155"/>
        <v>12520.68</v>
      </c>
      <c r="K186" s="119">
        <f t="shared" si="155"/>
        <v>8852.49</v>
      </c>
      <c r="L186" s="118">
        <f t="shared" si="155"/>
        <v>1302150.7199999997</v>
      </c>
      <c r="M186" s="151">
        <f t="shared" si="155"/>
        <v>23816</v>
      </c>
      <c r="N186" s="123">
        <f>'Odometro-Kilometraje'!AA88</f>
        <v>12941</v>
      </c>
      <c r="O186" s="21">
        <f>(W186/N186)*100</f>
        <v>96.255003477320145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12456.36</v>
      </c>
      <c r="X186" s="193">
        <f>SUM(X180:X185)</f>
        <v>12606.940000000002</v>
      </c>
    </row>
    <row r="187" spans="1:30" x14ac:dyDescent="0.25">
      <c r="A187" s="60">
        <f>A180+1</f>
        <v>46200</v>
      </c>
      <c r="B187" s="116">
        <v>69</v>
      </c>
      <c r="C187" s="116">
        <v>3</v>
      </c>
      <c r="D187" s="147">
        <f>'Data Ocupacion'!BD31</f>
        <v>69</v>
      </c>
      <c r="E187" s="147">
        <f>'Data Ocupacion'!BE31</f>
        <v>3</v>
      </c>
      <c r="F187" s="319" t="s">
        <v>38</v>
      </c>
      <c r="G187" s="320">
        <f t="shared" ref="G187:G192" si="156">D187+E187*2</f>
        <v>75</v>
      </c>
      <c r="H187" s="116">
        <f>B187+C187*2</f>
        <v>75</v>
      </c>
      <c r="I187" s="321">
        <f t="shared" ref="I187:I192" si="157">D187+E187</f>
        <v>72</v>
      </c>
      <c r="J187" s="321">
        <f>G187*M$2</f>
        <v>3234.75</v>
      </c>
      <c r="K187" s="153">
        <f>I187*M$2</f>
        <v>3105.36</v>
      </c>
      <c r="L187" s="116">
        <f t="shared" ref="L187:L192" si="158">J187*104</f>
        <v>336414</v>
      </c>
      <c r="M187" s="116">
        <f t="shared" ref="M187:M192" si="159">I187*104</f>
        <v>7488</v>
      </c>
      <c r="N187" s="19"/>
      <c r="O187" s="19"/>
      <c r="P187" s="146"/>
      <c r="Q187" s="183"/>
      <c r="R187" s="183"/>
      <c r="S187" s="206"/>
      <c r="T187" s="285"/>
      <c r="U187" s="191"/>
      <c r="V187" s="228"/>
      <c r="W187" s="182">
        <f>J187-(Q187*($M$2-$K$1))-(R187*($M$2-$M$1))- (S187*($M$2-$I$2))+ (T187*($G$2))</f>
        <v>3234.75</v>
      </c>
      <c r="X187" s="182">
        <f>H187*$M$2</f>
        <v>3234.75</v>
      </c>
    </row>
    <row r="188" spans="1:30" ht="18" customHeight="1" x14ac:dyDescent="0.25">
      <c r="A188" s="276"/>
      <c r="B188" s="116">
        <v>75</v>
      </c>
      <c r="C188" s="116">
        <v>0</v>
      </c>
      <c r="D188" s="147">
        <f>'Data Ocupacion'!BD32</f>
        <v>75</v>
      </c>
      <c r="E188" s="147">
        <f>'Data Ocupacion'!BE32</f>
        <v>0</v>
      </c>
      <c r="F188" s="319" t="s">
        <v>52</v>
      </c>
      <c r="G188" s="320">
        <f t="shared" si="156"/>
        <v>75</v>
      </c>
      <c r="H188" s="116">
        <f t="shared" ref="H188:H192" si="160">B188+C188*2</f>
        <v>75</v>
      </c>
      <c r="I188" s="116">
        <f t="shared" si="157"/>
        <v>75</v>
      </c>
      <c r="J188" s="116">
        <f>G188*M$2</f>
        <v>3234.75</v>
      </c>
      <c r="K188" s="153">
        <f>I188*M$2</f>
        <v>3234.75</v>
      </c>
      <c r="L188" s="116">
        <f t="shared" si="158"/>
        <v>336414</v>
      </c>
      <c r="M188" s="116">
        <f t="shared" si="159"/>
        <v>7800</v>
      </c>
      <c r="N188" s="19"/>
      <c r="O188" s="19"/>
      <c r="P188" s="146"/>
      <c r="Q188" s="186"/>
      <c r="R188" s="186"/>
      <c r="S188" s="217"/>
      <c r="T188" s="183"/>
      <c r="U188" s="217"/>
      <c r="V188" s="229"/>
      <c r="W188" s="185">
        <f>J188-(T188*($M$2-$K$1)+(U188*($M$2-$M$1)))</f>
        <v>3234.75</v>
      </c>
      <c r="X188" s="182">
        <f>H188*$M$2</f>
        <v>3234.75</v>
      </c>
    </row>
    <row r="189" spans="1:30" ht="15" customHeight="1" x14ac:dyDescent="0.25">
      <c r="A189" s="276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9" t="s">
        <v>36</v>
      </c>
      <c r="G189" s="320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4"/>
      <c r="R189" s="190"/>
      <c r="S189" s="228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6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9" t="s">
        <v>53</v>
      </c>
      <c r="G190" s="320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6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9" t="s">
        <v>122</v>
      </c>
      <c r="G191" s="320">
        <f t="shared" si="156"/>
        <v>0</v>
      </c>
      <c r="H191" s="116">
        <f t="shared" si="160"/>
        <v>0</v>
      </c>
      <c r="I191" s="116">
        <f t="shared" si="157"/>
        <v>0</v>
      </c>
      <c r="J191" s="322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9" t="s">
        <v>35</v>
      </c>
      <c r="G192" s="320">
        <f t="shared" si="156"/>
        <v>0</v>
      </c>
      <c r="H192" s="116">
        <f t="shared" si="160"/>
        <v>0</v>
      </c>
      <c r="I192" s="323">
        <f t="shared" si="157"/>
        <v>0</v>
      </c>
      <c r="J192" s="323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144</v>
      </c>
      <c r="E193" s="148">
        <f>SUM(E187:E192)</f>
        <v>3</v>
      </c>
      <c r="F193" s="119"/>
      <c r="G193" s="119">
        <f t="shared" ref="G193:M193" si="161">SUM(G187:G192)</f>
        <v>150</v>
      </c>
      <c r="H193" s="119">
        <f t="shared" si="161"/>
        <v>150</v>
      </c>
      <c r="I193" s="119">
        <f t="shared" si="161"/>
        <v>147</v>
      </c>
      <c r="J193" s="119">
        <f t="shared" si="161"/>
        <v>6469.5</v>
      </c>
      <c r="K193" s="119">
        <f t="shared" si="161"/>
        <v>6340.1100000000006</v>
      </c>
      <c r="L193" s="119">
        <f t="shared" si="161"/>
        <v>672828</v>
      </c>
      <c r="M193" s="119">
        <f t="shared" si="161"/>
        <v>15288</v>
      </c>
      <c r="N193" s="123">
        <f>'Odometro-Kilometraje'!AB88</f>
        <v>6479</v>
      </c>
      <c r="O193" s="21">
        <f>(W193/N193)*100</f>
        <v>99.853372434017601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6469.5</v>
      </c>
      <c r="X193" s="193">
        <f>SUM(X187:X192)</f>
        <v>6469.5</v>
      </c>
    </row>
    <row r="194" spans="1:25" x14ac:dyDescent="0.25">
      <c r="A194" s="60">
        <f>A187+1</f>
        <v>46201</v>
      </c>
      <c r="B194" s="218">
        <v>51</v>
      </c>
      <c r="C194" s="218">
        <v>3</v>
      </c>
      <c r="D194" s="138">
        <f>'Data Ocupacion'!BF31</f>
        <v>51</v>
      </c>
      <c r="E194" s="138">
        <f>'Data Ocupacion'!BG31</f>
        <v>3</v>
      </c>
      <c r="F194" s="331" t="s">
        <v>38</v>
      </c>
      <c r="G194" s="332">
        <f t="shared" ref="G194:G199" si="162">D194+E194*2</f>
        <v>57</v>
      </c>
      <c r="H194" s="218">
        <f>B194+C194*2</f>
        <v>57</v>
      </c>
      <c r="I194" s="333">
        <f t="shared" ref="I194:I199" si="163">D194+E194</f>
        <v>54</v>
      </c>
      <c r="J194" s="333">
        <f>G194*M$2</f>
        <v>2458.4100000000003</v>
      </c>
      <c r="K194" s="153">
        <f>I194*M$2</f>
        <v>2329.02</v>
      </c>
      <c r="L194" s="218">
        <f t="shared" ref="L194:L199" si="164">J194*104</f>
        <v>255674.64000000004</v>
      </c>
      <c r="M194" s="218">
        <f t="shared" ref="M194:M199" si="165">I194*104</f>
        <v>5616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2458.4100000000003</v>
      </c>
      <c r="X194" s="182">
        <f>H194*$M$2</f>
        <v>2458.4100000000003</v>
      </c>
    </row>
    <row r="195" spans="1:25" ht="15" customHeight="1" x14ac:dyDescent="0.25">
      <c r="A195" s="202"/>
      <c r="B195" s="218">
        <v>57</v>
      </c>
      <c r="C195" s="218">
        <v>0</v>
      </c>
      <c r="D195" s="138">
        <f>'Data Ocupacion'!BF32</f>
        <v>57</v>
      </c>
      <c r="E195" s="138">
        <f>'Data Ocupacion'!BG32</f>
        <v>0</v>
      </c>
      <c r="F195" s="331" t="s">
        <v>52</v>
      </c>
      <c r="G195" s="332">
        <f t="shared" si="162"/>
        <v>57</v>
      </c>
      <c r="H195" s="218">
        <f t="shared" ref="H195:H199" si="166">B195+C195*2</f>
        <v>57</v>
      </c>
      <c r="I195" s="218">
        <f t="shared" si="163"/>
        <v>57</v>
      </c>
      <c r="J195" s="218">
        <f>G195*M$2</f>
        <v>2458.4100000000003</v>
      </c>
      <c r="K195" s="153">
        <f>I195*M$2</f>
        <v>2458.4100000000003</v>
      </c>
      <c r="L195" s="218">
        <f t="shared" si="164"/>
        <v>255674.64000000004</v>
      </c>
      <c r="M195" s="218">
        <f t="shared" si="165"/>
        <v>5928</v>
      </c>
      <c r="N195" s="19"/>
      <c r="O195" s="19"/>
      <c r="P195" s="146"/>
      <c r="Q195" s="186"/>
      <c r="R195" s="186"/>
      <c r="S195" s="217"/>
      <c r="T195" s="183"/>
      <c r="U195" s="217"/>
      <c r="V195" s="229"/>
      <c r="W195" s="185">
        <f>J195-(T195*($M$2-$K$1)+(U195*($M$2-$M$1)))</f>
        <v>2458.4100000000003</v>
      </c>
      <c r="X195" s="182">
        <f>H195*$M$2</f>
        <v>2458.4100000000003</v>
      </c>
    </row>
    <row r="196" spans="1:25" ht="15" customHeight="1" x14ac:dyDescent="0.25">
      <c r="A196" s="202"/>
      <c r="B196" s="218">
        <v>0</v>
      </c>
      <c r="C196" s="218">
        <v>0</v>
      </c>
      <c r="D196" s="138">
        <f>'Data Ocupacion'!BF33</f>
        <v>0</v>
      </c>
      <c r="E196" s="138">
        <f>'Data Ocupacion'!BG33</f>
        <v>0</v>
      </c>
      <c r="F196" s="331" t="s">
        <v>36</v>
      </c>
      <c r="G196" s="332">
        <f t="shared" si="162"/>
        <v>0</v>
      </c>
      <c r="H196" s="218">
        <f t="shared" si="166"/>
        <v>0</v>
      </c>
      <c r="I196" s="218">
        <f t="shared" si="163"/>
        <v>0</v>
      </c>
      <c r="J196" s="218">
        <f>G196*M$1</f>
        <v>0</v>
      </c>
      <c r="K196" s="153">
        <f>I196*M$1</f>
        <v>0</v>
      </c>
      <c r="L196" s="218">
        <f t="shared" si="164"/>
        <v>0</v>
      </c>
      <c r="M196" s="218">
        <f t="shared" si="165"/>
        <v>0</v>
      </c>
      <c r="N196" s="19"/>
      <c r="O196" s="19" t="s">
        <v>144</v>
      </c>
      <c r="P196" s="146"/>
      <c r="Q196" s="244"/>
      <c r="R196" s="190"/>
      <c r="S196" s="228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2"/>
      <c r="B197" s="218">
        <v>0</v>
      </c>
      <c r="C197" s="218">
        <v>0</v>
      </c>
      <c r="D197" s="138">
        <f>'Data Ocupacion'!BF34</f>
        <v>0</v>
      </c>
      <c r="E197" s="138">
        <f>'Data Ocupacion'!BG34</f>
        <v>0</v>
      </c>
      <c r="F197" s="331" t="s">
        <v>53</v>
      </c>
      <c r="G197" s="332">
        <f t="shared" si="162"/>
        <v>0</v>
      </c>
      <c r="H197" s="218">
        <f t="shared" si="166"/>
        <v>0</v>
      </c>
      <c r="I197" s="218">
        <f t="shared" si="163"/>
        <v>0</v>
      </c>
      <c r="J197" s="218">
        <f>G197*M$1</f>
        <v>0</v>
      </c>
      <c r="K197" s="153">
        <f>I197*M$1</f>
        <v>0</v>
      </c>
      <c r="L197" s="218">
        <f t="shared" si="164"/>
        <v>0</v>
      </c>
      <c r="M197" s="218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2"/>
      <c r="B198" s="218">
        <v>0</v>
      </c>
      <c r="C198" s="218">
        <v>0</v>
      </c>
      <c r="D198" s="138">
        <f>'Data Ocupacion'!BF35</f>
        <v>0</v>
      </c>
      <c r="E198" s="138">
        <f>'Data Ocupacion'!BG35</f>
        <v>0</v>
      </c>
      <c r="F198" s="331" t="s">
        <v>122</v>
      </c>
      <c r="G198" s="332">
        <f t="shared" si="162"/>
        <v>0</v>
      </c>
      <c r="H198" s="218">
        <f t="shared" si="166"/>
        <v>0</v>
      </c>
      <c r="I198" s="218">
        <f t="shared" si="163"/>
        <v>0</v>
      </c>
      <c r="J198" s="334">
        <f>G198*K$1</f>
        <v>0</v>
      </c>
      <c r="K198" s="153">
        <f>I198*K$1</f>
        <v>0</v>
      </c>
      <c r="L198" s="218">
        <f t="shared" si="164"/>
        <v>0</v>
      </c>
      <c r="M198" s="218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18">
        <v>0</v>
      </c>
      <c r="C199" s="218">
        <v>0</v>
      </c>
      <c r="D199" s="138">
        <f>'Data Ocupacion'!BF36</f>
        <v>0</v>
      </c>
      <c r="E199" s="138">
        <f>'Data Ocupacion'!BG36</f>
        <v>0</v>
      </c>
      <c r="F199" s="331" t="s">
        <v>35</v>
      </c>
      <c r="G199" s="332">
        <f t="shared" si="162"/>
        <v>0</v>
      </c>
      <c r="H199" s="218">
        <f t="shared" si="166"/>
        <v>0</v>
      </c>
      <c r="I199" s="335">
        <f t="shared" si="163"/>
        <v>0</v>
      </c>
      <c r="J199" s="335">
        <f>G199*K$1</f>
        <v>0</v>
      </c>
      <c r="K199" s="153">
        <f>I199*K$1</f>
        <v>0</v>
      </c>
      <c r="L199" s="218">
        <f t="shared" si="164"/>
        <v>0</v>
      </c>
      <c r="M199" s="218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108</v>
      </c>
      <c r="E200" s="148">
        <f>SUM(E194:E199)</f>
        <v>3</v>
      </c>
      <c r="F200" s="119"/>
      <c r="G200" s="119">
        <f t="shared" ref="G200:M200" si="167">SUM(G194:G199)</f>
        <v>114</v>
      </c>
      <c r="H200" s="119">
        <f t="shared" si="167"/>
        <v>114</v>
      </c>
      <c r="I200" s="119">
        <f t="shared" si="167"/>
        <v>111</v>
      </c>
      <c r="J200" s="119">
        <f t="shared" si="167"/>
        <v>4916.8200000000006</v>
      </c>
      <c r="K200" s="119">
        <f t="shared" si="167"/>
        <v>4787.43</v>
      </c>
      <c r="L200" s="119">
        <f t="shared" si="167"/>
        <v>511349.28000000009</v>
      </c>
      <c r="M200" s="119">
        <f t="shared" si="167"/>
        <v>11544</v>
      </c>
      <c r="N200" s="123">
        <f>'Odometro-Kilometraje'!AC88</f>
        <v>4983</v>
      </c>
      <c r="O200" s="21">
        <f>(W200/N200)*100</f>
        <v>98.67188440698375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4916.8200000000006</v>
      </c>
      <c r="X200" s="193">
        <f>SUM(X194:X199)</f>
        <v>4916.8200000000006</v>
      </c>
    </row>
    <row r="201" spans="1:25" x14ac:dyDescent="0.25">
      <c r="A201" s="60">
        <f>A194+1</f>
        <v>46202</v>
      </c>
      <c r="B201" s="218">
        <v>51</v>
      </c>
      <c r="C201" s="218">
        <v>3</v>
      </c>
      <c r="D201" s="138">
        <f>'Data Ocupacion'!BH31</f>
        <v>51</v>
      </c>
      <c r="E201" s="138">
        <f>'Data Ocupacion'!BI31</f>
        <v>3</v>
      </c>
      <c r="F201" s="218" t="s">
        <v>38</v>
      </c>
      <c r="G201" s="218">
        <f t="shared" ref="G201:G206" si="168">D201+E201*2</f>
        <v>57</v>
      </c>
      <c r="H201" s="218">
        <f>B201+C201*2</f>
        <v>57</v>
      </c>
      <c r="I201" s="218">
        <f t="shared" ref="I201:I206" si="169">D201+E201</f>
        <v>54</v>
      </c>
      <c r="J201" s="218">
        <f>G201*M$2</f>
        <v>2458.4100000000003</v>
      </c>
      <c r="K201" s="153">
        <f>I201*M$2</f>
        <v>2329.02</v>
      </c>
      <c r="L201" s="218">
        <f t="shared" ref="L201:L206" si="170">J201*104</f>
        <v>255674.64000000004</v>
      </c>
      <c r="M201" s="218">
        <f t="shared" ref="M201:M206" si="171">I201*104</f>
        <v>5616</v>
      </c>
      <c r="N201" s="19"/>
      <c r="O201" s="19"/>
      <c r="P201" s="146"/>
      <c r="Q201" s="183"/>
      <c r="R201" s="183"/>
      <c r="S201" s="206"/>
      <c r="T201" s="244"/>
      <c r="U201" s="191"/>
      <c r="V201" s="228"/>
      <c r="W201" s="182">
        <f>J201-(Q201*($M$2-$K$1))-(R201*($M$2-$M$1))- (S201*($M$2-$I$2))+ (T201*($G$2))</f>
        <v>2458.4100000000003</v>
      </c>
      <c r="X201" s="182">
        <f>H201*$M$2</f>
        <v>2458.4100000000003</v>
      </c>
    </row>
    <row r="202" spans="1:25" x14ac:dyDescent="0.25">
      <c r="A202" s="202"/>
      <c r="B202" s="218">
        <v>57</v>
      </c>
      <c r="C202" s="218">
        <v>0</v>
      </c>
      <c r="D202" s="138">
        <f>'Data Ocupacion'!BH32</f>
        <v>57</v>
      </c>
      <c r="E202" s="138">
        <f>'Data Ocupacion'!BI32</f>
        <v>0</v>
      </c>
      <c r="F202" s="218" t="s">
        <v>52</v>
      </c>
      <c r="G202" s="218">
        <f t="shared" si="168"/>
        <v>57</v>
      </c>
      <c r="H202" s="218">
        <f t="shared" ref="H202:H206" si="172">B202+C202*2</f>
        <v>57</v>
      </c>
      <c r="I202" s="218">
        <f t="shared" si="169"/>
        <v>57</v>
      </c>
      <c r="J202" s="218">
        <f>G202*M$2</f>
        <v>2458.4100000000003</v>
      </c>
      <c r="K202" s="153">
        <f>I202*M$2</f>
        <v>2458.4100000000003</v>
      </c>
      <c r="L202" s="218">
        <f t="shared" si="170"/>
        <v>255674.64000000004</v>
      </c>
      <c r="M202" s="218">
        <f t="shared" si="171"/>
        <v>5928</v>
      </c>
      <c r="N202" s="19"/>
      <c r="O202" s="19"/>
      <c r="P202" s="146"/>
      <c r="Q202" s="186"/>
      <c r="R202" s="186"/>
      <c r="S202" s="217"/>
      <c r="T202" s="183"/>
      <c r="U202" s="217"/>
      <c r="V202" s="229"/>
      <c r="W202" s="185">
        <f>J202-(T202*($M$2-$K$1)+(U202*($M$2-$M$1)))</f>
        <v>2458.4100000000003</v>
      </c>
      <c r="X202" s="182">
        <f>H202*$M$2</f>
        <v>2458.4100000000003</v>
      </c>
    </row>
    <row r="203" spans="1:25" s="124" customFormat="1" x14ac:dyDescent="0.25">
      <c r="A203" s="202"/>
      <c r="B203" s="218">
        <v>0</v>
      </c>
      <c r="C203" s="218">
        <v>0</v>
      </c>
      <c r="D203" s="138">
        <f>'Data Ocupacion'!BH33</f>
        <v>0</v>
      </c>
      <c r="E203" s="138">
        <f>'Data Ocupacion'!BI33</f>
        <v>0</v>
      </c>
      <c r="F203" s="218" t="s">
        <v>36</v>
      </c>
      <c r="G203" s="218">
        <f t="shared" si="168"/>
        <v>0</v>
      </c>
      <c r="H203" s="218">
        <f t="shared" si="172"/>
        <v>0</v>
      </c>
      <c r="I203" s="218">
        <f t="shared" si="169"/>
        <v>0</v>
      </c>
      <c r="J203" s="218">
        <f>G203*M$1</f>
        <v>0</v>
      </c>
      <c r="K203" s="153">
        <f>I203*M$1</f>
        <v>0</v>
      </c>
      <c r="L203" s="218">
        <f t="shared" si="170"/>
        <v>0</v>
      </c>
      <c r="M203" s="218">
        <f t="shared" si="171"/>
        <v>0</v>
      </c>
      <c r="N203" s="19"/>
      <c r="O203" s="19"/>
      <c r="P203" s="146"/>
      <c r="Q203" s="183"/>
      <c r="R203" s="187"/>
      <c r="S203" s="207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2"/>
      <c r="B204" s="218">
        <v>0</v>
      </c>
      <c r="C204" s="218">
        <v>0</v>
      </c>
      <c r="D204" s="138">
        <f>'Data Ocupacion'!BH34</f>
        <v>0</v>
      </c>
      <c r="E204" s="138">
        <f>'Data Ocupacion'!BI34</f>
        <v>0</v>
      </c>
      <c r="F204" s="218" t="s">
        <v>53</v>
      </c>
      <c r="G204" s="218">
        <f t="shared" si="168"/>
        <v>0</v>
      </c>
      <c r="H204" s="218">
        <f t="shared" si="172"/>
        <v>0</v>
      </c>
      <c r="I204" s="218">
        <f t="shared" si="169"/>
        <v>0</v>
      </c>
      <c r="J204" s="218">
        <f>G204*M$1</f>
        <v>0</v>
      </c>
      <c r="K204" s="153">
        <f>I204*M$1</f>
        <v>0</v>
      </c>
      <c r="L204" s="218">
        <f t="shared" si="170"/>
        <v>0</v>
      </c>
      <c r="M204" s="218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2"/>
      <c r="B205" s="218">
        <v>0</v>
      </c>
      <c r="C205" s="218">
        <v>0</v>
      </c>
      <c r="D205" s="138">
        <f>'Data Ocupacion'!BH35</f>
        <v>0</v>
      </c>
      <c r="E205" s="138">
        <f>'Data Ocupacion'!BI35</f>
        <v>0</v>
      </c>
      <c r="F205" s="218" t="s">
        <v>122</v>
      </c>
      <c r="G205" s="218">
        <f t="shared" si="168"/>
        <v>0</v>
      </c>
      <c r="H205" s="218">
        <f t="shared" si="172"/>
        <v>0</v>
      </c>
      <c r="I205" s="218">
        <f t="shared" si="169"/>
        <v>0</v>
      </c>
      <c r="J205" s="218">
        <f>G205*K$1</f>
        <v>0</v>
      </c>
      <c r="K205" s="153">
        <f>I205*M$1</f>
        <v>0</v>
      </c>
      <c r="L205" s="218">
        <f t="shared" si="170"/>
        <v>0</v>
      </c>
      <c r="M205" s="218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18">
        <v>0</v>
      </c>
      <c r="C206" s="218">
        <v>0</v>
      </c>
      <c r="D206" s="138">
        <f>'Data Ocupacion'!BH36</f>
        <v>0</v>
      </c>
      <c r="E206" s="138">
        <f>'Data Ocupacion'!BI36</f>
        <v>0</v>
      </c>
      <c r="F206" s="218" t="s">
        <v>35</v>
      </c>
      <c r="G206" s="218">
        <f t="shared" si="168"/>
        <v>0</v>
      </c>
      <c r="H206" s="218">
        <f t="shared" si="172"/>
        <v>0</v>
      </c>
      <c r="I206" s="218">
        <f t="shared" si="169"/>
        <v>0</v>
      </c>
      <c r="J206" s="218">
        <f>G206*K$1</f>
        <v>0</v>
      </c>
      <c r="K206" s="153">
        <f>I206*K$1</f>
        <v>0</v>
      </c>
      <c r="L206" s="218">
        <f t="shared" si="170"/>
        <v>0</v>
      </c>
      <c r="M206" s="218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108</v>
      </c>
      <c r="E207" s="148">
        <f>SUM(E201:E206)</f>
        <v>3</v>
      </c>
      <c r="F207" s="119"/>
      <c r="G207" s="119">
        <f t="shared" ref="G207:L207" si="173">SUM(G201:G206)</f>
        <v>114</v>
      </c>
      <c r="H207" s="119">
        <f t="shared" si="173"/>
        <v>114</v>
      </c>
      <c r="I207" s="119">
        <f t="shared" si="173"/>
        <v>111</v>
      </c>
      <c r="J207" s="119">
        <f t="shared" si="173"/>
        <v>4916.8200000000006</v>
      </c>
      <c r="K207" s="119">
        <f t="shared" si="173"/>
        <v>4787.43</v>
      </c>
      <c r="L207" s="119">
        <f t="shared" si="173"/>
        <v>511349.28000000009</v>
      </c>
      <c r="M207" s="123">
        <f>SUM(M201:M206)</f>
        <v>11544</v>
      </c>
      <c r="N207" s="123">
        <f>'Odometro-Kilometraje'!AD88</f>
        <v>4958</v>
      </c>
      <c r="O207" s="21">
        <f>(W207/N207)*100</f>
        <v>99.169423154497792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4916.8200000000006</v>
      </c>
      <c r="X207" s="193">
        <f>SUM(X201:X206)</f>
        <v>4916.8200000000006</v>
      </c>
      <c r="Y207" s="243"/>
    </row>
    <row r="208" spans="1:25" s="124" customFormat="1" x14ac:dyDescent="0.25">
      <c r="A208" s="60">
        <f>A201+1</f>
        <v>46203</v>
      </c>
      <c r="B208" s="295">
        <v>38</v>
      </c>
      <c r="C208" s="295">
        <v>41</v>
      </c>
      <c r="D208" s="147">
        <f>'Data Ocupacion'!BJ31</f>
        <v>0</v>
      </c>
      <c r="E208" s="147">
        <f>'Data Ocupacion'!BK31</f>
        <v>0</v>
      </c>
      <c r="F208" s="220" t="s">
        <v>38</v>
      </c>
      <c r="G208" s="221">
        <f t="shared" ref="G208:G213" si="174">D208+E208*2</f>
        <v>0</v>
      </c>
      <c r="H208" s="125">
        <f>B208+C208*2</f>
        <v>120</v>
      </c>
      <c r="I208" s="222">
        <f t="shared" ref="I208:I213" si="175">D208+E208</f>
        <v>0</v>
      </c>
      <c r="J208" s="222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4"/>
      <c r="R208" s="183"/>
      <c r="S208" s="206"/>
      <c r="T208" s="244"/>
      <c r="U208" s="191"/>
      <c r="V208" s="228"/>
      <c r="W208" s="182">
        <f>J208-(Q208*($M$2-$K$1))-(R208*($M$2-$M$1))- (S208*($M$2-$I$2))+ (T208*($G$2))</f>
        <v>0</v>
      </c>
      <c r="X208" s="182">
        <f>H208*$M$2</f>
        <v>5175.6000000000004</v>
      </c>
    </row>
    <row r="209" spans="1:28" s="124" customFormat="1" x14ac:dyDescent="0.25">
      <c r="A209" s="202"/>
      <c r="B209" s="295">
        <v>36</v>
      </c>
      <c r="C209" s="295">
        <v>42</v>
      </c>
      <c r="D209" s="126">
        <f>'Data Ocupacion'!BJ32</f>
        <v>0</v>
      </c>
      <c r="E209" s="126">
        <f>'Data Ocupacion'!BK32</f>
        <v>0</v>
      </c>
      <c r="F209" s="220" t="s">
        <v>52</v>
      </c>
      <c r="G209" s="221">
        <f t="shared" si="174"/>
        <v>0</v>
      </c>
      <c r="H209" s="125">
        <f t="shared" ref="H209:H213" si="178">B209+C209*2</f>
        <v>120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6"/>
      <c r="R209" s="186"/>
      <c r="S209" s="186"/>
      <c r="T209" s="183"/>
      <c r="U209" s="183"/>
      <c r="V209" s="206"/>
      <c r="W209" s="185">
        <f>J209-(T209*($M$2-$K$1)+(U209*($M$2-$M$1)))</f>
        <v>0</v>
      </c>
      <c r="X209" s="182">
        <f>H209*$M$2</f>
        <v>5175.6000000000004</v>
      </c>
    </row>
    <row r="210" spans="1:28" s="124" customFormat="1" x14ac:dyDescent="0.25">
      <c r="A210" s="202"/>
      <c r="B210" s="295">
        <v>33</v>
      </c>
      <c r="C210" s="295">
        <v>3</v>
      </c>
      <c r="D210" s="147">
        <f>'Data Ocupacion'!BJ33</f>
        <v>0</v>
      </c>
      <c r="E210" s="147">
        <f>'Data Ocupacion'!BK33</f>
        <v>0</v>
      </c>
      <c r="F210" s="220" t="s">
        <v>36</v>
      </c>
      <c r="G210" s="221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4"/>
      <c r="R210" s="187"/>
      <c r="S210" s="207"/>
      <c r="T210" s="188"/>
      <c r="U210" s="189"/>
      <c r="V210" s="189"/>
      <c r="W210" s="182">
        <f>J210-(Q210*($M$1-$K$1))</f>
        <v>0</v>
      </c>
      <c r="X210" s="182">
        <f>H210*$M$1</f>
        <v>1135.29</v>
      </c>
    </row>
    <row r="211" spans="1:28" s="124" customFormat="1" x14ac:dyDescent="0.25">
      <c r="A211" s="202"/>
      <c r="B211" s="295">
        <v>29</v>
      </c>
      <c r="C211" s="295">
        <v>3</v>
      </c>
      <c r="D211" s="147">
        <f>'Data Ocupacion'!BJ34</f>
        <v>0</v>
      </c>
      <c r="E211" s="147">
        <f>'Data Ocupacion'!BK34</f>
        <v>0</v>
      </c>
      <c r="F211" s="220" t="s">
        <v>53</v>
      </c>
      <c r="G211" s="221">
        <f t="shared" si="174"/>
        <v>0</v>
      </c>
      <c r="H211" s="125">
        <f t="shared" si="178"/>
        <v>35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1018.85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47">
        <f>'Data Ocupacion'!BJ36</f>
        <v>0</v>
      </c>
      <c r="E213" s="147">
        <f>'Data Ocupacion'!BK36</f>
        <v>0</v>
      </c>
      <c r="F213" s="220" t="s">
        <v>35</v>
      </c>
      <c r="G213" s="221">
        <f t="shared" si="174"/>
        <v>0</v>
      </c>
      <c r="H213" s="125">
        <f t="shared" si="178"/>
        <v>4</v>
      </c>
      <c r="I213" s="224">
        <f t="shared" si="175"/>
        <v>0</v>
      </c>
      <c r="J213" s="224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9">SUM(G208:G213)</f>
        <v>0</v>
      </c>
      <c r="H214" s="119">
        <f t="shared" si="179"/>
        <v>318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19">
        <f t="shared" si="179"/>
        <v>0</v>
      </c>
      <c r="N214" s="123">
        <f>'Odometro-Kilometraje'!AE88</f>
        <v>-63937011</v>
      </c>
      <c r="O214" s="21">
        <f>(W214/N214)*100</f>
        <v>0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0</v>
      </c>
      <c r="X214" s="193">
        <f>SUM(X208:X213)</f>
        <v>12606.940000000002</v>
      </c>
      <c r="Y214" s="257"/>
    </row>
    <row r="215" spans="1:28" s="124" customFormat="1" ht="1.5" customHeight="1" x14ac:dyDescent="0.25">
      <c r="A215" s="60">
        <f>A208+1</f>
        <v>46204</v>
      </c>
      <c r="B215" s="218">
        <v>51</v>
      </c>
      <c r="C215" s="218">
        <v>3</v>
      </c>
      <c r="D215" s="138" t="e">
        <f>'Data Ocupacion'!#REF!</f>
        <v>#REF!</v>
      </c>
      <c r="E215" s="138" t="e">
        <f>'Data Ocupacion'!#REF!</f>
        <v>#REF!</v>
      </c>
      <c r="F215" s="218" t="s">
        <v>38</v>
      </c>
      <c r="G215" s="218" t="e">
        <f t="shared" ref="G215:G220" si="180">D215+E215*2</f>
        <v>#REF!</v>
      </c>
      <c r="H215" s="218">
        <f>B215+C215*2</f>
        <v>57</v>
      </c>
      <c r="I215" s="218" t="e">
        <f t="shared" ref="I215:I220" si="181">D215+E215</f>
        <v>#REF!</v>
      </c>
      <c r="J215" s="218" t="e">
        <f>G215*M$2</f>
        <v>#REF!</v>
      </c>
      <c r="K215" s="153" t="e">
        <f>I215*M$2</f>
        <v>#REF!</v>
      </c>
      <c r="L215" s="218" t="e">
        <f t="shared" ref="L215:L220" si="182">J215*104</f>
        <v>#REF!</v>
      </c>
      <c r="M215" s="218" t="e">
        <f t="shared" ref="M215:M220" si="183">I215*104</f>
        <v>#REF!</v>
      </c>
      <c r="N215" s="19"/>
      <c r="O215" s="19"/>
      <c r="P215" s="146"/>
      <c r="Q215" s="183"/>
      <c r="R215" s="183"/>
      <c r="S215" s="206"/>
      <c r="T215" s="244"/>
      <c r="U215" s="191"/>
      <c r="V215" s="228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7"/>
    </row>
    <row r="216" spans="1:28" s="124" customFormat="1" hidden="1" x14ac:dyDescent="0.25">
      <c r="A216" s="202"/>
      <c r="B216" s="218">
        <v>57</v>
      </c>
      <c r="C216" s="218">
        <v>0</v>
      </c>
      <c r="D216" s="138" t="e">
        <f>'Data Ocupacion'!#REF!</f>
        <v>#REF!</v>
      </c>
      <c r="E216" s="138" t="e">
        <f>'Data Ocupacion'!#REF!</f>
        <v>#REF!</v>
      </c>
      <c r="F216" s="218" t="s">
        <v>52</v>
      </c>
      <c r="G216" s="218" t="e">
        <f t="shared" si="180"/>
        <v>#REF!</v>
      </c>
      <c r="H216" s="218">
        <f t="shared" ref="H216:H220" si="184">B216+C216*2</f>
        <v>57</v>
      </c>
      <c r="I216" s="218" t="e">
        <f t="shared" si="181"/>
        <v>#REF!</v>
      </c>
      <c r="J216" s="218" t="e">
        <f>G216*M$2</f>
        <v>#REF!</v>
      </c>
      <c r="K216" s="153" t="e">
        <f>I216*M$2</f>
        <v>#REF!</v>
      </c>
      <c r="L216" s="218" t="e">
        <f t="shared" si="182"/>
        <v>#REF!</v>
      </c>
      <c r="M216" s="218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6"/>
      <c r="W216" s="185" t="e">
        <f>J216-(T216*($M$2-$K$1)+(U216*($M$2-$M$1)))</f>
        <v>#REF!</v>
      </c>
      <c r="X216" s="182">
        <f>H216*$M$2</f>
        <v>2458.4100000000003</v>
      </c>
      <c r="Y216" s="287"/>
    </row>
    <row r="217" spans="1:28" s="124" customFormat="1" hidden="1" x14ac:dyDescent="0.25">
      <c r="A217" s="202"/>
      <c r="B217" s="218">
        <v>0</v>
      </c>
      <c r="C217" s="218">
        <v>0</v>
      </c>
      <c r="D217" s="138" t="e">
        <f>'Data Ocupacion'!#REF!</f>
        <v>#REF!</v>
      </c>
      <c r="E217" s="138" t="e">
        <f>'Data Ocupacion'!#REF!</f>
        <v>#REF!</v>
      </c>
      <c r="F217" s="218" t="s">
        <v>36</v>
      </c>
      <c r="G217" s="218" t="e">
        <f t="shared" si="180"/>
        <v>#REF!</v>
      </c>
      <c r="H217" s="218">
        <f t="shared" si="184"/>
        <v>0</v>
      </c>
      <c r="I217" s="218" t="e">
        <f t="shared" si="181"/>
        <v>#REF!</v>
      </c>
      <c r="J217" s="218" t="e">
        <f>G217*M$1</f>
        <v>#REF!</v>
      </c>
      <c r="K217" s="153" t="e">
        <f>I217*M$1</f>
        <v>#REF!</v>
      </c>
      <c r="L217" s="218" t="e">
        <f t="shared" si="182"/>
        <v>#REF!</v>
      </c>
      <c r="M217" s="218" t="e">
        <f t="shared" si="183"/>
        <v>#REF!</v>
      </c>
      <c r="N217" s="19"/>
      <c r="O217" s="19"/>
      <c r="P217" s="146"/>
      <c r="Q217" s="244"/>
      <c r="R217" s="187"/>
      <c r="S217" s="207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7"/>
    </row>
    <row r="218" spans="1:28" s="124" customFormat="1" hidden="1" x14ac:dyDescent="0.25">
      <c r="A218" s="202"/>
      <c r="B218" s="218">
        <v>0</v>
      </c>
      <c r="C218" s="218">
        <v>0</v>
      </c>
      <c r="D218" s="138" t="e">
        <f>'Data Ocupacion'!#REF!</f>
        <v>#REF!</v>
      </c>
      <c r="E218" s="138" t="e">
        <f>'Data Ocupacion'!#REF!</f>
        <v>#REF!</v>
      </c>
      <c r="F218" s="218" t="s">
        <v>53</v>
      </c>
      <c r="G218" s="218" t="e">
        <f t="shared" si="180"/>
        <v>#REF!</v>
      </c>
      <c r="H218" s="218">
        <f t="shared" si="184"/>
        <v>0</v>
      </c>
      <c r="I218" s="218" t="e">
        <f t="shared" si="181"/>
        <v>#REF!</v>
      </c>
      <c r="J218" s="218" t="e">
        <f>G218*M$1</f>
        <v>#REF!</v>
      </c>
      <c r="K218" s="153" t="e">
        <f>I218*M$1</f>
        <v>#REF!</v>
      </c>
      <c r="L218" s="218" t="e">
        <f t="shared" si="182"/>
        <v>#REF!</v>
      </c>
      <c r="M218" s="218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7"/>
    </row>
    <row r="219" spans="1:28" s="124" customFormat="1" hidden="1" x14ac:dyDescent="0.25">
      <c r="A219" s="202"/>
      <c r="B219" s="218">
        <v>0</v>
      </c>
      <c r="C219" s="218">
        <v>0</v>
      </c>
      <c r="D219" s="138" t="e">
        <f>'Data Ocupacion'!#REF!</f>
        <v>#REF!</v>
      </c>
      <c r="E219" s="138" t="e">
        <f>'Data Ocupacion'!#REF!</f>
        <v>#REF!</v>
      </c>
      <c r="F219" s="218" t="s">
        <v>122</v>
      </c>
      <c r="G219" s="218" t="e">
        <f t="shared" si="180"/>
        <v>#REF!</v>
      </c>
      <c r="H219" s="218">
        <f t="shared" si="184"/>
        <v>0</v>
      </c>
      <c r="I219" s="218" t="e">
        <f t="shared" si="181"/>
        <v>#REF!</v>
      </c>
      <c r="J219" s="218" t="e">
        <f>G219*K$1</f>
        <v>#REF!</v>
      </c>
      <c r="K219" s="153" t="e">
        <f>I219*K$1</f>
        <v>#REF!</v>
      </c>
      <c r="L219" s="218" t="e">
        <f t="shared" si="182"/>
        <v>#REF!</v>
      </c>
      <c r="M219" s="218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7"/>
    </row>
    <row r="220" spans="1:28" s="124" customFormat="1" hidden="1" x14ac:dyDescent="0.25">
      <c r="A220" s="202"/>
      <c r="B220" s="218">
        <v>0</v>
      </c>
      <c r="C220" s="218">
        <v>0</v>
      </c>
      <c r="D220" s="138" t="e">
        <f>'Data Ocupacion'!#REF!</f>
        <v>#REF!</v>
      </c>
      <c r="E220" s="138" t="e">
        <f>'Data Ocupacion'!#REF!</f>
        <v>#REF!</v>
      </c>
      <c r="F220" s="218" t="s">
        <v>35</v>
      </c>
      <c r="G220" s="218" t="e">
        <f t="shared" si="180"/>
        <v>#REF!</v>
      </c>
      <c r="H220" s="218">
        <f t="shared" si="184"/>
        <v>0</v>
      </c>
      <c r="I220" s="218" t="e">
        <f t="shared" si="181"/>
        <v>#REF!</v>
      </c>
      <c r="J220" s="218" t="e">
        <f>G220*K$1</f>
        <v>#REF!</v>
      </c>
      <c r="K220" s="153" t="e">
        <f>I220*K$1</f>
        <v>#REF!</v>
      </c>
      <c r="L220" s="218" t="e">
        <f t="shared" si="182"/>
        <v>#REF!</v>
      </c>
      <c r="M220" s="218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7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64" t="s">
        <v>56</v>
      </c>
      <c r="C223" s="365"/>
      <c r="D223" s="365"/>
      <c r="E223" s="365"/>
      <c r="F223" s="365"/>
      <c r="G223" s="366"/>
      <c r="H223" s="290"/>
      <c r="I223" s="364" t="s">
        <v>57</v>
      </c>
      <c r="J223" s="365"/>
      <c r="K223" s="365"/>
      <c r="L223" s="365"/>
      <c r="M223" s="365"/>
      <c r="N223" s="366"/>
      <c r="P223" s="362" t="s">
        <v>139</v>
      </c>
      <c r="Q223" s="362"/>
      <c r="R223" s="362"/>
      <c r="S223" s="363"/>
      <c r="T223" s="359" t="s">
        <v>142</v>
      </c>
      <c r="U223" s="360"/>
      <c r="V223" s="361"/>
      <c r="W223" s="350" t="s">
        <v>143</v>
      </c>
      <c r="X223" s="350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51"/>
      <c r="X224" s="351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1380</v>
      </c>
      <c r="C225" s="114">
        <f t="shared" si="186"/>
        <v>891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136377.06</v>
      </c>
      <c r="G225" s="139">
        <f t="shared" ref="G225:G230" si="188">F225*104</f>
        <v>14183214.24</v>
      </c>
      <c r="H225" s="139"/>
      <c r="I225" s="114">
        <f t="shared" ref="I225:J230" si="189">D5+D12+D26+D33+D40+D47+D54+D61+D68+D75+D82+D89+D96+D103+D110+D117+D124+D131+D138+D145+D152+D159+D166+D173+D180+D187+D194+D201+D208+D19</f>
        <v>1308</v>
      </c>
      <c r="J225" s="114">
        <f t="shared" si="189"/>
        <v>830</v>
      </c>
      <c r="K225" s="114">
        <f t="shared" ref="K225:K230" si="190">I225+J225</f>
        <v>2138</v>
      </c>
      <c r="L225" s="139">
        <f>K225*43.13</f>
        <v>92211.94</v>
      </c>
      <c r="M225" s="139">
        <f>I225*43.13+J225*86.26</f>
        <v>128009.84</v>
      </c>
      <c r="N225" s="139">
        <f t="shared" ref="N225:N230" si="191">M225*104</f>
        <v>13313023.359999999</v>
      </c>
      <c r="O225" s="124"/>
      <c r="P225" s="209">
        <f>SUM(Q194,Q187,Q180,Q173,Q166,Q159,Q152,Q145,Q138,Q131,Q124,Q117,Q110,Q103,Q96,Q89,Q82,Q75,Q68,Q61,Q54,Q47,Q40,Q33,Q26,Q19,Q12,Q5,Q201,Q208,Q215)</f>
        <v>54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52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</f>
        <v>298757.06000000006</v>
      </c>
      <c r="X225" s="231">
        <f>X11+X18+X25+X32+X39+X46+X53+X60+X67+X74+X81+X88+X95+X102+X109+X116+X123+X130+X137+X144+X151+X158+X165+X172+X179+X186+X193+X200+X207+X214</f>
        <v>315207.84000000008</v>
      </c>
    </row>
    <row r="226" spans="1:29" ht="17.25" customHeight="1" x14ac:dyDescent="0.25">
      <c r="A226" s="23" t="s">
        <v>52</v>
      </c>
      <c r="B226" s="114">
        <f t="shared" si="186"/>
        <v>1398</v>
      </c>
      <c r="C226" s="114">
        <f t="shared" si="186"/>
        <v>882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136377.06</v>
      </c>
      <c r="G226" s="139">
        <f t="shared" si="188"/>
        <v>14183214.24</v>
      </c>
      <c r="H226" s="139"/>
      <c r="I226" s="114">
        <f t="shared" si="189"/>
        <v>1323</v>
      </c>
      <c r="J226" s="114">
        <f t="shared" si="189"/>
        <v>822</v>
      </c>
      <c r="K226" s="114">
        <f t="shared" si="190"/>
        <v>2145</v>
      </c>
      <c r="L226" s="139">
        <f t="shared" ref="L226" si="192">K226*43.13</f>
        <v>92513.85</v>
      </c>
      <c r="M226" s="139">
        <f>I226*43.13+J226*86.26</f>
        <v>127966.71</v>
      </c>
      <c r="N226" s="139">
        <f t="shared" si="191"/>
        <v>13308537.84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693</v>
      </c>
      <c r="C227" s="114">
        <f t="shared" si="186"/>
        <v>63</v>
      </c>
      <c r="D227" s="114">
        <f t="shared" si="187"/>
        <v>756</v>
      </c>
      <c r="E227" s="139">
        <f>D227*29.11</f>
        <v>22007.16</v>
      </c>
      <c r="F227" s="139">
        <f>B227*29.11+C227*58.22</f>
        <v>23841.09</v>
      </c>
      <c r="G227" s="139">
        <f t="shared" si="188"/>
        <v>2479473.36</v>
      </c>
      <c r="H227" s="139"/>
      <c r="I227" s="114">
        <f t="shared" si="189"/>
        <v>661</v>
      </c>
      <c r="J227" s="114">
        <f t="shared" si="189"/>
        <v>57</v>
      </c>
      <c r="K227" s="114">
        <f t="shared" si="190"/>
        <v>718</v>
      </c>
      <c r="L227" s="139">
        <f>K227*29.11</f>
        <v>20900.98</v>
      </c>
      <c r="M227" s="139">
        <f>I227*29.11+J227*58.22</f>
        <v>22560.25</v>
      </c>
      <c r="N227" s="139">
        <f t="shared" si="191"/>
        <v>2346266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609</v>
      </c>
      <c r="C228" s="114">
        <f>C8+C15+C22+C29+C36+C43+C50+C57+C64+C71+C78+C85+C92+C99+C106+C113+C120+C127+C134+C141+C148+C155+C162+C169+C176+C183+C190+C197+C204+C211+C219</f>
        <v>63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21395.85</v>
      </c>
      <c r="G228" s="139">
        <f t="shared" si="188"/>
        <v>2225168.4</v>
      </c>
      <c r="H228" s="139"/>
      <c r="I228" s="114">
        <f t="shared" si="189"/>
        <v>583</v>
      </c>
      <c r="J228" s="114">
        <f t="shared" si="189"/>
        <v>57</v>
      </c>
      <c r="K228" s="114">
        <f t="shared" si="190"/>
        <v>640</v>
      </c>
      <c r="L228" s="139">
        <f>K228*29.11</f>
        <v>18630.400000000001</v>
      </c>
      <c r="M228" s="139">
        <f>I228*29.11+J228*58.22</f>
        <v>20289.670000000002</v>
      </c>
      <c r="N228" s="139">
        <f t="shared" si="191"/>
        <v>2110125.6800000002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79</v>
      </c>
      <c r="J230" s="114">
        <f t="shared" si="189"/>
        <v>0</v>
      </c>
      <c r="K230" s="114">
        <f t="shared" si="190"/>
        <v>79</v>
      </c>
      <c r="L230" s="139">
        <f>K230*25.4</f>
        <v>2006.6</v>
      </c>
      <c r="M230" s="139">
        <f>I230*25.4+J230*50.8</f>
        <v>2006.6</v>
      </c>
      <c r="N230" s="139">
        <f t="shared" si="191"/>
        <v>208686.4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4">
        <f>SUM(B225:B231)</f>
        <v>4164</v>
      </c>
      <c r="C232" s="284">
        <f>SUM(C225:C231)</f>
        <v>1899</v>
      </c>
      <c r="D232" s="284">
        <f>SUM(D225:D231)</f>
        <v>6063</v>
      </c>
      <c r="E232" s="284">
        <f>SUM(E225:E230)</f>
        <v>239987.31000000003</v>
      </c>
      <c r="F232" s="284">
        <f>SUM(F225:F230)</f>
        <v>320124.65999999997</v>
      </c>
      <c r="G232" s="284">
        <f>SUM(G225:G230)</f>
        <v>33292964.639999997</v>
      </c>
      <c r="H232" s="284"/>
      <c r="I232" s="284">
        <f>SUM(I225:I230)</f>
        <v>3954</v>
      </c>
      <c r="J232" s="284">
        <f>SUM(J225:J230)</f>
        <v>1766</v>
      </c>
      <c r="K232" s="284">
        <f>SUM(K225:K231)</f>
        <v>5720</v>
      </c>
      <c r="L232" s="284">
        <f>SUM(L225:L231)</f>
        <v>226263.77000000002</v>
      </c>
      <c r="M232" s="284">
        <f>SUM(M225:M231)</f>
        <v>300833.06999999995</v>
      </c>
      <c r="N232" s="284">
        <f>SUM(N225:N231)</f>
        <v>31286639.279999997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9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7962</v>
      </c>
      <c r="D234" s="124"/>
      <c r="E234" s="124"/>
      <c r="F234" s="124" t="s">
        <v>65</v>
      </c>
      <c r="G234" s="124">
        <f>(I232)+(J232*2)</f>
        <v>7486</v>
      </c>
      <c r="I234" s="124"/>
      <c r="J234" s="198"/>
      <c r="K234" s="124"/>
      <c r="L234" s="124"/>
      <c r="M234" s="209"/>
      <c r="N234" s="124"/>
      <c r="O234" s="124"/>
      <c r="W234" s="124"/>
    </row>
    <row r="235" spans="1:29" x14ac:dyDescent="0.25">
      <c r="A235" s="24"/>
      <c r="B235" s="367" t="s">
        <v>55</v>
      </c>
      <c r="C235" s="368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320124.65999999997</v>
      </c>
      <c r="H237" s="291"/>
      <c r="I237" s="37">
        <f>+G232</f>
        <v>33292964.639999997</v>
      </c>
      <c r="J237" s="124"/>
      <c r="K237" s="124"/>
      <c r="L237" s="124"/>
      <c r="M237" s="124"/>
      <c r="N237" s="124"/>
      <c r="O237" s="124"/>
      <c r="W237" s="208"/>
    </row>
    <row r="238" spans="1:29" ht="15.95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2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8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9">
        <f>(I232)+(J232*2)</f>
        <v>7486</v>
      </c>
      <c r="K239" s="124"/>
      <c r="L239" s="124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8">
    <mergeCell ref="A20:A24"/>
    <mergeCell ref="B2:C2"/>
    <mergeCell ref="D2:E2"/>
    <mergeCell ref="B3:C3"/>
    <mergeCell ref="D3:E3"/>
    <mergeCell ref="I223:N223"/>
    <mergeCell ref="I3:I4"/>
    <mergeCell ref="K3:K4"/>
    <mergeCell ref="B235:C235"/>
    <mergeCell ref="B223:G223"/>
    <mergeCell ref="F3:F4"/>
    <mergeCell ref="G3:G4"/>
    <mergeCell ref="A83:A86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</mergeCells>
  <conditionalFormatting sqref="D187:E192 D180:E185 D173:E178 D194:E199">
    <cfRule type="expression" dxfId="46" priority="174">
      <formula>AND($B173&lt;&gt;$D173)</formula>
    </cfRule>
  </conditionalFormatting>
  <conditionalFormatting sqref="D19:E24">
    <cfRule type="expression" dxfId="45" priority="126">
      <formula>AND($B19&lt;&gt;$D19)</formula>
    </cfRule>
  </conditionalFormatting>
  <conditionalFormatting sqref="D12:E17">
    <cfRule type="expression" dxfId="44" priority="92">
      <formula>AND($B12&lt;&gt;$D12)</formula>
    </cfRule>
  </conditionalFormatting>
  <conditionalFormatting sqref="D40:D45">
    <cfRule type="expression" dxfId="43" priority="91">
      <formula>AND($B40&lt;&gt;$D40)</formula>
    </cfRule>
  </conditionalFormatting>
  <conditionalFormatting sqref="E40:E45">
    <cfRule type="expression" dxfId="42" priority="90">
      <formula>AND($C40&lt;&gt;$E40)</formula>
    </cfRule>
  </conditionalFormatting>
  <conditionalFormatting sqref="D54:D59">
    <cfRule type="expression" dxfId="41" priority="87">
      <formula>AND($B54&lt;&gt;$D54)</formula>
    </cfRule>
  </conditionalFormatting>
  <conditionalFormatting sqref="E54:E59">
    <cfRule type="expression" dxfId="40" priority="86">
      <formula>AND($C54&lt;&gt;$E54)</formula>
    </cfRule>
  </conditionalFormatting>
  <conditionalFormatting sqref="D96:E101">
    <cfRule type="expression" dxfId="39" priority="82">
      <formula>AND($B96&lt;&gt;$D96)</formula>
    </cfRule>
  </conditionalFormatting>
  <conditionalFormatting sqref="D96:E101">
    <cfRule type="expression" dxfId="38" priority="81">
      <formula>AND($B96&lt;&gt;$D96)</formula>
    </cfRule>
  </conditionalFormatting>
  <conditionalFormatting sqref="D103:E107">
    <cfRule type="expression" dxfId="37" priority="80">
      <formula>AND($B103&lt;&gt;$D103)</formula>
    </cfRule>
  </conditionalFormatting>
  <conditionalFormatting sqref="D103:E107">
    <cfRule type="expression" dxfId="36" priority="79">
      <formula>AND($B103&lt;&gt;$D103)</formula>
    </cfRule>
  </conditionalFormatting>
  <conditionalFormatting sqref="D138:E143">
    <cfRule type="expression" dxfId="35" priority="76">
      <formula>AND($B138&lt;&gt;$D138)</formula>
    </cfRule>
  </conditionalFormatting>
  <conditionalFormatting sqref="D145:E150">
    <cfRule type="expression" dxfId="34" priority="59">
      <formula>AND($B145&lt;&gt;$D145)</formula>
    </cfRule>
  </conditionalFormatting>
  <conditionalFormatting sqref="D145:E150">
    <cfRule type="expression" dxfId="33" priority="58">
      <formula>AND($B145&lt;&gt;$D145)</formula>
    </cfRule>
  </conditionalFormatting>
  <conditionalFormatting sqref="D152:D157">
    <cfRule type="expression" dxfId="32" priority="57">
      <formula>AND($B152&lt;&gt;$D152)</formula>
    </cfRule>
  </conditionalFormatting>
  <conditionalFormatting sqref="E152:E157">
    <cfRule type="expression" dxfId="31" priority="56">
      <formula>AND($C152&lt;&gt;$E152)</formula>
    </cfRule>
  </conditionalFormatting>
  <conditionalFormatting sqref="D201:E206">
    <cfRule type="expression" dxfId="30" priority="52">
      <formula>AND($B201&lt;&gt;$D201)</formula>
    </cfRule>
  </conditionalFormatting>
  <conditionalFormatting sqref="D208:E213">
    <cfRule type="expression" dxfId="29" priority="50">
      <formula>AND($B208&lt;&gt;$D208)</formula>
    </cfRule>
  </conditionalFormatting>
  <conditionalFormatting sqref="D5:E10">
    <cfRule type="expression" dxfId="28" priority="47">
      <formula>AND($B5&lt;&gt;$D5)</formula>
    </cfRule>
  </conditionalFormatting>
  <conditionalFormatting sqref="D89:D94">
    <cfRule type="expression" dxfId="27" priority="42">
      <formula>AND($B89&lt;&gt;$D89)</formula>
    </cfRule>
  </conditionalFormatting>
  <conditionalFormatting sqref="E89:E94">
    <cfRule type="expression" dxfId="26" priority="41">
      <formula>AND($C89&lt;&gt;$E89)</formula>
    </cfRule>
  </conditionalFormatting>
  <conditionalFormatting sqref="D26:D31">
    <cfRule type="expression" dxfId="25" priority="40">
      <formula>AND($B26&lt;&gt;$D26)</formula>
    </cfRule>
  </conditionalFormatting>
  <conditionalFormatting sqref="E26:E31">
    <cfRule type="expression" dxfId="24" priority="39">
      <formula>AND($C26&lt;&gt;$E26)</formula>
    </cfRule>
  </conditionalFormatting>
  <conditionalFormatting sqref="D33:D38">
    <cfRule type="expression" dxfId="23" priority="32">
      <formula>AND($B33&lt;&gt;$D33)</formula>
    </cfRule>
  </conditionalFormatting>
  <conditionalFormatting sqref="E33:E38">
    <cfRule type="expression" dxfId="22" priority="31">
      <formula>AND($C33&lt;&gt;$E33)</formula>
    </cfRule>
  </conditionalFormatting>
  <conditionalFormatting sqref="D47:D52">
    <cfRule type="expression" dxfId="21" priority="30">
      <formula>AND($B47&lt;&gt;$D47)</formula>
    </cfRule>
  </conditionalFormatting>
  <conditionalFormatting sqref="E47:E52">
    <cfRule type="expression" dxfId="20" priority="29">
      <formula>AND($C47&lt;&gt;$E47)</formula>
    </cfRule>
  </conditionalFormatting>
  <conditionalFormatting sqref="D82:D87">
    <cfRule type="expression" dxfId="19" priority="26">
      <formula>AND($B82&lt;&gt;$D82)</formula>
    </cfRule>
  </conditionalFormatting>
  <conditionalFormatting sqref="E82:E87">
    <cfRule type="expression" dxfId="18" priority="25">
      <formula>AND($C82&lt;&gt;$E82)</formula>
    </cfRule>
  </conditionalFormatting>
  <conditionalFormatting sqref="D117:E122">
    <cfRule type="expression" dxfId="17" priority="22">
      <formula>AND($B117&lt;&gt;$D117)</formula>
    </cfRule>
  </conditionalFormatting>
  <conditionalFormatting sqref="D117:E122">
    <cfRule type="expression" dxfId="16" priority="21">
      <formula>AND($B117&lt;&gt;$D117)</formula>
    </cfRule>
  </conditionalFormatting>
  <conditionalFormatting sqref="D131:E135">
    <cfRule type="expression" dxfId="15" priority="18">
      <formula>AND($B131&lt;&gt;$D131)</formula>
    </cfRule>
  </conditionalFormatting>
  <conditionalFormatting sqref="D131:E135">
    <cfRule type="expression" dxfId="14" priority="17">
      <formula>AND($B131&lt;&gt;$D131)</formula>
    </cfRule>
  </conditionalFormatting>
  <conditionalFormatting sqref="D124:E129">
    <cfRule type="expression" dxfId="13" priority="14">
      <formula>AND($B124&lt;&gt;$D124)</formula>
    </cfRule>
  </conditionalFormatting>
  <conditionalFormatting sqref="D215:E220">
    <cfRule type="expression" dxfId="12" priority="13">
      <formula>AND($B215&lt;&gt;$D215)</formula>
    </cfRule>
  </conditionalFormatting>
  <conditionalFormatting sqref="D61:D66">
    <cfRule type="expression" dxfId="11" priority="12">
      <formula>AND($B61&lt;&gt;$D61)</formula>
    </cfRule>
  </conditionalFormatting>
  <conditionalFormatting sqref="E61:E66">
    <cfRule type="expression" dxfId="10" priority="11">
      <formula>AND($C61&lt;&gt;$E61)</formula>
    </cfRule>
  </conditionalFormatting>
  <conditionalFormatting sqref="D68:D73">
    <cfRule type="expression" dxfId="9" priority="10">
      <formula>AND($B68&lt;&gt;$D68)</formula>
    </cfRule>
  </conditionalFormatting>
  <conditionalFormatting sqref="E68:E73">
    <cfRule type="expression" dxfId="8" priority="9">
      <formula>AND($C68&lt;&gt;$E68)</formula>
    </cfRule>
  </conditionalFormatting>
  <conditionalFormatting sqref="D75:D80">
    <cfRule type="expression" dxfId="7" priority="8">
      <formula>AND($B75&lt;&gt;$D75)</formula>
    </cfRule>
  </conditionalFormatting>
  <conditionalFormatting sqref="E75:E80">
    <cfRule type="expression" dxfId="6" priority="7">
      <formula>AND($C75&lt;&gt;$E75)</formula>
    </cfRule>
  </conditionalFormatting>
  <conditionalFormatting sqref="D110:E114">
    <cfRule type="expression" dxfId="5" priority="6">
      <formula>AND($B110&lt;&gt;$D110)</formula>
    </cfRule>
  </conditionalFormatting>
  <conditionalFormatting sqref="D110:E114">
    <cfRule type="expression" dxfId="4" priority="5">
      <formula>AND($B110&lt;&gt;$D110)</formula>
    </cfRule>
  </conditionalFormatting>
  <conditionalFormatting sqref="D159:D164">
    <cfRule type="expression" dxfId="3" priority="4">
      <formula>AND($B159&lt;&gt;$D159)</formula>
    </cfRule>
  </conditionalFormatting>
  <conditionalFormatting sqref="E159:E164">
    <cfRule type="expression" dxfId="2" priority="3">
      <formula>AND($C159&lt;&gt;$E159)</formula>
    </cfRule>
  </conditionalFormatting>
  <conditionalFormatting sqref="D166:D171">
    <cfRule type="expression" dxfId="1" priority="2">
      <formula>AND($B166&lt;&gt;$D166)</formula>
    </cfRule>
  </conditionalFormatting>
  <conditionalFormatting sqref="E166:E171">
    <cfRule type="expression" dxfId="0" priority="1">
      <formula>AND($C166&lt;&gt;$E166)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9"/>
  <sheetViews>
    <sheetView zoomScaleNormal="100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BH3" sqref="BH3:BI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1">
        <v>46174</v>
      </c>
      <c r="E1" s="371"/>
      <c r="F1" s="371">
        <v>46175</v>
      </c>
      <c r="G1" s="371"/>
      <c r="H1" s="371">
        <v>46176</v>
      </c>
      <c r="I1" s="371"/>
      <c r="J1" s="371">
        <v>46146</v>
      </c>
      <c r="K1" s="371"/>
      <c r="L1" s="371">
        <v>46147</v>
      </c>
      <c r="M1" s="371"/>
      <c r="N1" s="371">
        <v>46148</v>
      </c>
      <c r="O1" s="371"/>
      <c r="P1" s="371">
        <v>46149</v>
      </c>
      <c r="Q1" s="371"/>
      <c r="R1" s="371">
        <v>46150</v>
      </c>
      <c r="S1" s="371"/>
      <c r="T1" s="371">
        <v>46151</v>
      </c>
      <c r="U1" s="371"/>
      <c r="V1" s="371">
        <v>46152</v>
      </c>
      <c r="W1" s="371"/>
      <c r="X1" s="371">
        <v>46153</v>
      </c>
      <c r="Y1" s="371"/>
      <c r="Z1" s="371">
        <v>46154</v>
      </c>
      <c r="AA1" s="371"/>
      <c r="AB1" s="371">
        <v>46155</v>
      </c>
      <c r="AC1" s="371"/>
      <c r="AD1" s="371">
        <v>46156</v>
      </c>
      <c r="AE1" s="371"/>
      <c r="AF1" s="371">
        <v>46157</v>
      </c>
      <c r="AG1" s="371"/>
      <c r="AH1" s="371">
        <v>46158</v>
      </c>
      <c r="AI1" s="371"/>
      <c r="AJ1" s="371">
        <v>46159</v>
      </c>
      <c r="AK1" s="371"/>
      <c r="AL1" s="371">
        <v>46160</v>
      </c>
      <c r="AM1" s="371"/>
      <c r="AN1" s="371">
        <v>46161</v>
      </c>
      <c r="AO1" s="371"/>
      <c r="AP1" s="371">
        <v>46162</v>
      </c>
      <c r="AQ1" s="371"/>
      <c r="AR1" s="371">
        <v>46163</v>
      </c>
      <c r="AS1" s="371"/>
      <c r="AT1" s="371">
        <v>46164</v>
      </c>
      <c r="AU1" s="371"/>
      <c r="AV1" s="371">
        <v>46165</v>
      </c>
      <c r="AW1" s="371"/>
      <c r="AX1" s="371">
        <v>46166</v>
      </c>
      <c r="AY1" s="371"/>
      <c r="AZ1" s="371">
        <v>46167</v>
      </c>
      <c r="BA1" s="371"/>
      <c r="BB1" s="371">
        <v>46168</v>
      </c>
      <c r="BC1" s="371"/>
      <c r="BD1" s="371">
        <v>46169</v>
      </c>
      <c r="BE1" s="371"/>
      <c r="BF1" s="371">
        <v>46170</v>
      </c>
      <c r="BG1" s="371"/>
      <c r="BH1" s="371">
        <v>46171</v>
      </c>
      <c r="BI1" s="371"/>
      <c r="BJ1" s="371">
        <v>46172</v>
      </c>
      <c r="BK1" s="371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9</v>
      </c>
      <c r="I3" s="156">
        <v>2</v>
      </c>
      <c r="J3" s="156">
        <v>9</v>
      </c>
      <c r="K3" s="156">
        <v>3</v>
      </c>
      <c r="L3" s="156">
        <v>9</v>
      </c>
      <c r="M3" s="156">
        <v>3</v>
      </c>
      <c r="N3" s="135">
        <v>0</v>
      </c>
      <c r="O3" s="135">
        <v>0</v>
      </c>
      <c r="P3" s="136">
        <v>0</v>
      </c>
      <c r="Q3" s="136">
        <v>0</v>
      </c>
      <c r="R3" s="156">
        <v>9</v>
      </c>
      <c r="S3" s="156">
        <v>3</v>
      </c>
      <c r="T3" s="156">
        <v>9</v>
      </c>
      <c r="U3" s="156">
        <v>3</v>
      </c>
      <c r="V3" s="156">
        <v>9</v>
      </c>
      <c r="W3" s="156">
        <v>3</v>
      </c>
      <c r="X3" s="156">
        <v>9</v>
      </c>
      <c r="Y3" s="156">
        <v>3</v>
      </c>
      <c r="Z3" s="156">
        <v>9</v>
      </c>
      <c r="AA3" s="156">
        <v>3</v>
      </c>
      <c r="AB3" s="135">
        <v>0</v>
      </c>
      <c r="AC3" s="135">
        <v>0</v>
      </c>
      <c r="AD3" s="136">
        <v>0</v>
      </c>
      <c r="AE3" s="309">
        <v>0</v>
      </c>
      <c r="AF3" s="156">
        <v>9</v>
      </c>
      <c r="AG3" s="156">
        <v>3</v>
      </c>
      <c r="AH3" s="156">
        <v>9</v>
      </c>
      <c r="AI3" s="301">
        <v>3</v>
      </c>
      <c r="AJ3" s="156">
        <v>9</v>
      </c>
      <c r="AK3" s="301">
        <v>3</v>
      </c>
      <c r="AL3" s="156">
        <v>9</v>
      </c>
      <c r="AM3" s="156">
        <v>3</v>
      </c>
      <c r="AN3" s="156">
        <v>10</v>
      </c>
      <c r="AO3" s="156">
        <v>2</v>
      </c>
      <c r="AP3" s="135">
        <v>0</v>
      </c>
      <c r="AQ3" s="135">
        <v>0</v>
      </c>
      <c r="AR3" s="136">
        <v>0</v>
      </c>
      <c r="AS3" s="309">
        <v>0</v>
      </c>
      <c r="AT3" s="156">
        <v>9</v>
      </c>
      <c r="AU3" s="301">
        <v>3</v>
      </c>
      <c r="AV3" s="156">
        <v>9</v>
      </c>
      <c r="AW3" s="301">
        <v>3</v>
      </c>
      <c r="AX3" s="156">
        <v>10</v>
      </c>
      <c r="AY3" s="301">
        <v>2</v>
      </c>
      <c r="AZ3" s="156">
        <v>9</v>
      </c>
      <c r="BA3" s="301">
        <v>3</v>
      </c>
      <c r="BB3" s="156">
        <v>9</v>
      </c>
      <c r="BC3" s="156">
        <v>3</v>
      </c>
      <c r="BD3" s="135">
        <v>0</v>
      </c>
      <c r="BE3" s="135">
        <v>0</v>
      </c>
      <c r="BF3" s="136">
        <v>0</v>
      </c>
      <c r="BG3" s="309">
        <v>0</v>
      </c>
      <c r="BH3" s="136">
        <v>0</v>
      </c>
      <c r="BI3" s="309">
        <v>0</v>
      </c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35">
        <v>0</v>
      </c>
      <c r="O4" s="135">
        <v>0</v>
      </c>
      <c r="P4" s="136">
        <v>0</v>
      </c>
      <c r="Q4" s="13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35">
        <v>0</v>
      </c>
      <c r="AC4" s="135">
        <v>0</v>
      </c>
      <c r="AD4" s="136">
        <v>0</v>
      </c>
      <c r="AE4" s="309">
        <v>0</v>
      </c>
      <c r="AF4" s="156">
        <v>0</v>
      </c>
      <c r="AG4" s="156">
        <v>0</v>
      </c>
      <c r="AH4" s="156">
        <v>0</v>
      </c>
      <c r="AI4" s="301">
        <v>0</v>
      </c>
      <c r="AJ4" s="156">
        <v>0</v>
      </c>
      <c r="AK4" s="301">
        <v>0</v>
      </c>
      <c r="AL4" s="156">
        <v>0</v>
      </c>
      <c r="AM4" s="156">
        <v>0</v>
      </c>
      <c r="AN4" s="156">
        <v>0</v>
      </c>
      <c r="AO4" s="156">
        <v>0</v>
      </c>
      <c r="AP4" s="135">
        <v>0</v>
      </c>
      <c r="AQ4" s="135">
        <v>0</v>
      </c>
      <c r="AR4" s="136">
        <v>0</v>
      </c>
      <c r="AS4" s="309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56">
        <v>0</v>
      </c>
      <c r="BA4" s="301">
        <v>0</v>
      </c>
      <c r="BB4" s="156">
        <v>0</v>
      </c>
      <c r="BC4" s="156">
        <v>0</v>
      </c>
      <c r="BD4" s="135">
        <v>0</v>
      </c>
      <c r="BE4" s="135">
        <v>0</v>
      </c>
      <c r="BF4" s="136">
        <v>0</v>
      </c>
      <c r="BG4" s="309">
        <v>0</v>
      </c>
      <c r="BH4" s="136">
        <v>0</v>
      </c>
      <c r="BI4" s="309">
        <v>0</v>
      </c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2</v>
      </c>
      <c r="I5" s="156">
        <v>8</v>
      </c>
      <c r="J5" s="156">
        <v>2</v>
      </c>
      <c r="K5" s="156">
        <v>8</v>
      </c>
      <c r="L5" s="156">
        <v>2</v>
      </c>
      <c r="M5" s="156">
        <v>8</v>
      </c>
      <c r="N5" s="135">
        <v>0</v>
      </c>
      <c r="O5" s="135">
        <v>0</v>
      </c>
      <c r="P5" s="136">
        <v>0</v>
      </c>
      <c r="Q5" s="136">
        <v>0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2</v>
      </c>
      <c r="Y5" s="156">
        <v>8</v>
      </c>
      <c r="Z5" s="156">
        <v>2</v>
      </c>
      <c r="AA5" s="156">
        <v>8</v>
      </c>
      <c r="AB5" s="135">
        <v>0</v>
      </c>
      <c r="AC5" s="135">
        <v>0</v>
      </c>
      <c r="AD5" s="136">
        <v>0</v>
      </c>
      <c r="AE5" s="309">
        <v>0</v>
      </c>
      <c r="AF5" s="156">
        <v>2</v>
      </c>
      <c r="AG5" s="156">
        <v>8</v>
      </c>
      <c r="AH5" s="156">
        <v>2</v>
      </c>
      <c r="AI5" s="301">
        <v>8</v>
      </c>
      <c r="AJ5" s="156">
        <v>2</v>
      </c>
      <c r="AK5" s="301">
        <v>8</v>
      </c>
      <c r="AL5" s="156">
        <v>2</v>
      </c>
      <c r="AM5" s="156">
        <v>8</v>
      </c>
      <c r="AN5" s="156">
        <v>2</v>
      </c>
      <c r="AO5" s="156">
        <v>8</v>
      </c>
      <c r="AP5" s="135">
        <v>0</v>
      </c>
      <c r="AQ5" s="135">
        <v>0</v>
      </c>
      <c r="AR5" s="136">
        <v>0</v>
      </c>
      <c r="AS5" s="309">
        <v>0</v>
      </c>
      <c r="AT5" s="156">
        <v>2</v>
      </c>
      <c r="AU5" s="301">
        <v>8</v>
      </c>
      <c r="AV5" s="156">
        <v>2</v>
      </c>
      <c r="AW5" s="301">
        <v>8</v>
      </c>
      <c r="AX5" s="156">
        <v>2</v>
      </c>
      <c r="AY5" s="301">
        <v>8</v>
      </c>
      <c r="AZ5" s="156">
        <v>2</v>
      </c>
      <c r="BA5" s="301">
        <v>8</v>
      </c>
      <c r="BB5" s="156">
        <v>2</v>
      </c>
      <c r="BC5" s="156">
        <v>8</v>
      </c>
      <c r="BD5" s="135">
        <v>0</v>
      </c>
      <c r="BE5" s="135">
        <v>0</v>
      </c>
      <c r="BF5" s="136">
        <v>0</v>
      </c>
      <c r="BG5" s="309">
        <v>0</v>
      </c>
      <c r="BH5" s="136">
        <v>2</v>
      </c>
      <c r="BI5" s="309">
        <v>1</v>
      </c>
      <c r="BJ5" s="156"/>
      <c r="BK5" s="156"/>
    </row>
    <row r="6" spans="1:63" x14ac:dyDescent="0.25">
      <c r="A6" s="67" t="s">
        <v>75</v>
      </c>
      <c r="B6" s="68"/>
      <c r="C6" s="8"/>
      <c r="D6" s="156">
        <v>9</v>
      </c>
      <c r="E6" s="156">
        <v>1</v>
      </c>
      <c r="F6" s="156">
        <v>10</v>
      </c>
      <c r="G6" s="156">
        <v>0</v>
      </c>
      <c r="H6" s="156">
        <v>10</v>
      </c>
      <c r="I6" s="156">
        <v>0</v>
      </c>
      <c r="J6" s="156">
        <v>10</v>
      </c>
      <c r="K6" s="156">
        <v>0</v>
      </c>
      <c r="L6" s="156">
        <v>10</v>
      </c>
      <c r="M6" s="156">
        <v>0</v>
      </c>
      <c r="N6" s="135">
        <v>0</v>
      </c>
      <c r="O6" s="135">
        <v>0</v>
      </c>
      <c r="P6" s="136">
        <v>0</v>
      </c>
      <c r="Q6" s="13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35">
        <v>0</v>
      </c>
      <c r="AC6" s="135">
        <v>0</v>
      </c>
      <c r="AD6" s="136">
        <v>0</v>
      </c>
      <c r="AE6" s="309">
        <v>0</v>
      </c>
      <c r="AF6" s="156">
        <v>10</v>
      </c>
      <c r="AG6" s="156">
        <v>0</v>
      </c>
      <c r="AH6" s="156">
        <v>10</v>
      </c>
      <c r="AI6" s="301">
        <v>0</v>
      </c>
      <c r="AJ6" s="156">
        <v>10</v>
      </c>
      <c r="AK6" s="301">
        <v>0</v>
      </c>
      <c r="AL6" s="156">
        <v>10</v>
      </c>
      <c r="AM6" s="156">
        <v>0</v>
      </c>
      <c r="AN6" s="156">
        <v>10</v>
      </c>
      <c r="AO6" s="156">
        <v>0</v>
      </c>
      <c r="AP6" s="135">
        <v>0</v>
      </c>
      <c r="AQ6" s="135">
        <v>0</v>
      </c>
      <c r="AR6" s="136">
        <v>0</v>
      </c>
      <c r="AS6" s="309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56">
        <v>10</v>
      </c>
      <c r="BA6" s="301">
        <v>0</v>
      </c>
      <c r="BB6" s="156">
        <v>10</v>
      </c>
      <c r="BC6" s="156">
        <v>0</v>
      </c>
      <c r="BD6" s="135">
        <v>0</v>
      </c>
      <c r="BE6" s="135">
        <v>0</v>
      </c>
      <c r="BF6" s="136">
        <v>0</v>
      </c>
      <c r="BG6" s="309">
        <v>0</v>
      </c>
      <c r="BH6" s="136">
        <v>0</v>
      </c>
      <c r="BI6" s="309">
        <v>0</v>
      </c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0</v>
      </c>
      <c r="I7" s="156">
        <v>0</v>
      </c>
      <c r="J7" s="156">
        <v>1</v>
      </c>
      <c r="K7" s="156">
        <v>0</v>
      </c>
      <c r="L7" s="156">
        <v>1</v>
      </c>
      <c r="M7" s="156">
        <v>0</v>
      </c>
      <c r="N7" s="135">
        <v>0</v>
      </c>
      <c r="O7" s="135">
        <v>0</v>
      </c>
      <c r="P7" s="136">
        <v>0</v>
      </c>
      <c r="Q7" s="13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1</v>
      </c>
      <c r="Y7" s="156">
        <v>0</v>
      </c>
      <c r="Z7" s="156">
        <v>1</v>
      </c>
      <c r="AA7" s="156">
        <v>0</v>
      </c>
      <c r="AB7" s="135">
        <v>0</v>
      </c>
      <c r="AC7" s="135">
        <v>0</v>
      </c>
      <c r="AD7" s="136">
        <v>0</v>
      </c>
      <c r="AE7" s="309">
        <v>0</v>
      </c>
      <c r="AF7" s="156">
        <v>1</v>
      </c>
      <c r="AG7" s="156">
        <v>0</v>
      </c>
      <c r="AH7" s="156">
        <v>1</v>
      </c>
      <c r="AI7" s="301">
        <v>0</v>
      </c>
      <c r="AJ7" s="156">
        <v>1</v>
      </c>
      <c r="AK7" s="301">
        <v>0</v>
      </c>
      <c r="AL7" s="156">
        <v>1</v>
      </c>
      <c r="AM7" s="156">
        <v>0</v>
      </c>
      <c r="AN7" s="156">
        <v>1</v>
      </c>
      <c r="AO7" s="156">
        <v>0</v>
      </c>
      <c r="AP7" s="135">
        <v>0</v>
      </c>
      <c r="AQ7" s="135">
        <v>0</v>
      </c>
      <c r="AR7" s="136">
        <v>0</v>
      </c>
      <c r="AS7" s="309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56">
        <v>1</v>
      </c>
      <c r="BA7" s="301">
        <v>0</v>
      </c>
      <c r="BB7" s="156">
        <v>1</v>
      </c>
      <c r="BC7" s="156">
        <v>0</v>
      </c>
      <c r="BD7" s="135">
        <v>0</v>
      </c>
      <c r="BE7" s="135">
        <v>0</v>
      </c>
      <c r="BF7" s="136">
        <v>0</v>
      </c>
      <c r="BG7" s="309">
        <v>0</v>
      </c>
      <c r="BH7" s="136">
        <v>0</v>
      </c>
      <c r="BI7" s="309">
        <v>0</v>
      </c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3</v>
      </c>
      <c r="E8" s="156">
        <v>7</v>
      </c>
      <c r="F8" s="156">
        <v>4</v>
      </c>
      <c r="G8" s="156">
        <v>6</v>
      </c>
      <c r="H8" s="156">
        <v>4</v>
      </c>
      <c r="I8" s="156">
        <v>6</v>
      </c>
      <c r="J8" s="156">
        <v>4</v>
      </c>
      <c r="K8" s="156">
        <v>6</v>
      </c>
      <c r="L8" s="156">
        <v>4</v>
      </c>
      <c r="M8" s="156">
        <v>6</v>
      </c>
      <c r="N8" s="135">
        <v>0</v>
      </c>
      <c r="O8" s="135">
        <v>0</v>
      </c>
      <c r="P8" s="136">
        <v>0</v>
      </c>
      <c r="Q8" s="136">
        <v>0</v>
      </c>
      <c r="R8" s="156">
        <v>4</v>
      </c>
      <c r="S8" s="156">
        <v>6</v>
      </c>
      <c r="T8" s="156">
        <v>4</v>
      </c>
      <c r="U8" s="156">
        <v>6</v>
      </c>
      <c r="V8" s="156">
        <v>3</v>
      </c>
      <c r="W8" s="156">
        <v>7</v>
      </c>
      <c r="X8" s="156">
        <v>3</v>
      </c>
      <c r="Y8" s="156">
        <v>7</v>
      </c>
      <c r="Z8" s="156">
        <v>4</v>
      </c>
      <c r="AA8" s="156">
        <v>6</v>
      </c>
      <c r="AB8" s="135">
        <v>0</v>
      </c>
      <c r="AC8" s="135">
        <v>0</v>
      </c>
      <c r="AD8" s="136">
        <v>0</v>
      </c>
      <c r="AE8" s="309">
        <v>0</v>
      </c>
      <c r="AF8" s="156">
        <v>4</v>
      </c>
      <c r="AG8" s="156">
        <v>6</v>
      </c>
      <c r="AH8" s="156">
        <v>4</v>
      </c>
      <c r="AI8" s="301">
        <v>6</v>
      </c>
      <c r="AJ8" s="156">
        <v>4</v>
      </c>
      <c r="AK8" s="301">
        <v>6</v>
      </c>
      <c r="AL8" s="156">
        <v>4</v>
      </c>
      <c r="AM8" s="156">
        <v>6</v>
      </c>
      <c r="AN8" s="156">
        <v>4</v>
      </c>
      <c r="AO8" s="156">
        <v>6</v>
      </c>
      <c r="AP8" s="135">
        <v>0</v>
      </c>
      <c r="AQ8" s="135">
        <v>0</v>
      </c>
      <c r="AR8" s="136">
        <v>0</v>
      </c>
      <c r="AS8" s="309">
        <v>0</v>
      </c>
      <c r="AT8" s="156">
        <v>4</v>
      </c>
      <c r="AU8" s="301">
        <v>6</v>
      </c>
      <c r="AV8" s="156">
        <v>3</v>
      </c>
      <c r="AW8" s="301">
        <v>7</v>
      </c>
      <c r="AX8" s="156">
        <v>4</v>
      </c>
      <c r="AY8" s="301">
        <v>6</v>
      </c>
      <c r="AZ8" s="156">
        <v>4</v>
      </c>
      <c r="BA8" s="301">
        <v>6</v>
      </c>
      <c r="BB8" s="156">
        <v>4</v>
      </c>
      <c r="BC8" s="156">
        <v>6</v>
      </c>
      <c r="BD8" s="135">
        <v>0</v>
      </c>
      <c r="BE8" s="135">
        <v>0</v>
      </c>
      <c r="BF8" s="136">
        <v>0</v>
      </c>
      <c r="BG8" s="309">
        <v>0</v>
      </c>
      <c r="BH8" s="136">
        <v>6</v>
      </c>
      <c r="BI8" s="309">
        <v>0</v>
      </c>
      <c r="BJ8" s="156"/>
      <c r="BK8" s="156"/>
    </row>
    <row r="9" spans="1:63" x14ac:dyDescent="0.25">
      <c r="A9" s="53"/>
      <c r="B9" s="53"/>
      <c r="C9" s="8"/>
      <c r="D9" s="303" t="s">
        <v>144</v>
      </c>
      <c r="E9" s="303" t="s">
        <v>144</v>
      </c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  <c r="AB9" s="303" t="s">
        <v>144</v>
      </c>
      <c r="AC9" s="303" t="s">
        <v>144</v>
      </c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303"/>
      <c r="AX9" s="303"/>
      <c r="AY9" s="303"/>
      <c r="AZ9" s="303" t="s">
        <v>144</v>
      </c>
      <c r="BA9" s="303" t="s">
        <v>144</v>
      </c>
      <c r="BB9" s="303" t="s">
        <v>144</v>
      </c>
      <c r="BC9" s="303" t="s">
        <v>144</v>
      </c>
      <c r="BD9" s="303" t="s">
        <v>144</v>
      </c>
      <c r="BE9" s="303" t="s">
        <v>144</v>
      </c>
      <c r="BF9" s="303" t="s">
        <v>144</v>
      </c>
      <c r="BG9" s="303" t="s">
        <v>144</v>
      </c>
      <c r="BH9" s="303"/>
      <c r="BI9" s="303"/>
      <c r="BJ9" s="303"/>
      <c r="BK9" s="303"/>
    </row>
    <row r="10" spans="1:63" x14ac:dyDescent="0.25">
      <c r="A10" s="70" t="s">
        <v>73</v>
      </c>
      <c r="B10" s="71"/>
      <c r="C10" s="8"/>
      <c r="D10" s="156">
        <v>16</v>
      </c>
      <c r="E10" s="156">
        <v>1</v>
      </c>
      <c r="F10" s="156">
        <v>17</v>
      </c>
      <c r="G10" s="156">
        <v>0</v>
      </c>
      <c r="H10" s="156">
        <v>17</v>
      </c>
      <c r="I10" s="156">
        <v>0</v>
      </c>
      <c r="J10" s="156">
        <v>17</v>
      </c>
      <c r="K10" s="156">
        <v>0</v>
      </c>
      <c r="L10" s="156">
        <v>17</v>
      </c>
      <c r="M10" s="156">
        <v>0</v>
      </c>
      <c r="N10" s="135">
        <v>0</v>
      </c>
      <c r="O10" s="135">
        <v>0</v>
      </c>
      <c r="P10" s="136">
        <v>0</v>
      </c>
      <c r="Q10" s="13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17</v>
      </c>
      <c r="Y10" s="156">
        <v>0</v>
      </c>
      <c r="Z10" s="156">
        <v>16</v>
      </c>
      <c r="AA10" s="156">
        <v>0</v>
      </c>
      <c r="AB10" s="135">
        <v>0</v>
      </c>
      <c r="AC10" s="135">
        <v>0</v>
      </c>
      <c r="AD10" s="136">
        <v>0</v>
      </c>
      <c r="AE10" s="309">
        <v>0</v>
      </c>
      <c r="AF10" s="156">
        <v>17</v>
      </c>
      <c r="AG10" s="156">
        <v>0</v>
      </c>
      <c r="AH10" s="156">
        <v>17</v>
      </c>
      <c r="AI10" s="301">
        <v>0</v>
      </c>
      <c r="AJ10" s="156">
        <v>17</v>
      </c>
      <c r="AK10" s="301">
        <v>0</v>
      </c>
      <c r="AL10" s="156">
        <v>17</v>
      </c>
      <c r="AM10" s="156">
        <v>0</v>
      </c>
      <c r="AN10" s="156">
        <v>17</v>
      </c>
      <c r="AO10" s="156">
        <v>0</v>
      </c>
      <c r="AP10" s="135">
        <v>0</v>
      </c>
      <c r="AQ10" s="135">
        <v>0</v>
      </c>
      <c r="AR10" s="136">
        <v>0</v>
      </c>
      <c r="AS10" s="309">
        <v>0</v>
      </c>
      <c r="AT10" s="156">
        <v>17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56">
        <v>17</v>
      </c>
      <c r="BA10" s="301">
        <v>0</v>
      </c>
      <c r="BB10" s="156">
        <v>17</v>
      </c>
      <c r="BC10" s="156">
        <v>0</v>
      </c>
      <c r="BD10" s="135">
        <v>0</v>
      </c>
      <c r="BE10" s="135">
        <v>0</v>
      </c>
      <c r="BF10" s="136">
        <v>0</v>
      </c>
      <c r="BG10" s="309">
        <v>0</v>
      </c>
      <c r="BH10" s="136">
        <v>0</v>
      </c>
      <c r="BI10" s="309">
        <v>0</v>
      </c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35">
        <v>0</v>
      </c>
      <c r="O11" s="135">
        <v>0</v>
      </c>
      <c r="P11" s="136">
        <v>0</v>
      </c>
      <c r="Q11" s="13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35">
        <v>0</v>
      </c>
      <c r="AC11" s="135">
        <v>0</v>
      </c>
      <c r="AD11" s="136">
        <v>0</v>
      </c>
      <c r="AE11" s="309">
        <v>0</v>
      </c>
      <c r="AF11" s="156">
        <v>0</v>
      </c>
      <c r="AG11" s="156">
        <v>0</v>
      </c>
      <c r="AH11" s="156">
        <v>0</v>
      </c>
      <c r="AI11" s="301">
        <v>0</v>
      </c>
      <c r="AJ11" s="156">
        <v>0</v>
      </c>
      <c r="AK11" s="301">
        <v>0</v>
      </c>
      <c r="AL11" s="156">
        <v>0</v>
      </c>
      <c r="AM11" s="156">
        <v>0</v>
      </c>
      <c r="AN11" s="156">
        <v>0</v>
      </c>
      <c r="AO11" s="156">
        <v>0</v>
      </c>
      <c r="AP11" s="135">
        <v>0</v>
      </c>
      <c r="AQ11" s="135">
        <v>0</v>
      </c>
      <c r="AR11" s="136">
        <v>0</v>
      </c>
      <c r="AS11" s="309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56">
        <v>0</v>
      </c>
      <c r="BA11" s="301">
        <v>0</v>
      </c>
      <c r="BB11" s="156">
        <v>0</v>
      </c>
      <c r="BC11" s="156">
        <v>0</v>
      </c>
      <c r="BD11" s="135">
        <v>0</v>
      </c>
      <c r="BE11" s="135">
        <v>0</v>
      </c>
      <c r="BF11" s="136">
        <v>0</v>
      </c>
      <c r="BG11" s="309">
        <v>0</v>
      </c>
      <c r="BH11" s="136">
        <v>0</v>
      </c>
      <c r="BI11" s="309">
        <v>0</v>
      </c>
      <c r="BJ11" s="156"/>
      <c r="BK11" s="156"/>
    </row>
    <row r="12" spans="1:63" x14ac:dyDescent="0.25">
      <c r="A12" s="72" t="s">
        <v>74</v>
      </c>
      <c r="B12" s="73"/>
      <c r="C12" s="8"/>
      <c r="D12" s="156">
        <v>37</v>
      </c>
      <c r="E12" s="156">
        <v>24</v>
      </c>
      <c r="F12" s="156">
        <v>36</v>
      </c>
      <c r="G12" s="156">
        <v>25</v>
      </c>
      <c r="H12" s="156">
        <v>36</v>
      </c>
      <c r="I12" s="156">
        <v>25</v>
      </c>
      <c r="J12" s="156">
        <v>35</v>
      </c>
      <c r="K12" s="156">
        <v>26</v>
      </c>
      <c r="L12" s="156">
        <v>36</v>
      </c>
      <c r="M12" s="156">
        <v>25</v>
      </c>
      <c r="N12" s="135">
        <v>69</v>
      </c>
      <c r="O12" s="135">
        <v>3</v>
      </c>
      <c r="P12" s="136">
        <v>51</v>
      </c>
      <c r="Q12" s="136">
        <v>3</v>
      </c>
      <c r="R12" s="156">
        <v>36</v>
      </c>
      <c r="S12" s="156">
        <v>25</v>
      </c>
      <c r="T12" s="156">
        <v>36</v>
      </c>
      <c r="U12" s="156">
        <v>25</v>
      </c>
      <c r="V12" s="156">
        <v>35</v>
      </c>
      <c r="W12" s="156">
        <v>26</v>
      </c>
      <c r="X12" s="156">
        <v>35</v>
      </c>
      <c r="Y12" s="156">
        <v>26</v>
      </c>
      <c r="Z12" s="156">
        <v>35</v>
      </c>
      <c r="AA12" s="156">
        <v>26</v>
      </c>
      <c r="AB12" s="135">
        <v>69</v>
      </c>
      <c r="AC12" s="135">
        <v>3</v>
      </c>
      <c r="AD12" s="136">
        <v>51</v>
      </c>
      <c r="AE12" s="309">
        <v>3</v>
      </c>
      <c r="AF12" s="156">
        <v>36</v>
      </c>
      <c r="AG12" s="156">
        <v>25</v>
      </c>
      <c r="AH12" s="156">
        <v>36</v>
      </c>
      <c r="AI12" s="301">
        <v>25</v>
      </c>
      <c r="AJ12" s="156">
        <v>34</v>
      </c>
      <c r="AK12" s="301">
        <v>27</v>
      </c>
      <c r="AL12" s="156">
        <v>36</v>
      </c>
      <c r="AM12" s="156">
        <v>25</v>
      </c>
      <c r="AN12" s="156">
        <v>35</v>
      </c>
      <c r="AO12" s="156">
        <v>26</v>
      </c>
      <c r="AP12" s="135">
        <v>69</v>
      </c>
      <c r="AQ12" s="135">
        <v>3</v>
      </c>
      <c r="AR12" s="136">
        <v>51</v>
      </c>
      <c r="AS12" s="309">
        <v>3</v>
      </c>
      <c r="AT12" s="156">
        <v>36</v>
      </c>
      <c r="AU12" s="301">
        <v>25</v>
      </c>
      <c r="AV12" s="156">
        <v>35</v>
      </c>
      <c r="AW12" s="301">
        <v>26</v>
      </c>
      <c r="AX12" s="156">
        <v>36</v>
      </c>
      <c r="AY12" s="301">
        <v>25</v>
      </c>
      <c r="AZ12" s="156">
        <v>36</v>
      </c>
      <c r="BA12" s="301">
        <v>25</v>
      </c>
      <c r="BB12" s="156">
        <v>36</v>
      </c>
      <c r="BC12" s="156">
        <v>25</v>
      </c>
      <c r="BD12" s="135">
        <v>69</v>
      </c>
      <c r="BE12" s="135">
        <v>3</v>
      </c>
      <c r="BF12" s="136">
        <v>51</v>
      </c>
      <c r="BG12" s="309">
        <v>3</v>
      </c>
      <c r="BH12" s="136">
        <v>43</v>
      </c>
      <c r="BI12" s="309">
        <v>2</v>
      </c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56">
        <v>13</v>
      </c>
      <c r="K13" s="156">
        <v>3</v>
      </c>
      <c r="L13" s="156">
        <v>13</v>
      </c>
      <c r="M13" s="156">
        <v>3</v>
      </c>
      <c r="N13" s="135">
        <v>0</v>
      </c>
      <c r="O13" s="135">
        <v>0</v>
      </c>
      <c r="P13" s="136">
        <v>0</v>
      </c>
      <c r="Q13" s="136">
        <v>0</v>
      </c>
      <c r="R13" s="156">
        <v>13</v>
      </c>
      <c r="S13" s="156">
        <v>3</v>
      </c>
      <c r="T13" s="156">
        <v>13</v>
      </c>
      <c r="U13" s="156">
        <v>3</v>
      </c>
      <c r="V13" s="156">
        <v>13</v>
      </c>
      <c r="W13" s="156">
        <v>3</v>
      </c>
      <c r="X13" s="156">
        <v>13</v>
      </c>
      <c r="Y13" s="156">
        <v>3</v>
      </c>
      <c r="Z13" s="156">
        <v>13</v>
      </c>
      <c r="AA13" s="156">
        <v>3</v>
      </c>
      <c r="AB13" s="135">
        <v>0</v>
      </c>
      <c r="AC13" s="135">
        <v>0</v>
      </c>
      <c r="AD13" s="136">
        <v>0</v>
      </c>
      <c r="AE13" s="309">
        <v>0</v>
      </c>
      <c r="AF13" s="156">
        <v>13</v>
      </c>
      <c r="AG13" s="156">
        <v>3</v>
      </c>
      <c r="AH13" s="156">
        <v>13</v>
      </c>
      <c r="AI13" s="301">
        <v>3</v>
      </c>
      <c r="AJ13" s="156">
        <v>13</v>
      </c>
      <c r="AK13" s="301">
        <v>3</v>
      </c>
      <c r="AL13" s="156">
        <v>13</v>
      </c>
      <c r="AM13" s="156">
        <v>3</v>
      </c>
      <c r="AN13" s="156">
        <v>14</v>
      </c>
      <c r="AO13" s="156">
        <v>2</v>
      </c>
      <c r="AP13" s="135">
        <v>0</v>
      </c>
      <c r="AQ13" s="135">
        <v>0</v>
      </c>
      <c r="AR13" s="136">
        <v>0</v>
      </c>
      <c r="AS13" s="309">
        <v>0</v>
      </c>
      <c r="AT13" s="156">
        <v>13</v>
      </c>
      <c r="AU13" s="301">
        <v>3</v>
      </c>
      <c r="AV13" s="156">
        <v>13</v>
      </c>
      <c r="AW13" s="301">
        <v>3</v>
      </c>
      <c r="AX13" s="156">
        <v>14</v>
      </c>
      <c r="AY13" s="301">
        <v>2</v>
      </c>
      <c r="AZ13" s="156">
        <v>13</v>
      </c>
      <c r="BA13" s="301">
        <v>3</v>
      </c>
      <c r="BB13" s="156">
        <v>13</v>
      </c>
      <c r="BC13" s="156">
        <v>3</v>
      </c>
      <c r="BD13" s="135">
        <v>0</v>
      </c>
      <c r="BE13" s="135">
        <v>0</v>
      </c>
      <c r="BF13" s="136">
        <v>0</v>
      </c>
      <c r="BG13" s="309">
        <v>0</v>
      </c>
      <c r="BH13" s="136">
        <v>0</v>
      </c>
      <c r="BI13" s="309">
        <v>0</v>
      </c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56">
        <v>3</v>
      </c>
      <c r="K14" s="156">
        <v>0</v>
      </c>
      <c r="L14" s="156">
        <v>3</v>
      </c>
      <c r="M14" s="156">
        <v>0</v>
      </c>
      <c r="N14" s="135">
        <v>0</v>
      </c>
      <c r="O14" s="135">
        <v>0</v>
      </c>
      <c r="P14" s="136">
        <v>0</v>
      </c>
      <c r="Q14" s="13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3</v>
      </c>
      <c r="Y14" s="156">
        <v>0</v>
      </c>
      <c r="Z14" s="156">
        <v>3</v>
      </c>
      <c r="AA14" s="156">
        <v>0</v>
      </c>
      <c r="AB14" s="135">
        <v>0</v>
      </c>
      <c r="AC14" s="135">
        <v>0</v>
      </c>
      <c r="AD14" s="136">
        <v>0</v>
      </c>
      <c r="AE14" s="309">
        <v>0</v>
      </c>
      <c r="AF14" s="156">
        <v>3</v>
      </c>
      <c r="AG14" s="156">
        <v>0</v>
      </c>
      <c r="AH14" s="156">
        <v>3</v>
      </c>
      <c r="AI14" s="301">
        <v>0</v>
      </c>
      <c r="AJ14" s="156">
        <v>3</v>
      </c>
      <c r="AK14" s="301">
        <v>0</v>
      </c>
      <c r="AL14" s="156">
        <v>3</v>
      </c>
      <c r="AM14" s="156">
        <v>0</v>
      </c>
      <c r="AN14" s="156">
        <v>3</v>
      </c>
      <c r="AO14" s="156">
        <v>0</v>
      </c>
      <c r="AP14" s="135">
        <v>0</v>
      </c>
      <c r="AQ14" s="135">
        <v>0</v>
      </c>
      <c r="AR14" s="136">
        <v>0</v>
      </c>
      <c r="AS14" s="309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56">
        <v>3</v>
      </c>
      <c r="BA14" s="301">
        <v>0</v>
      </c>
      <c r="BB14" s="156">
        <v>3</v>
      </c>
      <c r="BC14" s="156">
        <v>0</v>
      </c>
      <c r="BD14" s="135">
        <v>0</v>
      </c>
      <c r="BE14" s="135">
        <v>0</v>
      </c>
      <c r="BF14" s="136">
        <v>0</v>
      </c>
      <c r="BG14" s="309">
        <v>0</v>
      </c>
      <c r="BH14" s="136">
        <v>0</v>
      </c>
      <c r="BI14" s="309">
        <v>0</v>
      </c>
      <c r="BJ14" s="156"/>
      <c r="BK14" s="156"/>
    </row>
    <row r="15" spans="1:63" x14ac:dyDescent="0.25">
      <c r="A15" s="261" t="s">
        <v>77</v>
      </c>
      <c r="B15" s="261"/>
      <c r="C15" s="8"/>
      <c r="D15" s="156">
        <v>31</v>
      </c>
      <c r="E15" s="156">
        <v>30</v>
      </c>
      <c r="F15" s="156">
        <v>29</v>
      </c>
      <c r="G15" s="156">
        <v>32</v>
      </c>
      <c r="H15" s="156">
        <v>29</v>
      </c>
      <c r="I15" s="156">
        <v>32</v>
      </c>
      <c r="J15" s="156">
        <v>29</v>
      </c>
      <c r="K15" s="156">
        <v>32</v>
      </c>
      <c r="L15" s="156">
        <v>29</v>
      </c>
      <c r="M15" s="156">
        <v>32</v>
      </c>
      <c r="N15" s="135">
        <v>75</v>
      </c>
      <c r="O15" s="135">
        <v>0</v>
      </c>
      <c r="P15" s="136">
        <v>57</v>
      </c>
      <c r="Q15" s="136">
        <v>0</v>
      </c>
      <c r="R15" s="156">
        <v>29</v>
      </c>
      <c r="S15" s="156">
        <v>32</v>
      </c>
      <c r="T15" s="156">
        <v>30</v>
      </c>
      <c r="U15" s="156">
        <v>31</v>
      </c>
      <c r="V15" s="156">
        <v>29</v>
      </c>
      <c r="W15" s="156">
        <v>32</v>
      </c>
      <c r="X15" s="156">
        <v>29</v>
      </c>
      <c r="Y15" s="156">
        <v>32</v>
      </c>
      <c r="Z15" s="156">
        <v>30</v>
      </c>
      <c r="AA15" s="156">
        <v>31</v>
      </c>
      <c r="AB15" s="135">
        <v>75</v>
      </c>
      <c r="AC15" s="135">
        <v>0</v>
      </c>
      <c r="AD15" s="136">
        <v>57</v>
      </c>
      <c r="AE15" s="309">
        <v>0</v>
      </c>
      <c r="AF15" s="156">
        <v>29</v>
      </c>
      <c r="AG15" s="156">
        <v>32</v>
      </c>
      <c r="AH15" s="156">
        <v>29</v>
      </c>
      <c r="AI15" s="301">
        <v>32</v>
      </c>
      <c r="AJ15" s="156">
        <v>27</v>
      </c>
      <c r="AK15" s="301">
        <v>34</v>
      </c>
      <c r="AL15" s="156">
        <v>29</v>
      </c>
      <c r="AM15" s="156">
        <v>32</v>
      </c>
      <c r="AN15" s="156">
        <v>28</v>
      </c>
      <c r="AO15" s="156">
        <v>33</v>
      </c>
      <c r="AP15" s="135">
        <v>75</v>
      </c>
      <c r="AQ15" s="135">
        <v>0</v>
      </c>
      <c r="AR15" s="136">
        <v>57</v>
      </c>
      <c r="AS15" s="309">
        <v>0</v>
      </c>
      <c r="AT15" s="156">
        <v>29</v>
      </c>
      <c r="AU15" s="301">
        <v>32</v>
      </c>
      <c r="AV15" s="156">
        <v>29</v>
      </c>
      <c r="AW15" s="301">
        <v>32</v>
      </c>
      <c r="AX15" s="156">
        <v>29</v>
      </c>
      <c r="AY15" s="301">
        <v>32</v>
      </c>
      <c r="AZ15" s="156">
        <v>29</v>
      </c>
      <c r="BA15" s="301">
        <v>32</v>
      </c>
      <c r="BB15" s="156">
        <v>29</v>
      </c>
      <c r="BC15" s="156">
        <v>32</v>
      </c>
      <c r="BD15" s="135">
        <v>75</v>
      </c>
      <c r="BE15" s="135">
        <v>0</v>
      </c>
      <c r="BF15" s="136">
        <v>57</v>
      </c>
      <c r="BG15" s="309">
        <v>0</v>
      </c>
      <c r="BH15" s="136">
        <v>45</v>
      </c>
      <c r="BI15" s="309">
        <v>0</v>
      </c>
      <c r="BJ15" s="156"/>
      <c r="BK15" s="156"/>
    </row>
    <row r="16" spans="1:63" s="124" customFormat="1" x14ac:dyDescent="0.25">
      <c r="A16" s="306"/>
      <c r="B16" s="306"/>
      <c r="C16" s="8"/>
      <c r="D16" s="303" t="s">
        <v>144</v>
      </c>
      <c r="E16" s="303" t="s">
        <v>144</v>
      </c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 t="s">
        <v>144</v>
      </c>
      <c r="AC16" s="303" t="s">
        <v>144</v>
      </c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 t="s">
        <v>144</v>
      </c>
      <c r="BA16" s="303" t="s">
        <v>144</v>
      </c>
      <c r="BB16" s="303" t="s">
        <v>144</v>
      </c>
      <c r="BC16" s="303" t="s">
        <v>144</v>
      </c>
      <c r="BD16" s="303" t="s">
        <v>144</v>
      </c>
      <c r="BE16" s="303" t="s">
        <v>144</v>
      </c>
      <c r="BF16" s="303" t="s">
        <v>144</v>
      </c>
      <c r="BG16" s="303" t="s">
        <v>144</v>
      </c>
      <c r="BH16" s="303"/>
      <c r="BI16" s="303"/>
      <c r="BJ16" s="303"/>
      <c r="BK16" s="303"/>
    </row>
    <row r="17" spans="1:63 16295:16295" x14ac:dyDescent="0.25">
      <c r="A17" s="67" t="s">
        <v>73</v>
      </c>
      <c r="B17" s="68"/>
      <c r="C17" s="8"/>
      <c r="D17" s="286">
        <v>7</v>
      </c>
      <c r="E17" s="286">
        <v>0</v>
      </c>
      <c r="F17" s="286">
        <v>7</v>
      </c>
      <c r="G17" s="286">
        <v>0</v>
      </c>
      <c r="H17" s="286">
        <v>7</v>
      </c>
      <c r="I17" s="286">
        <v>0</v>
      </c>
      <c r="J17" s="286">
        <v>7</v>
      </c>
      <c r="K17" s="286">
        <v>0</v>
      </c>
      <c r="L17" s="302">
        <v>7</v>
      </c>
      <c r="M17" s="302">
        <v>0</v>
      </c>
      <c r="N17" s="308">
        <v>0</v>
      </c>
      <c r="O17" s="308">
        <v>0</v>
      </c>
      <c r="P17" s="344">
        <v>0</v>
      </c>
      <c r="Q17" s="344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286">
        <v>7</v>
      </c>
      <c r="Y17" s="286">
        <v>0</v>
      </c>
      <c r="Z17" s="286">
        <v>7</v>
      </c>
      <c r="AA17" s="286">
        <v>0</v>
      </c>
      <c r="AB17" s="308">
        <v>0</v>
      </c>
      <c r="AC17" s="308">
        <v>0</v>
      </c>
      <c r="AD17" s="304">
        <v>0</v>
      </c>
      <c r="AE17" s="345">
        <v>0</v>
      </c>
      <c r="AF17" s="302">
        <v>7</v>
      </c>
      <c r="AG17" s="302">
        <v>0</v>
      </c>
      <c r="AH17" s="156">
        <v>7</v>
      </c>
      <c r="AI17" s="301">
        <v>0</v>
      </c>
      <c r="AJ17" s="156">
        <v>7</v>
      </c>
      <c r="AK17" s="301">
        <v>0</v>
      </c>
      <c r="AL17" s="286">
        <v>7</v>
      </c>
      <c r="AM17" s="311">
        <v>0</v>
      </c>
      <c r="AN17" s="286">
        <v>7</v>
      </c>
      <c r="AO17" s="311">
        <v>0</v>
      </c>
      <c r="AP17" s="308">
        <v>0</v>
      </c>
      <c r="AQ17" s="343">
        <v>0</v>
      </c>
      <c r="AR17" s="136">
        <v>0</v>
      </c>
      <c r="AS17" s="309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56">
        <v>7</v>
      </c>
      <c r="BA17" s="301">
        <v>0</v>
      </c>
      <c r="BB17" s="286">
        <v>7</v>
      </c>
      <c r="BC17" s="286">
        <v>0</v>
      </c>
      <c r="BD17" s="308">
        <v>0</v>
      </c>
      <c r="BE17" s="343">
        <v>0</v>
      </c>
      <c r="BF17" s="304">
        <v>0</v>
      </c>
      <c r="BG17" s="345">
        <v>0</v>
      </c>
      <c r="BH17" s="136">
        <v>0</v>
      </c>
      <c r="BI17" s="309">
        <v>0</v>
      </c>
      <c r="BJ17" s="286"/>
      <c r="BK17" s="286"/>
    </row>
    <row r="18" spans="1:63 16295:16295" s="124" customFormat="1" x14ac:dyDescent="0.25">
      <c r="A18" s="67" t="s">
        <v>123</v>
      </c>
      <c r="B18" s="68"/>
      <c r="C18" s="8"/>
      <c r="D18" s="286">
        <v>0</v>
      </c>
      <c r="E18" s="286">
        <v>0</v>
      </c>
      <c r="F18" s="286">
        <v>0</v>
      </c>
      <c r="G18" s="286">
        <v>0</v>
      </c>
      <c r="H18" s="286">
        <v>0</v>
      </c>
      <c r="I18" s="286">
        <v>0</v>
      </c>
      <c r="J18" s="286">
        <v>0</v>
      </c>
      <c r="K18" s="286">
        <v>0</v>
      </c>
      <c r="L18" s="302">
        <v>0</v>
      </c>
      <c r="M18" s="302">
        <v>0</v>
      </c>
      <c r="N18" s="308">
        <v>0</v>
      </c>
      <c r="O18" s="308">
        <v>0</v>
      </c>
      <c r="P18" s="344">
        <v>0</v>
      </c>
      <c r="Q18" s="344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286">
        <v>0</v>
      </c>
      <c r="Y18" s="286">
        <v>0</v>
      </c>
      <c r="Z18" s="286">
        <v>0</v>
      </c>
      <c r="AA18" s="286">
        <v>0</v>
      </c>
      <c r="AB18" s="308">
        <v>0</v>
      </c>
      <c r="AC18" s="308">
        <v>0</v>
      </c>
      <c r="AD18" s="304">
        <v>0</v>
      </c>
      <c r="AE18" s="345">
        <v>0</v>
      </c>
      <c r="AF18" s="302">
        <v>0</v>
      </c>
      <c r="AG18" s="302">
        <v>0</v>
      </c>
      <c r="AH18" s="156">
        <v>0</v>
      </c>
      <c r="AI18" s="301">
        <v>0</v>
      </c>
      <c r="AJ18" s="156">
        <v>0</v>
      </c>
      <c r="AK18" s="301">
        <v>0</v>
      </c>
      <c r="AL18" s="286">
        <v>0</v>
      </c>
      <c r="AM18" s="311">
        <v>0</v>
      </c>
      <c r="AN18" s="286">
        <v>0</v>
      </c>
      <c r="AO18" s="311">
        <v>0</v>
      </c>
      <c r="AP18" s="308">
        <v>0</v>
      </c>
      <c r="AQ18" s="343">
        <v>0</v>
      </c>
      <c r="AR18" s="136">
        <v>0</v>
      </c>
      <c r="AS18" s="309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56">
        <v>0</v>
      </c>
      <c r="BA18" s="301">
        <v>0</v>
      </c>
      <c r="BB18" s="286">
        <v>0</v>
      </c>
      <c r="BC18" s="286">
        <v>0</v>
      </c>
      <c r="BD18" s="308">
        <v>0</v>
      </c>
      <c r="BE18" s="343">
        <v>0</v>
      </c>
      <c r="BF18" s="304">
        <v>0</v>
      </c>
      <c r="BG18" s="345">
        <v>0</v>
      </c>
      <c r="BH18" s="136">
        <v>0</v>
      </c>
      <c r="BI18" s="309">
        <v>0</v>
      </c>
      <c r="BJ18" s="286"/>
      <c r="BK18" s="286"/>
    </row>
    <row r="19" spans="1:63 16295:16295" x14ac:dyDescent="0.25">
      <c r="A19" s="67" t="s">
        <v>74</v>
      </c>
      <c r="B19" s="68"/>
      <c r="C19" s="8"/>
      <c r="D19" s="286">
        <v>2</v>
      </c>
      <c r="E19" s="286">
        <v>6</v>
      </c>
      <c r="F19" s="286">
        <v>1</v>
      </c>
      <c r="G19" s="286">
        <v>7</v>
      </c>
      <c r="H19" s="286">
        <v>1</v>
      </c>
      <c r="I19" s="286">
        <v>7</v>
      </c>
      <c r="J19" s="286">
        <v>2</v>
      </c>
      <c r="K19" s="286">
        <v>6</v>
      </c>
      <c r="L19" s="302">
        <v>1</v>
      </c>
      <c r="M19" s="302">
        <v>7</v>
      </c>
      <c r="N19" s="308">
        <v>0</v>
      </c>
      <c r="O19" s="308">
        <v>0</v>
      </c>
      <c r="P19" s="344">
        <v>0</v>
      </c>
      <c r="Q19" s="344">
        <v>0</v>
      </c>
      <c r="R19" s="286">
        <v>1</v>
      </c>
      <c r="S19" s="286">
        <v>7</v>
      </c>
      <c r="T19" s="156">
        <v>2</v>
      </c>
      <c r="U19" s="156">
        <v>6</v>
      </c>
      <c r="V19" s="286">
        <v>1</v>
      </c>
      <c r="W19" s="286">
        <v>7</v>
      </c>
      <c r="X19" s="286">
        <v>1</v>
      </c>
      <c r="Y19" s="286">
        <v>7</v>
      </c>
      <c r="Z19" s="286">
        <v>2</v>
      </c>
      <c r="AA19" s="286">
        <v>6</v>
      </c>
      <c r="AB19" s="308">
        <v>0</v>
      </c>
      <c r="AC19" s="308">
        <v>0</v>
      </c>
      <c r="AD19" s="304">
        <v>0</v>
      </c>
      <c r="AE19" s="345">
        <v>0</v>
      </c>
      <c r="AF19" s="302">
        <v>1</v>
      </c>
      <c r="AG19" s="302">
        <v>7</v>
      </c>
      <c r="AH19" s="156">
        <v>1</v>
      </c>
      <c r="AI19" s="301">
        <v>7</v>
      </c>
      <c r="AJ19" s="156">
        <v>1</v>
      </c>
      <c r="AK19" s="301">
        <v>7</v>
      </c>
      <c r="AL19" s="286">
        <v>1</v>
      </c>
      <c r="AM19" s="311">
        <v>7</v>
      </c>
      <c r="AN19" s="286">
        <v>1</v>
      </c>
      <c r="AO19" s="311">
        <v>7</v>
      </c>
      <c r="AP19" s="308">
        <v>0</v>
      </c>
      <c r="AQ19" s="343">
        <v>0</v>
      </c>
      <c r="AR19" s="136">
        <v>0</v>
      </c>
      <c r="AS19" s="309">
        <v>0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56">
        <v>1</v>
      </c>
      <c r="BA19" s="301">
        <v>7</v>
      </c>
      <c r="BB19" s="286">
        <v>1</v>
      </c>
      <c r="BC19" s="286">
        <v>7</v>
      </c>
      <c r="BD19" s="308">
        <v>0</v>
      </c>
      <c r="BE19" s="343">
        <v>0</v>
      </c>
      <c r="BF19" s="304">
        <v>0</v>
      </c>
      <c r="BG19" s="345">
        <v>0</v>
      </c>
      <c r="BH19" s="136">
        <v>6</v>
      </c>
      <c r="BI19" s="309">
        <v>0</v>
      </c>
      <c r="BJ19" s="286"/>
      <c r="BK19" s="286"/>
    </row>
    <row r="20" spans="1:63 16295:16295" x14ac:dyDescent="0.25">
      <c r="A20" s="67" t="s">
        <v>75</v>
      </c>
      <c r="B20" s="68"/>
      <c r="C20" s="8"/>
      <c r="D20" s="286">
        <v>6</v>
      </c>
      <c r="E20" s="286">
        <v>0</v>
      </c>
      <c r="F20" s="286">
        <v>6</v>
      </c>
      <c r="G20" s="286">
        <v>0</v>
      </c>
      <c r="H20" s="286">
        <v>6</v>
      </c>
      <c r="I20" s="286">
        <v>0</v>
      </c>
      <c r="J20" s="286">
        <v>6</v>
      </c>
      <c r="K20" s="286">
        <v>0</v>
      </c>
      <c r="L20" s="302">
        <v>6</v>
      </c>
      <c r="M20" s="302">
        <v>0</v>
      </c>
      <c r="N20" s="308">
        <v>0</v>
      </c>
      <c r="O20" s="308">
        <v>0</v>
      </c>
      <c r="P20" s="344">
        <v>0</v>
      </c>
      <c r="Q20" s="344">
        <v>0</v>
      </c>
      <c r="R20" s="286">
        <v>6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286">
        <v>6</v>
      </c>
      <c r="Y20" s="286">
        <v>0</v>
      </c>
      <c r="Z20" s="286">
        <v>6</v>
      </c>
      <c r="AA20" s="286">
        <v>0</v>
      </c>
      <c r="AB20" s="308">
        <v>0</v>
      </c>
      <c r="AC20" s="308">
        <v>0</v>
      </c>
      <c r="AD20" s="304">
        <v>0</v>
      </c>
      <c r="AE20" s="345">
        <v>0</v>
      </c>
      <c r="AF20" s="302">
        <v>6</v>
      </c>
      <c r="AG20" s="302">
        <v>0</v>
      </c>
      <c r="AH20" s="156">
        <v>6</v>
      </c>
      <c r="AI20" s="301">
        <v>0</v>
      </c>
      <c r="AJ20" s="156">
        <v>6</v>
      </c>
      <c r="AK20" s="301">
        <v>0</v>
      </c>
      <c r="AL20" s="286">
        <v>6</v>
      </c>
      <c r="AM20" s="311">
        <v>0</v>
      </c>
      <c r="AN20" s="286">
        <v>6</v>
      </c>
      <c r="AO20" s="311">
        <v>0</v>
      </c>
      <c r="AP20" s="308">
        <v>0</v>
      </c>
      <c r="AQ20" s="343">
        <v>0</v>
      </c>
      <c r="AR20" s="136">
        <v>0</v>
      </c>
      <c r="AS20" s="309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56">
        <v>6</v>
      </c>
      <c r="BA20" s="301">
        <v>0</v>
      </c>
      <c r="BB20" s="286">
        <v>6</v>
      </c>
      <c r="BC20" s="286">
        <v>0</v>
      </c>
      <c r="BD20" s="308">
        <v>0</v>
      </c>
      <c r="BE20" s="343">
        <v>0</v>
      </c>
      <c r="BF20" s="304">
        <v>0</v>
      </c>
      <c r="BG20" s="345">
        <v>0</v>
      </c>
      <c r="BH20" s="136">
        <v>0</v>
      </c>
      <c r="BI20" s="309">
        <v>0</v>
      </c>
      <c r="BJ20" s="286"/>
      <c r="BK20" s="286"/>
    </row>
    <row r="21" spans="1:63 16295:16295" x14ac:dyDescent="0.25">
      <c r="A21" s="67" t="s">
        <v>76</v>
      </c>
      <c r="B21" s="68"/>
      <c r="C21" s="8"/>
      <c r="D21" s="286">
        <v>0</v>
      </c>
      <c r="E21" s="286">
        <v>0</v>
      </c>
      <c r="F21" s="286">
        <v>0</v>
      </c>
      <c r="G21" s="286">
        <v>0</v>
      </c>
      <c r="H21" s="286">
        <v>0</v>
      </c>
      <c r="I21" s="286">
        <v>0</v>
      </c>
      <c r="J21" s="286">
        <v>0</v>
      </c>
      <c r="K21" s="286">
        <v>0</v>
      </c>
      <c r="L21" s="302">
        <v>0</v>
      </c>
      <c r="M21" s="302">
        <v>0</v>
      </c>
      <c r="N21" s="308">
        <v>0</v>
      </c>
      <c r="O21" s="308">
        <v>0</v>
      </c>
      <c r="P21" s="344">
        <v>0</v>
      </c>
      <c r="Q21" s="344">
        <v>0</v>
      </c>
      <c r="R21" s="286">
        <v>0</v>
      </c>
      <c r="S21" s="286">
        <v>0</v>
      </c>
      <c r="T21" s="156">
        <v>0</v>
      </c>
      <c r="U21" s="156">
        <v>0</v>
      </c>
      <c r="V21" s="286">
        <v>0</v>
      </c>
      <c r="W21" s="286">
        <v>0</v>
      </c>
      <c r="X21" s="286">
        <v>0</v>
      </c>
      <c r="Y21" s="286">
        <v>0</v>
      </c>
      <c r="Z21" s="286">
        <v>0</v>
      </c>
      <c r="AA21" s="286">
        <v>0</v>
      </c>
      <c r="AB21" s="308">
        <v>0</v>
      </c>
      <c r="AC21" s="308">
        <v>0</v>
      </c>
      <c r="AD21" s="304">
        <v>0</v>
      </c>
      <c r="AE21" s="345">
        <v>0</v>
      </c>
      <c r="AF21" s="302">
        <v>0</v>
      </c>
      <c r="AG21" s="302">
        <v>0</v>
      </c>
      <c r="AH21" s="156">
        <v>0</v>
      </c>
      <c r="AI21" s="301">
        <v>0</v>
      </c>
      <c r="AJ21" s="156">
        <v>0</v>
      </c>
      <c r="AK21" s="301">
        <v>0</v>
      </c>
      <c r="AL21" s="286">
        <v>0</v>
      </c>
      <c r="AM21" s="311">
        <v>0</v>
      </c>
      <c r="AN21" s="286">
        <v>0</v>
      </c>
      <c r="AO21" s="311">
        <v>0</v>
      </c>
      <c r="AP21" s="308">
        <v>0</v>
      </c>
      <c r="AQ21" s="343">
        <v>0</v>
      </c>
      <c r="AR21" s="136">
        <v>0</v>
      </c>
      <c r="AS21" s="309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56">
        <v>0</v>
      </c>
      <c r="BA21" s="301">
        <v>0</v>
      </c>
      <c r="BB21" s="286">
        <v>0</v>
      </c>
      <c r="BC21" s="286">
        <v>0</v>
      </c>
      <c r="BD21" s="308">
        <v>0</v>
      </c>
      <c r="BE21" s="343">
        <v>0</v>
      </c>
      <c r="BF21" s="304">
        <v>0</v>
      </c>
      <c r="BG21" s="345">
        <v>0</v>
      </c>
      <c r="BH21" s="136">
        <v>0</v>
      </c>
      <c r="BI21" s="309">
        <v>0</v>
      </c>
      <c r="BJ21" s="286"/>
      <c r="BK21" s="286"/>
    </row>
    <row r="22" spans="1:63 16295:16295" x14ac:dyDescent="0.25">
      <c r="A22" s="67" t="s">
        <v>77</v>
      </c>
      <c r="B22" s="76"/>
      <c r="C22" s="8"/>
      <c r="D22" s="286">
        <v>5</v>
      </c>
      <c r="E22" s="286">
        <v>2</v>
      </c>
      <c r="F22" s="286">
        <v>4</v>
      </c>
      <c r="G22" s="286">
        <v>3</v>
      </c>
      <c r="H22" s="286">
        <v>4</v>
      </c>
      <c r="I22" s="286">
        <v>3</v>
      </c>
      <c r="J22" s="286">
        <v>4</v>
      </c>
      <c r="K22" s="286">
        <v>3</v>
      </c>
      <c r="L22" s="302">
        <v>4</v>
      </c>
      <c r="M22" s="302">
        <v>3</v>
      </c>
      <c r="N22" s="308">
        <v>0</v>
      </c>
      <c r="O22" s="308">
        <v>0</v>
      </c>
      <c r="P22" s="344">
        <v>0</v>
      </c>
      <c r="Q22" s="344">
        <v>0</v>
      </c>
      <c r="R22" s="286">
        <v>4</v>
      </c>
      <c r="S22" s="286">
        <v>3</v>
      </c>
      <c r="T22" s="156">
        <v>4</v>
      </c>
      <c r="U22" s="156">
        <v>3</v>
      </c>
      <c r="V22" s="286">
        <v>4</v>
      </c>
      <c r="W22" s="286">
        <v>3</v>
      </c>
      <c r="X22" s="286">
        <v>4</v>
      </c>
      <c r="Y22" s="286">
        <v>3</v>
      </c>
      <c r="Z22" s="286">
        <v>4</v>
      </c>
      <c r="AA22" s="286">
        <v>3</v>
      </c>
      <c r="AB22" s="308">
        <v>0</v>
      </c>
      <c r="AC22" s="308">
        <v>0</v>
      </c>
      <c r="AD22" s="304">
        <v>0</v>
      </c>
      <c r="AE22" s="345">
        <v>0</v>
      </c>
      <c r="AF22" s="302">
        <v>4</v>
      </c>
      <c r="AG22" s="302">
        <v>3</v>
      </c>
      <c r="AH22" s="156">
        <v>4</v>
      </c>
      <c r="AI22" s="301">
        <v>3</v>
      </c>
      <c r="AJ22" s="156">
        <v>4</v>
      </c>
      <c r="AK22" s="301">
        <v>3</v>
      </c>
      <c r="AL22" s="286">
        <v>4</v>
      </c>
      <c r="AM22" s="311">
        <v>3</v>
      </c>
      <c r="AN22" s="286">
        <v>4</v>
      </c>
      <c r="AO22" s="311">
        <v>3</v>
      </c>
      <c r="AP22" s="308">
        <v>0</v>
      </c>
      <c r="AQ22" s="343">
        <v>0</v>
      </c>
      <c r="AR22" s="136">
        <v>0</v>
      </c>
      <c r="AS22" s="309">
        <v>0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56">
        <v>4</v>
      </c>
      <c r="BA22" s="301">
        <v>3</v>
      </c>
      <c r="BB22" s="286">
        <v>4</v>
      </c>
      <c r="BC22" s="286">
        <v>3</v>
      </c>
      <c r="BD22" s="308">
        <v>0</v>
      </c>
      <c r="BE22" s="343">
        <v>0</v>
      </c>
      <c r="BF22" s="304">
        <v>0</v>
      </c>
      <c r="BG22" s="345">
        <v>0</v>
      </c>
      <c r="BH22" s="136">
        <v>6</v>
      </c>
      <c r="BI22" s="309">
        <v>0</v>
      </c>
      <c r="BJ22" s="286"/>
      <c r="BK22" s="286"/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144</v>
      </c>
      <c r="E24" s="137">
        <f t="shared" si="0"/>
        <v>85</v>
      </c>
      <c r="F24" s="137">
        <f t="shared" si="0"/>
        <v>144</v>
      </c>
      <c r="G24" s="137">
        <f t="shared" si="0"/>
        <v>85</v>
      </c>
      <c r="H24" s="137">
        <f t="shared" si="0"/>
        <v>142</v>
      </c>
      <c r="I24" s="137">
        <f t="shared" si="0"/>
        <v>85</v>
      </c>
      <c r="J24" s="137">
        <f t="shared" si="0"/>
        <v>142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73">
        <f t="shared" si="0"/>
        <v>144</v>
      </c>
      <c r="O24" s="173">
        <f t="shared" si="0"/>
        <v>3</v>
      </c>
      <c r="P24" s="63">
        <f t="shared" si="0"/>
        <v>108</v>
      </c>
      <c r="Q24" s="63">
        <f t="shared" si="0"/>
        <v>3</v>
      </c>
      <c r="R24" s="137">
        <f t="shared" si="0"/>
        <v>142</v>
      </c>
      <c r="S24" s="137">
        <f t="shared" si="0"/>
        <v>87</v>
      </c>
      <c r="T24" s="137">
        <f t="shared" si="0"/>
        <v>144</v>
      </c>
      <c r="U24" s="137">
        <f t="shared" si="0"/>
        <v>85</v>
      </c>
      <c r="V24" s="137">
        <f t="shared" si="0"/>
        <v>140</v>
      </c>
      <c r="W24" s="137">
        <f t="shared" si="0"/>
        <v>89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86</v>
      </c>
      <c r="AB24" s="173">
        <f t="shared" si="0"/>
        <v>144</v>
      </c>
      <c r="AC24" s="173">
        <f t="shared" si="0"/>
        <v>3</v>
      </c>
      <c r="AD24" s="63">
        <f t="shared" si="0"/>
        <v>108</v>
      </c>
      <c r="AE24" s="63">
        <f t="shared" si="0"/>
        <v>3</v>
      </c>
      <c r="AF24" s="137">
        <f t="shared" si="0"/>
        <v>142</v>
      </c>
      <c r="AG24" s="137">
        <f t="shared" si="0"/>
        <v>87</v>
      </c>
      <c r="AH24" s="137">
        <f t="shared" ref="AH24:AO24" si="1">SUM(AH3:AH22)</f>
        <v>142</v>
      </c>
      <c r="AI24" s="137">
        <f t="shared" si="1"/>
        <v>87</v>
      </c>
      <c r="AJ24" s="137">
        <f t="shared" si="1"/>
        <v>138</v>
      </c>
      <c r="AK24" s="137">
        <f t="shared" si="1"/>
        <v>91</v>
      </c>
      <c r="AL24" s="137">
        <f t="shared" si="1"/>
        <v>142</v>
      </c>
      <c r="AM24" s="137">
        <f t="shared" si="1"/>
        <v>87</v>
      </c>
      <c r="AN24" s="137">
        <f t="shared" si="1"/>
        <v>142</v>
      </c>
      <c r="AO24" s="137">
        <f t="shared" si="1"/>
        <v>87</v>
      </c>
      <c r="AP24" s="173">
        <f t="shared" si="0"/>
        <v>144</v>
      </c>
      <c r="AQ24" s="173">
        <f t="shared" si="0"/>
        <v>3</v>
      </c>
      <c r="AR24" s="63">
        <f t="shared" si="0"/>
        <v>108</v>
      </c>
      <c r="AS24" s="63">
        <f t="shared" si="0"/>
        <v>3</v>
      </c>
      <c r="AT24" s="137">
        <f t="shared" si="0"/>
        <v>142</v>
      </c>
      <c r="AU24" s="137">
        <f t="shared" si="0"/>
        <v>87</v>
      </c>
      <c r="AV24" s="137">
        <f t="shared" si="0"/>
        <v>140</v>
      </c>
      <c r="AW24" s="137">
        <f t="shared" si="0"/>
        <v>89</v>
      </c>
      <c r="AX24" s="137">
        <f t="shared" si="0"/>
        <v>144</v>
      </c>
      <c r="AY24" s="137">
        <f t="shared" si="0"/>
        <v>85</v>
      </c>
      <c r="AZ24" s="137">
        <f t="shared" si="0"/>
        <v>142</v>
      </c>
      <c r="BA24" s="137">
        <f t="shared" si="0"/>
        <v>87</v>
      </c>
      <c r="BB24" s="137">
        <f t="shared" si="0"/>
        <v>142</v>
      </c>
      <c r="BC24" s="137">
        <f t="shared" si="0"/>
        <v>87</v>
      </c>
      <c r="BD24" s="173">
        <f t="shared" si="0"/>
        <v>144</v>
      </c>
      <c r="BE24" s="173">
        <f t="shared" si="0"/>
        <v>3</v>
      </c>
      <c r="BF24" s="63">
        <f t="shared" si="0"/>
        <v>108</v>
      </c>
      <c r="BG24" s="63">
        <f t="shared" si="0"/>
        <v>3</v>
      </c>
      <c r="BH24" s="63">
        <f t="shared" si="0"/>
        <v>108</v>
      </c>
      <c r="BI24" s="63">
        <f t="shared" si="0"/>
        <v>3</v>
      </c>
      <c r="BJ24" s="137">
        <f t="shared" si="0"/>
        <v>0</v>
      </c>
      <c r="BK24" s="137">
        <f t="shared" si="0"/>
        <v>0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39</v>
      </c>
      <c r="G31" s="57">
        <f>G5+G12+G19</f>
        <v>40</v>
      </c>
      <c r="H31" s="57">
        <f>H5+H12+H19</f>
        <v>39</v>
      </c>
      <c r="I31" s="57">
        <f>I5+I12+I19</f>
        <v>40</v>
      </c>
      <c r="J31" s="57">
        <f>J5+J12+J19</f>
        <v>39</v>
      </c>
      <c r="K31" s="57">
        <f>K5+K12+K19</f>
        <v>40</v>
      </c>
      <c r="L31" s="150">
        <f>L5+L12+L19</f>
        <v>39</v>
      </c>
      <c r="M31" s="57">
        <f>M5+M12+M19</f>
        <v>40</v>
      </c>
      <c r="N31" s="277">
        <f>N5+N12+N19</f>
        <v>69</v>
      </c>
      <c r="O31" s="277">
        <f>O5+O12+O19</f>
        <v>3</v>
      </c>
      <c r="P31" s="278">
        <f>P5+P12+P19</f>
        <v>51</v>
      </c>
      <c r="Q31" s="278">
        <f>Q5+Q12+Q19</f>
        <v>3</v>
      </c>
      <c r="R31" s="258">
        <f>R5+R12+R19</f>
        <v>39</v>
      </c>
      <c r="S31" s="258">
        <f>S5+S12+S19</f>
        <v>40</v>
      </c>
      <c r="T31" s="57">
        <f>T5+T12+T19</f>
        <v>40</v>
      </c>
      <c r="U31" s="57">
        <f>U5+U12+U19</f>
        <v>39</v>
      </c>
      <c r="V31" s="266">
        <f>V5+V12+V19</f>
        <v>38</v>
      </c>
      <c r="W31" s="266">
        <f>W5+W12+W19</f>
        <v>41</v>
      </c>
      <c r="X31" s="267">
        <f>X5+X12+X19</f>
        <v>38</v>
      </c>
      <c r="Y31" s="267">
        <f>Y5+Y12+Y19</f>
        <v>41</v>
      </c>
      <c r="Z31" s="268">
        <f>Z5+Z12+Z19</f>
        <v>39</v>
      </c>
      <c r="AA31" s="268">
        <f>AA5+AA12+AA19</f>
        <v>40</v>
      </c>
      <c r="AB31" s="269">
        <f>AB5+AB12+AB19</f>
        <v>69</v>
      </c>
      <c r="AC31" s="269">
        <f>AC5+AC12+AC19</f>
        <v>3</v>
      </c>
      <c r="AD31" s="57">
        <f>AD5+AD12+AD19</f>
        <v>51</v>
      </c>
      <c r="AE31" s="57">
        <f>AE5+AE12+AE19</f>
        <v>3</v>
      </c>
      <c r="AF31" s="57">
        <f>AF5+AF12+AF19</f>
        <v>39</v>
      </c>
      <c r="AG31" s="248">
        <f>AG5+AG12+AG19</f>
        <v>40</v>
      </c>
      <c r="AH31" s="57">
        <f>AH5+AH12+AH19</f>
        <v>39</v>
      </c>
      <c r="AI31" s="57">
        <f>AI5+AI12+AI19</f>
        <v>40</v>
      </c>
      <c r="AJ31" s="262">
        <f>AJ5+AJ12+AJ19</f>
        <v>37</v>
      </c>
      <c r="AK31" s="262">
        <f>AK5+AK12+AK19</f>
        <v>42</v>
      </c>
      <c r="AL31" s="280">
        <f>AL5+AL12+AL19</f>
        <v>39</v>
      </c>
      <c r="AM31" s="280">
        <f>AM5+AM12+AM19</f>
        <v>40</v>
      </c>
      <c r="AN31" s="271">
        <f>AN5+AN12+AN19</f>
        <v>38</v>
      </c>
      <c r="AO31" s="271">
        <f>AO5+AO12+AO19</f>
        <v>41</v>
      </c>
      <c r="AP31" s="280">
        <f>AP5+AP12+AP19</f>
        <v>69</v>
      </c>
      <c r="AQ31" s="280">
        <f>AQ5+AQ12+AQ19</f>
        <v>3</v>
      </c>
      <c r="AR31" s="272">
        <f>AR5+AR12+AR19</f>
        <v>51</v>
      </c>
      <c r="AS31" s="272">
        <f>AS5+AS12+AS19</f>
        <v>3</v>
      </c>
      <c r="AT31" s="273">
        <f>AT5+AT12+AT19</f>
        <v>39</v>
      </c>
      <c r="AU31" s="273">
        <f>AU5+AU12+AU19</f>
        <v>40</v>
      </c>
      <c r="AV31" s="274">
        <f>AV5+AV12+AV19</f>
        <v>38</v>
      </c>
      <c r="AW31" s="274">
        <f>AW5+AW12+AW19</f>
        <v>41</v>
      </c>
      <c r="AX31" s="275">
        <f>AX5+AX12+AX19</f>
        <v>39</v>
      </c>
      <c r="AY31" s="275">
        <f>AY5+AY12+AY19</f>
        <v>40</v>
      </c>
      <c r="AZ31" s="57">
        <f>AZ5+AZ12+AZ19</f>
        <v>39</v>
      </c>
      <c r="BA31" s="250">
        <f>BA5+BA12+BA19</f>
        <v>40</v>
      </c>
      <c r="BB31" s="115">
        <f>BB5+BB12+BB19</f>
        <v>39</v>
      </c>
      <c r="BC31" s="251">
        <f>BC5+BC12+BC19</f>
        <v>40</v>
      </c>
      <c r="BD31" s="263">
        <f>BD5+BD12+BD19</f>
        <v>69</v>
      </c>
      <c r="BE31" s="263">
        <f>BE5+BE12+BE19</f>
        <v>3</v>
      </c>
      <c r="BF31" s="174">
        <f>BF5+BF12+BF19</f>
        <v>51</v>
      </c>
      <c r="BG31" s="174">
        <f>BG5+BG12+BG19</f>
        <v>3</v>
      </c>
      <c r="BH31" s="324">
        <f>BH5+BH12+BH19</f>
        <v>51</v>
      </c>
      <c r="BI31" s="324">
        <f>BI5+BI12+BI19</f>
        <v>3</v>
      </c>
      <c r="BJ31" s="324">
        <f>BJ5+BJ12+BJ19</f>
        <v>0</v>
      </c>
      <c r="BK31" s="324">
        <f>BK5+BK12+BK19</f>
        <v>0</v>
      </c>
    </row>
    <row r="32" spans="1:63 16295:16295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37</v>
      </c>
      <c r="G32" s="57">
        <f>G8+G15+G22</f>
        <v>41</v>
      </c>
      <c r="H32" s="57">
        <f>H8+H15+H22</f>
        <v>37</v>
      </c>
      <c r="I32" s="57">
        <f>I8+I15+I22</f>
        <v>41</v>
      </c>
      <c r="J32" s="57">
        <f>J8+J15+J22</f>
        <v>37</v>
      </c>
      <c r="K32" s="57">
        <f>K8+K15+K22</f>
        <v>41</v>
      </c>
      <c r="L32" s="150">
        <f>L8+L15+L22</f>
        <v>37</v>
      </c>
      <c r="M32" s="57">
        <f>M8+M15+M22</f>
        <v>41</v>
      </c>
      <c r="N32" s="277">
        <f>N8+N15+N22</f>
        <v>75</v>
      </c>
      <c r="O32" s="277">
        <f>O8+O15+O22</f>
        <v>0</v>
      </c>
      <c r="P32" s="278">
        <f>P8+P15+P22</f>
        <v>57</v>
      </c>
      <c r="Q32" s="278">
        <f>Q8+Q15+Q22</f>
        <v>0</v>
      </c>
      <c r="R32" s="258">
        <f>R8+R15+R22</f>
        <v>37</v>
      </c>
      <c r="S32" s="258">
        <f>S8+S15+S22</f>
        <v>41</v>
      </c>
      <c r="T32" s="57">
        <f>T8+T15+T22</f>
        <v>38</v>
      </c>
      <c r="U32" s="57">
        <f>U8+U15+U22</f>
        <v>40</v>
      </c>
      <c r="V32" s="266">
        <f>V8+V15+V22</f>
        <v>36</v>
      </c>
      <c r="W32" s="266">
        <f>W8+W15+W22</f>
        <v>42</v>
      </c>
      <c r="X32" s="267">
        <f>X8+X15+X22</f>
        <v>36</v>
      </c>
      <c r="Y32" s="267">
        <f>Y8+Y15+Y22</f>
        <v>42</v>
      </c>
      <c r="Z32" s="268">
        <f>Z8+Z15+Z22</f>
        <v>38</v>
      </c>
      <c r="AA32" s="268">
        <f>AA8+AA15+AA22</f>
        <v>40</v>
      </c>
      <c r="AB32" s="269">
        <f>AB8+AB15+AB22</f>
        <v>75</v>
      </c>
      <c r="AC32" s="269">
        <f>AC8+AC15+AC22</f>
        <v>0</v>
      </c>
      <c r="AD32" s="57">
        <f>AD8+AD15+AD22</f>
        <v>57</v>
      </c>
      <c r="AE32" s="247">
        <f>AE8+AE15+AE22</f>
        <v>0</v>
      </c>
      <c r="AF32" s="248">
        <f>AF8+AF15+AF22</f>
        <v>37</v>
      </c>
      <c r="AG32" s="248">
        <f>AG8+AG15+AG22</f>
        <v>41</v>
      </c>
      <c r="AH32" s="57">
        <f>AH8+AH15+AH22</f>
        <v>37</v>
      </c>
      <c r="AI32" s="57">
        <f>AI8+AI15+AI22</f>
        <v>41</v>
      </c>
      <c r="AJ32" s="262">
        <f>AJ8+AJ15+AJ22</f>
        <v>35</v>
      </c>
      <c r="AK32" s="262">
        <f>AK8+AK15+AK22</f>
        <v>43</v>
      </c>
      <c r="AL32" s="280">
        <f>AL8+AL15+AL22</f>
        <v>37</v>
      </c>
      <c r="AM32" s="280">
        <f>AM8+AM15+AM22</f>
        <v>41</v>
      </c>
      <c r="AN32" s="271">
        <f>AN8+AN15+AN22</f>
        <v>36</v>
      </c>
      <c r="AO32" s="271">
        <f>AO8+AO15+AO22</f>
        <v>42</v>
      </c>
      <c r="AP32" s="280">
        <f>AP8+AP15+AP22</f>
        <v>75</v>
      </c>
      <c r="AQ32" s="280">
        <f>AQ8+AQ15+AQ22</f>
        <v>0</v>
      </c>
      <c r="AR32" s="272">
        <f>AR8+AR15+AR22</f>
        <v>57</v>
      </c>
      <c r="AS32" s="272">
        <f>AS8+AS15+AS22</f>
        <v>0</v>
      </c>
      <c r="AT32" s="273">
        <f>AT8+AT15+AT22</f>
        <v>37</v>
      </c>
      <c r="AU32" s="273">
        <f>AU8+AU15+AU22</f>
        <v>41</v>
      </c>
      <c r="AV32" s="274">
        <f>AV8+AV15+AV22</f>
        <v>36</v>
      </c>
      <c r="AW32" s="274">
        <f>AW8+AW15+AW22</f>
        <v>42</v>
      </c>
      <c r="AX32" s="275">
        <f>AX8+AX15+AX22</f>
        <v>37</v>
      </c>
      <c r="AY32" s="275">
        <f>AY8+AY15+AY22</f>
        <v>41</v>
      </c>
      <c r="AZ32" s="250">
        <f>AZ8+AZ15+AZ22</f>
        <v>37</v>
      </c>
      <c r="BA32" s="250">
        <f>BA8+BA15+BA22</f>
        <v>41</v>
      </c>
      <c r="BB32" s="251">
        <f>BB8+BB15+BB22</f>
        <v>37</v>
      </c>
      <c r="BC32" s="251">
        <f>BC8+BC15+BC22</f>
        <v>41</v>
      </c>
      <c r="BD32" s="263">
        <f>BD8+BD15+BD22</f>
        <v>75</v>
      </c>
      <c r="BE32" s="263">
        <f>BE8+BE15+BE22</f>
        <v>0</v>
      </c>
      <c r="BF32" s="174">
        <f>BF8+BF15+BF22</f>
        <v>57</v>
      </c>
      <c r="BG32" s="174">
        <f>BG8+BG15+BG22</f>
        <v>0</v>
      </c>
      <c r="BH32" s="324">
        <f>BH8+BH15+BH22</f>
        <v>57</v>
      </c>
      <c r="BI32" s="324">
        <f>BI8+BI15+BI22</f>
        <v>0</v>
      </c>
      <c r="BJ32" s="324">
        <f>BJ8+BJ15+BJ22</f>
        <v>0</v>
      </c>
      <c r="BK32" s="324">
        <f>BK8+BK15+BK22</f>
        <v>0</v>
      </c>
    </row>
    <row r="33" spans="1:63" x14ac:dyDescent="0.25">
      <c r="A33" t="s">
        <v>81</v>
      </c>
      <c r="C33" s="8"/>
      <c r="D33" s="57">
        <f t="shared" ref="D33:AI33" si="2">D3+D10+D17</f>
        <v>32</v>
      </c>
      <c r="E33" s="57">
        <f t="shared" si="2"/>
        <v>4</v>
      </c>
      <c r="F33" s="57">
        <f t="shared" si="2"/>
        <v>34</v>
      </c>
      <c r="G33" s="57">
        <f t="shared" si="2"/>
        <v>2</v>
      </c>
      <c r="H33" s="57">
        <f t="shared" si="2"/>
        <v>33</v>
      </c>
      <c r="I33" s="57">
        <f t="shared" si="2"/>
        <v>2</v>
      </c>
      <c r="J33" s="57">
        <f t="shared" si="2"/>
        <v>33</v>
      </c>
      <c r="K33" s="57">
        <f t="shared" si="2"/>
        <v>3</v>
      </c>
      <c r="L33" s="150">
        <f t="shared" si="2"/>
        <v>33</v>
      </c>
      <c r="M33" s="57">
        <f t="shared" si="2"/>
        <v>3</v>
      </c>
      <c r="N33" s="277">
        <f t="shared" si="2"/>
        <v>0</v>
      </c>
      <c r="O33" s="277">
        <f t="shared" si="2"/>
        <v>0</v>
      </c>
      <c r="P33" s="278">
        <f t="shared" si="2"/>
        <v>0</v>
      </c>
      <c r="Q33" s="278">
        <f t="shared" si="2"/>
        <v>0</v>
      </c>
      <c r="R33" s="258">
        <f t="shared" si="2"/>
        <v>33</v>
      </c>
      <c r="S33" s="258">
        <f t="shared" si="2"/>
        <v>3</v>
      </c>
      <c r="T33" s="57">
        <f t="shared" si="2"/>
        <v>33</v>
      </c>
      <c r="U33" s="57">
        <f t="shared" si="2"/>
        <v>3</v>
      </c>
      <c r="V33" s="266">
        <f t="shared" si="2"/>
        <v>33</v>
      </c>
      <c r="W33" s="266">
        <f t="shared" si="2"/>
        <v>3</v>
      </c>
      <c r="X33" s="267">
        <f t="shared" si="2"/>
        <v>33</v>
      </c>
      <c r="Y33" s="267">
        <f t="shared" si="2"/>
        <v>3</v>
      </c>
      <c r="Z33" s="268">
        <f t="shared" si="2"/>
        <v>32</v>
      </c>
      <c r="AA33" s="268">
        <f t="shared" si="2"/>
        <v>3</v>
      </c>
      <c r="AB33" s="269">
        <f t="shared" si="2"/>
        <v>0</v>
      </c>
      <c r="AC33" s="269">
        <f t="shared" si="2"/>
        <v>0</v>
      </c>
      <c r="AD33" s="57">
        <f t="shared" si="2"/>
        <v>0</v>
      </c>
      <c r="AE33" s="247">
        <f t="shared" si="2"/>
        <v>0</v>
      </c>
      <c r="AF33" s="57">
        <f t="shared" si="2"/>
        <v>33</v>
      </c>
      <c r="AG33" s="248">
        <f t="shared" si="2"/>
        <v>3</v>
      </c>
      <c r="AH33" s="57">
        <f t="shared" si="2"/>
        <v>33</v>
      </c>
      <c r="AI33" s="57">
        <f t="shared" si="2"/>
        <v>3</v>
      </c>
      <c r="AJ33" s="262">
        <f t="shared" ref="AJ33:BG33" si="3">AJ3+AJ10+AJ17</f>
        <v>33</v>
      </c>
      <c r="AK33" s="262">
        <f t="shared" si="3"/>
        <v>3</v>
      </c>
      <c r="AL33" s="280">
        <f t="shared" si="3"/>
        <v>33</v>
      </c>
      <c r="AM33" s="280">
        <f t="shared" si="3"/>
        <v>3</v>
      </c>
      <c r="AN33" s="271">
        <f t="shared" si="3"/>
        <v>34</v>
      </c>
      <c r="AO33" s="271">
        <f t="shared" si="3"/>
        <v>2</v>
      </c>
      <c r="AP33" s="280">
        <f t="shared" si="3"/>
        <v>0</v>
      </c>
      <c r="AQ33" s="280">
        <f t="shared" si="3"/>
        <v>0</v>
      </c>
      <c r="AR33" s="272">
        <f t="shared" si="3"/>
        <v>0</v>
      </c>
      <c r="AS33" s="272">
        <f t="shared" si="3"/>
        <v>0</v>
      </c>
      <c r="AT33" s="273">
        <f t="shared" si="3"/>
        <v>33</v>
      </c>
      <c r="AU33" s="273">
        <f t="shared" si="3"/>
        <v>3</v>
      </c>
      <c r="AV33" s="274">
        <f t="shared" si="3"/>
        <v>33</v>
      </c>
      <c r="AW33" s="274">
        <f t="shared" si="3"/>
        <v>3</v>
      </c>
      <c r="AX33" s="275">
        <f t="shared" si="3"/>
        <v>34</v>
      </c>
      <c r="AY33" s="275">
        <f t="shared" si="3"/>
        <v>2</v>
      </c>
      <c r="AZ33" s="57">
        <f t="shared" si="3"/>
        <v>33</v>
      </c>
      <c r="BA33" s="250">
        <f t="shared" si="3"/>
        <v>3</v>
      </c>
      <c r="BB33" s="251">
        <f t="shared" si="3"/>
        <v>33</v>
      </c>
      <c r="BC33" s="251">
        <f t="shared" si="3"/>
        <v>3</v>
      </c>
      <c r="BD33" s="263">
        <f t="shared" si="3"/>
        <v>0</v>
      </c>
      <c r="BE33" s="263">
        <f t="shared" si="3"/>
        <v>0</v>
      </c>
      <c r="BF33" s="252">
        <f t="shared" si="3"/>
        <v>0</v>
      </c>
      <c r="BG33" s="174">
        <f t="shared" si="3"/>
        <v>0</v>
      </c>
      <c r="BH33" s="324">
        <f t="shared" ref="BH33:BK33" si="4">BH3+BH10+BH17</f>
        <v>0</v>
      </c>
      <c r="BI33" s="324">
        <f t="shared" si="4"/>
        <v>0</v>
      </c>
      <c r="BJ33" s="324">
        <f t="shared" si="4"/>
        <v>0</v>
      </c>
      <c r="BK33" s="324">
        <f t="shared" si="4"/>
        <v>0</v>
      </c>
    </row>
    <row r="34" spans="1:63" x14ac:dyDescent="0.25">
      <c r="A34" t="s">
        <v>82</v>
      </c>
      <c r="C34" s="8"/>
      <c r="D34" s="57">
        <f t="shared" ref="D34:AI34" si="5">D6+D13+D20</f>
        <v>28</v>
      </c>
      <c r="E34" s="57">
        <f t="shared" si="5"/>
        <v>4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29</v>
      </c>
      <c r="K34" s="57">
        <f t="shared" si="5"/>
        <v>3</v>
      </c>
      <c r="L34" s="150">
        <f t="shared" si="5"/>
        <v>29</v>
      </c>
      <c r="M34" s="57">
        <f t="shared" si="5"/>
        <v>3</v>
      </c>
      <c r="N34" s="277">
        <f t="shared" si="5"/>
        <v>0</v>
      </c>
      <c r="O34" s="277">
        <f t="shared" si="5"/>
        <v>0</v>
      </c>
      <c r="P34" s="278">
        <f t="shared" si="5"/>
        <v>0</v>
      </c>
      <c r="Q34" s="278">
        <f t="shared" si="5"/>
        <v>0</v>
      </c>
      <c r="R34" s="258">
        <f t="shared" si="5"/>
        <v>29</v>
      </c>
      <c r="S34" s="258">
        <f t="shared" si="5"/>
        <v>3</v>
      </c>
      <c r="T34" s="57">
        <f t="shared" si="5"/>
        <v>29</v>
      </c>
      <c r="U34" s="57">
        <f t="shared" si="5"/>
        <v>3</v>
      </c>
      <c r="V34" s="266">
        <f t="shared" si="5"/>
        <v>29</v>
      </c>
      <c r="W34" s="266">
        <f t="shared" si="5"/>
        <v>3</v>
      </c>
      <c r="X34" s="267">
        <f t="shared" si="5"/>
        <v>29</v>
      </c>
      <c r="Y34" s="267">
        <f t="shared" si="5"/>
        <v>3</v>
      </c>
      <c r="Z34" s="268">
        <f t="shared" si="5"/>
        <v>29</v>
      </c>
      <c r="AA34" s="268">
        <f t="shared" si="5"/>
        <v>3</v>
      </c>
      <c r="AB34" s="269">
        <f t="shared" si="5"/>
        <v>0</v>
      </c>
      <c r="AC34" s="269">
        <f t="shared" si="5"/>
        <v>0</v>
      </c>
      <c r="AD34" s="57">
        <f t="shared" si="5"/>
        <v>0</v>
      </c>
      <c r="AE34" s="247">
        <f t="shared" si="5"/>
        <v>0</v>
      </c>
      <c r="AF34" s="57">
        <f t="shared" si="5"/>
        <v>29</v>
      </c>
      <c r="AG34" s="248">
        <f t="shared" si="5"/>
        <v>3</v>
      </c>
      <c r="AH34" s="57">
        <f t="shared" si="5"/>
        <v>29</v>
      </c>
      <c r="AI34" s="57">
        <f t="shared" si="5"/>
        <v>3</v>
      </c>
      <c r="AJ34" s="262">
        <f t="shared" ref="AJ34:BG34" si="6">AJ6+AJ13+AJ20</f>
        <v>29</v>
      </c>
      <c r="AK34" s="262">
        <f t="shared" si="6"/>
        <v>3</v>
      </c>
      <c r="AL34" s="280">
        <f t="shared" si="6"/>
        <v>29</v>
      </c>
      <c r="AM34" s="280">
        <f t="shared" si="6"/>
        <v>3</v>
      </c>
      <c r="AN34" s="271">
        <f t="shared" si="6"/>
        <v>30</v>
      </c>
      <c r="AO34" s="271">
        <f t="shared" si="6"/>
        <v>2</v>
      </c>
      <c r="AP34" s="280">
        <f t="shared" si="6"/>
        <v>0</v>
      </c>
      <c r="AQ34" s="280">
        <f t="shared" si="6"/>
        <v>0</v>
      </c>
      <c r="AR34" s="272">
        <f t="shared" si="6"/>
        <v>0</v>
      </c>
      <c r="AS34" s="272">
        <f t="shared" si="6"/>
        <v>0</v>
      </c>
      <c r="AT34" s="273">
        <f t="shared" si="6"/>
        <v>29</v>
      </c>
      <c r="AU34" s="273">
        <f t="shared" si="6"/>
        <v>3</v>
      </c>
      <c r="AV34" s="274">
        <f t="shared" si="6"/>
        <v>29</v>
      </c>
      <c r="AW34" s="274">
        <f t="shared" si="6"/>
        <v>3</v>
      </c>
      <c r="AX34" s="275">
        <f t="shared" si="6"/>
        <v>30</v>
      </c>
      <c r="AY34" s="275">
        <f t="shared" si="6"/>
        <v>2</v>
      </c>
      <c r="AZ34" s="57">
        <f t="shared" si="6"/>
        <v>29</v>
      </c>
      <c r="BA34" s="250">
        <f t="shared" si="6"/>
        <v>3</v>
      </c>
      <c r="BB34" s="115">
        <f t="shared" si="6"/>
        <v>29</v>
      </c>
      <c r="BC34" s="251">
        <f t="shared" si="6"/>
        <v>3</v>
      </c>
      <c r="BD34" s="263">
        <f t="shared" si="6"/>
        <v>0</v>
      </c>
      <c r="BE34" s="263">
        <f t="shared" si="6"/>
        <v>0</v>
      </c>
      <c r="BF34" s="174">
        <f t="shared" si="6"/>
        <v>0</v>
      </c>
      <c r="BG34" s="174">
        <f t="shared" si="6"/>
        <v>0</v>
      </c>
      <c r="BH34" s="324">
        <f t="shared" ref="BH34:BK34" si="7">BH6+BH13+BH20</f>
        <v>0</v>
      </c>
      <c r="BI34" s="324">
        <f t="shared" si="7"/>
        <v>0</v>
      </c>
      <c r="BJ34" s="324">
        <f t="shared" si="7"/>
        <v>0</v>
      </c>
      <c r="BK34" s="324">
        <f t="shared" si="7"/>
        <v>0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7">
        <f t="shared" si="8"/>
        <v>0</v>
      </c>
      <c r="O35" s="277">
        <f t="shared" si="8"/>
        <v>0</v>
      </c>
      <c r="P35" s="278">
        <f t="shared" si="8"/>
        <v>0</v>
      </c>
      <c r="Q35" s="278">
        <f t="shared" si="8"/>
        <v>0</v>
      </c>
      <c r="R35" s="258">
        <f t="shared" si="8"/>
        <v>0</v>
      </c>
      <c r="S35" s="258">
        <f t="shared" si="8"/>
        <v>0</v>
      </c>
      <c r="T35" s="154">
        <f t="shared" si="8"/>
        <v>0</v>
      </c>
      <c r="U35" s="154">
        <f t="shared" si="8"/>
        <v>0</v>
      </c>
      <c r="V35" s="266">
        <f t="shared" si="8"/>
        <v>0</v>
      </c>
      <c r="W35" s="266">
        <f t="shared" si="8"/>
        <v>0</v>
      </c>
      <c r="X35" s="267">
        <f t="shared" si="8"/>
        <v>0</v>
      </c>
      <c r="Y35" s="267">
        <f t="shared" si="8"/>
        <v>0</v>
      </c>
      <c r="Z35" s="268">
        <f t="shared" si="8"/>
        <v>0</v>
      </c>
      <c r="AA35" s="268">
        <f t="shared" si="8"/>
        <v>0</v>
      </c>
      <c r="AB35" s="269">
        <f t="shared" si="8"/>
        <v>0</v>
      </c>
      <c r="AC35" s="269">
        <f t="shared" si="8"/>
        <v>0</v>
      </c>
      <c r="AD35" s="154">
        <f t="shared" si="8"/>
        <v>0</v>
      </c>
      <c r="AE35" s="247">
        <f t="shared" si="8"/>
        <v>0</v>
      </c>
      <c r="AF35" s="154">
        <f t="shared" si="8"/>
        <v>0</v>
      </c>
      <c r="AG35" s="248">
        <f t="shared" si="8"/>
        <v>0</v>
      </c>
      <c r="AH35" s="154">
        <f t="shared" si="8"/>
        <v>0</v>
      </c>
      <c r="AI35" s="154">
        <f t="shared" si="8"/>
        <v>0</v>
      </c>
      <c r="AJ35" s="262">
        <f t="shared" ref="AJ35:BG35" si="9">AJ4+AJ11+AJ18</f>
        <v>0</v>
      </c>
      <c r="AK35" s="262">
        <f t="shared" si="9"/>
        <v>0</v>
      </c>
      <c r="AL35" s="280">
        <f t="shared" si="9"/>
        <v>0</v>
      </c>
      <c r="AM35" s="280">
        <f t="shared" si="9"/>
        <v>0</v>
      </c>
      <c r="AN35" s="271">
        <f t="shared" si="9"/>
        <v>0</v>
      </c>
      <c r="AO35" s="271">
        <f t="shared" si="9"/>
        <v>0</v>
      </c>
      <c r="AP35" s="280">
        <f t="shared" si="9"/>
        <v>0</v>
      </c>
      <c r="AQ35" s="280">
        <f t="shared" si="9"/>
        <v>0</v>
      </c>
      <c r="AR35" s="272">
        <f t="shared" si="9"/>
        <v>0</v>
      </c>
      <c r="AS35" s="272">
        <f t="shared" si="9"/>
        <v>0</v>
      </c>
      <c r="AT35" s="273">
        <f t="shared" si="9"/>
        <v>0</v>
      </c>
      <c r="AU35" s="273">
        <f t="shared" si="9"/>
        <v>0</v>
      </c>
      <c r="AV35" s="274">
        <f t="shared" si="9"/>
        <v>0</v>
      </c>
      <c r="AW35" s="274">
        <f t="shared" si="9"/>
        <v>0</v>
      </c>
      <c r="AX35" s="275">
        <f t="shared" si="9"/>
        <v>0</v>
      </c>
      <c r="AY35" s="275">
        <f t="shared" si="9"/>
        <v>0</v>
      </c>
      <c r="AZ35" s="154">
        <f t="shared" si="9"/>
        <v>0</v>
      </c>
      <c r="BA35" s="250">
        <f t="shared" si="9"/>
        <v>0</v>
      </c>
      <c r="BB35" s="154">
        <f t="shared" si="9"/>
        <v>0</v>
      </c>
      <c r="BC35" s="251">
        <f t="shared" si="9"/>
        <v>0</v>
      </c>
      <c r="BD35" s="263">
        <f t="shared" si="9"/>
        <v>0</v>
      </c>
      <c r="BE35" s="263">
        <f t="shared" si="9"/>
        <v>0</v>
      </c>
      <c r="BF35" s="174">
        <f t="shared" si="9"/>
        <v>0</v>
      </c>
      <c r="BG35" s="174">
        <f t="shared" si="9"/>
        <v>0</v>
      </c>
      <c r="BH35" s="324">
        <f t="shared" ref="BH35:BK35" si="10">BH4+BH11+BH18</f>
        <v>0</v>
      </c>
      <c r="BI35" s="324">
        <f t="shared" si="10"/>
        <v>0</v>
      </c>
      <c r="BJ35" s="324">
        <f t="shared" si="10"/>
        <v>0</v>
      </c>
      <c r="BK35" s="324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3</v>
      </c>
      <c r="I36" s="57">
        <f t="shared" si="11"/>
        <v>0</v>
      </c>
      <c r="J36" s="57">
        <f t="shared" si="11"/>
        <v>4</v>
      </c>
      <c r="K36" s="57">
        <f t="shared" si="11"/>
        <v>0</v>
      </c>
      <c r="L36" s="150">
        <f t="shared" si="11"/>
        <v>4</v>
      </c>
      <c r="M36" s="57">
        <f t="shared" si="11"/>
        <v>0</v>
      </c>
      <c r="N36" s="277">
        <f t="shared" si="11"/>
        <v>0</v>
      </c>
      <c r="O36" s="277">
        <f t="shared" si="11"/>
        <v>0</v>
      </c>
      <c r="P36" s="278">
        <f t="shared" si="11"/>
        <v>0</v>
      </c>
      <c r="Q36" s="278">
        <f t="shared" si="11"/>
        <v>0</v>
      </c>
      <c r="R36" s="258">
        <f t="shared" si="11"/>
        <v>4</v>
      </c>
      <c r="S36" s="258">
        <f t="shared" si="11"/>
        <v>0</v>
      </c>
      <c r="T36" s="57">
        <f t="shared" si="11"/>
        <v>4</v>
      </c>
      <c r="U36" s="57">
        <f t="shared" si="11"/>
        <v>0</v>
      </c>
      <c r="V36" s="266">
        <f t="shared" si="11"/>
        <v>4</v>
      </c>
      <c r="W36" s="266">
        <f t="shared" si="11"/>
        <v>0</v>
      </c>
      <c r="X36" s="267">
        <f t="shared" si="11"/>
        <v>4</v>
      </c>
      <c r="Y36" s="267">
        <f t="shared" si="11"/>
        <v>0</v>
      </c>
      <c r="Z36" s="268">
        <f t="shared" si="11"/>
        <v>4</v>
      </c>
      <c r="AA36" s="268">
        <f t="shared" si="11"/>
        <v>0</v>
      </c>
      <c r="AB36" s="269">
        <f t="shared" si="11"/>
        <v>0</v>
      </c>
      <c r="AC36" s="269">
        <f t="shared" si="11"/>
        <v>0</v>
      </c>
      <c r="AD36" s="57">
        <f t="shared" si="11"/>
        <v>0</v>
      </c>
      <c r="AE36" s="247">
        <f t="shared" si="11"/>
        <v>0</v>
      </c>
      <c r="AF36" s="248">
        <f t="shared" si="11"/>
        <v>4</v>
      </c>
      <c r="AG36" s="248">
        <f t="shared" si="11"/>
        <v>0</v>
      </c>
      <c r="AH36" s="57">
        <f t="shared" si="11"/>
        <v>4</v>
      </c>
      <c r="AI36" s="57">
        <f t="shared" si="11"/>
        <v>0</v>
      </c>
      <c r="AJ36" s="262">
        <f t="shared" ref="AJ36:BG36" si="12">AJ7+AJ14+AJ21</f>
        <v>4</v>
      </c>
      <c r="AK36" s="262">
        <f t="shared" si="12"/>
        <v>0</v>
      </c>
      <c r="AL36" s="280">
        <f t="shared" si="12"/>
        <v>4</v>
      </c>
      <c r="AM36" s="280">
        <f t="shared" si="12"/>
        <v>0</v>
      </c>
      <c r="AN36" s="271">
        <f t="shared" si="12"/>
        <v>4</v>
      </c>
      <c r="AO36" s="271">
        <f t="shared" si="12"/>
        <v>0</v>
      </c>
      <c r="AP36" s="280">
        <f t="shared" si="12"/>
        <v>0</v>
      </c>
      <c r="AQ36" s="280">
        <f t="shared" si="12"/>
        <v>0</v>
      </c>
      <c r="AR36" s="272">
        <f t="shared" si="12"/>
        <v>0</v>
      </c>
      <c r="AS36" s="272">
        <f t="shared" si="12"/>
        <v>0</v>
      </c>
      <c r="AT36" s="273">
        <f t="shared" si="12"/>
        <v>4</v>
      </c>
      <c r="AU36" s="273">
        <f t="shared" si="12"/>
        <v>0</v>
      </c>
      <c r="AV36" s="274">
        <f t="shared" si="12"/>
        <v>4</v>
      </c>
      <c r="AW36" s="274">
        <f t="shared" si="12"/>
        <v>0</v>
      </c>
      <c r="AX36" s="275">
        <f t="shared" si="12"/>
        <v>4</v>
      </c>
      <c r="AY36" s="275">
        <f t="shared" si="12"/>
        <v>0</v>
      </c>
      <c r="AZ36" s="250">
        <f t="shared" si="12"/>
        <v>4</v>
      </c>
      <c r="BA36" s="250">
        <f t="shared" si="12"/>
        <v>0</v>
      </c>
      <c r="BB36" s="251">
        <f t="shared" si="12"/>
        <v>4</v>
      </c>
      <c r="BC36" s="251">
        <f t="shared" si="12"/>
        <v>0</v>
      </c>
      <c r="BD36" s="263">
        <f t="shared" si="12"/>
        <v>0</v>
      </c>
      <c r="BE36" s="263">
        <f t="shared" si="12"/>
        <v>0</v>
      </c>
      <c r="BF36" s="174">
        <f t="shared" si="12"/>
        <v>0</v>
      </c>
      <c r="BG36" s="174">
        <f t="shared" si="12"/>
        <v>0</v>
      </c>
      <c r="BH36" s="324">
        <f t="shared" ref="BH36:BK36" si="13">BH7+BH14+BH21</f>
        <v>0</v>
      </c>
      <c r="BI36" s="324">
        <f t="shared" si="13"/>
        <v>0</v>
      </c>
      <c r="BJ36" s="324">
        <f t="shared" si="13"/>
        <v>0</v>
      </c>
      <c r="BK36" s="324">
        <f t="shared" si="13"/>
        <v>0</v>
      </c>
    </row>
    <row r="37" spans="1:63" x14ac:dyDescent="0.25">
      <c r="A37" s="372" t="s">
        <v>83</v>
      </c>
      <c r="B37" s="372"/>
      <c r="C37" s="8"/>
      <c r="D37" s="149">
        <f t="shared" ref="D37:AI37" si="14">SUM(D31:D36)</f>
        <v>144</v>
      </c>
      <c r="E37" s="233">
        <f t="shared" si="14"/>
        <v>85</v>
      </c>
      <c r="F37" s="233">
        <f t="shared" si="14"/>
        <v>144</v>
      </c>
      <c r="G37" s="233">
        <f t="shared" si="14"/>
        <v>85</v>
      </c>
      <c r="H37" s="233">
        <f t="shared" si="14"/>
        <v>142</v>
      </c>
      <c r="I37" s="233">
        <f t="shared" si="14"/>
        <v>85</v>
      </c>
      <c r="J37" s="233">
        <f t="shared" si="14"/>
        <v>142</v>
      </c>
      <c r="K37" s="233">
        <f t="shared" si="14"/>
        <v>87</v>
      </c>
      <c r="L37" s="233">
        <f t="shared" si="14"/>
        <v>142</v>
      </c>
      <c r="M37" s="233">
        <f t="shared" si="14"/>
        <v>87</v>
      </c>
      <c r="N37" s="233">
        <f t="shared" si="14"/>
        <v>144</v>
      </c>
      <c r="O37" s="233">
        <f t="shared" si="14"/>
        <v>3</v>
      </c>
      <c r="P37" s="233">
        <f t="shared" si="14"/>
        <v>108</v>
      </c>
      <c r="Q37" s="233">
        <f t="shared" si="14"/>
        <v>3</v>
      </c>
      <c r="R37" s="233">
        <f t="shared" si="14"/>
        <v>142</v>
      </c>
      <c r="S37" s="288">
        <f t="shared" si="14"/>
        <v>87</v>
      </c>
      <c r="T37" s="233">
        <f t="shared" si="14"/>
        <v>144</v>
      </c>
      <c r="U37" s="233">
        <f t="shared" si="14"/>
        <v>85</v>
      </c>
      <c r="V37" s="260">
        <f t="shared" si="14"/>
        <v>140</v>
      </c>
      <c r="W37" s="260">
        <f t="shared" si="14"/>
        <v>89</v>
      </c>
      <c r="X37" s="233">
        <f t="shared" si="14"/>
        <v>140</v>
      </c>
      <c r="Y37" s="233">
        <f t="shared" si="14"/>
        <v>89</v>
      </c>
      <c r="Z37" s="233">
        <f t="shared" si="14"/>
        <v>142</v>
      </c>
      <c r="AA37" s="233">
        <f t="shared" si="14"/>
        <v>86</v>
      </c>
      <c r="AB37" s="233">
        <f t="shared" si="14"/>
        <v>144</v>
      </c>
      <c r="AC37" s="233">
        <f t="shared" si="14"/>
        <v>3</v>
      </c>
      <c r="AD37" s="233">
        <f t="shared" si="14"/>
        <v>108</v>
      </c>
      <c r="AE37" s="233">
        <f t="shared" si="14"/>
        <v>3</v>
      </c>
      <c r="AF37" s="233">
        <f t="shared" si="14"/>
        <v>142</v>
      </c>
      <c r="AG37" s="233">
        <f t="shared" si="14"/>
        <v>87</v>
      </c>
      <c r="AH37" s="233">
        <f t="shared" si="14"/>
        <v>142</v>
      </c>
      <c r="AI37" s="233">
        <f t="shared" si="14"/>
        <v>87</v>
      </c>
      <c r="AJ37" s="233">
        <f t="shared" ref="AJ37:BG37" si="15">SUM(AJ31:AJ36)</f>
        <v>138</v>
      </c>
      <c r="AK37" s="233">
        <f t="shared" si="15"/>
        <v>91</v>
      </c>
      <c r="AL37" s="233">
        <f t="shared" si="15"/>
        <v>142</v>
      </c>
      <c r="AM37" s="233">
        <f t="shared" si="15"/>
        <v>87</v>
      </c>
      <c r="AN37" s="233">
        <f t="shared" si="15"/>
        <v>142</v>
      </c>
      <c r="AO37" s="233">
        <f t="shared" si="15"/>
        <v>87</v>
      </c>
      <c r="AP37" s="233">
        <f t="shared" si="15"/>
        <v>144</v>
      </c>
      <c r="AQ37" s="233">
        <f t="shared" si="15"/>
        <v>3</v>
      </c>
      <c r="AR37" s="233">
        <f t="shared" si="15"/>
        <v>108</v>
      </c>
      <c r="AS37" s="233">
        <f t="shared" si="15"/>
        <v>3</v>
      </c>
      <c r="AT37" s="233">
        <f t="shared" si="15"/>
        <v>142</v>
      </c>
      <c r="AU37" s="233">
        <f t="shared" si="15"/>
        <v>87</v>
      </c>
      <c r="AV37" s="233">
        <f t="shared" si="15"/>
        <v>140</v>
      </c>
      <c r="AW37" s="233">
        <f t="shared" si="15"/>
        <v>89</v>
      </c>
      <c r="AX37" s="318">
        <f t="shared" si="15"/>
        <v>144</v>
      </c>
      <c r="AY37" s="318">
        <f t="shared" si="15"/>
        <v>85</v>
      </c>
      <c r="AZ37" s="318">
        <f t="shared" si="15"/>
        <v>142</v>
      </c>
      <c r="BA37" s="318">
        <f t="shared" si="15"/>
        <v>87</v>
      </c>
      <c r="BB37" s="318">
        <f t="shared" si="15"/>
        <v>142</v>
      </c>
      <c r="BC37" s="318">
        <f t="shared" si="15"/>
        <v>87</v>
      </c>
      <c r="BD37" s="318">
        <f t="shared" si="15"/>
        <v>144</v>
      </c>
      <c r="BE37" s="318">
        <f t="shared" si="15"/>
        <v>3</v>
      </c>
      <c r="BF37" s="318">
        <f t="shared" si="15"/>
        <v>108</v>
      </c>
      <c r="BG37" s="318">
        <f t="shared" si="15"/>
        <v>3</v>
      </c>
      <c r="BH37" s="324">
        <f t="shared" ref="BH37:BK37" si="16">SUM(BH31:BH36)</f>
        <v>108</v>
      </c>
      <c r="BI37" s="324">
        <f t="shared" si="16"/>
        <v>3</v>
      </c>
      <c r="BJ37" s="324">
        <f t="shared" si="16"/>
        <v>0</v>
      </c>
      <c r="BK37" s="324">
        <f t="shared" si="16"/>
        <v>0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72</v>
      </c>
      <c r="O40" s="278"/>
      <c r="P40" s="278">
        <f>P5+Q5+P12+Q12+P19+Q19</f>
        <v>54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72</v>
      </c>
      <c r="AC40" s="57"/>
      <c r="AD40" s="57">
        <f>AD5+AE5+AD12+AE12+AD19+AE19</f>
        <v>54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79</v>
      </c>
      <c r="AM40" s="271"/>
      <c r="AN40" s="271">
        <f>AN5+AO5+AN12+AO12+AN19+AO19</f>
        <v>79</v>
      </c>
      <c r="AO40" s="280"/>
      <c r="AP40" s="280">
        <f>AP5+AQ5+AP12+AQ12+AP19+AQ19</f>
        <v>72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72</v>
      </c>
      <c r="BE40" s="115"/>
      <c r="BF40" s="57">
        <f>BF5+BG5+BF12+BG12+BF19+BG19</f>
        <v>54</v>
      </c>
      <c r="BG40" s="264"/>
      <c r="BH40" s="324">
        <f>BH5+BI5+BH12+BI12+BH19+BI19</f>
        <v>54</v>
      </c>
      <c r="BI40" s="324"/>
      <c r="BJ40" s="324">
        <f>BJ5+BK5+BJ12+BK12+BJ19+BK19</f>
        <v>0</v>
      </c>
      <c r="BK40" s="324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75</v>
      </c>
      <c r="O41" s="278"/>
      <c r="P41" s="278">
        <f>P8+Q8+P15+Q15+P22+Q22</f>
        <v>57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75</v>
      </c>
      <c r="AC41" s="57"/>
      <c r="AD41" s="57">
        <f>AD8+AE8+AD15+AE15+AD22+AE22</f>
        <v>57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75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78</v>
      </c>
      <c r="BA41" s="57"/>
      <c r="BB41" s="251">
        <f>BB8+BC8+BB15+BC15+BB22+BC22</f>
        <v>78</v>
      </c>
      <c r="BC41" s="263"/>
      <c r="BD41" s="263">
        <f>BD8+BE8+BD15+BE15+BD22+BE22</f>
        <v>75</v>
      </c>
      <c r="BE41" s="115"/>
      <c r="BF41" s="57">
        <f>BF8+BG8+BF15+BG15+BF22+BG22</f>
        <v>57</v>
      </c>
      <c r="BG41" s="264"/>
      <c r="BH41" s="324">
        <f>BH8+BI8+BH15+BI15+BH22+BI22</f>
        <v>57</v>
      </c>
      <c r="BI41" s="324"/>
      <c r="BJ41" s="324">
        <f>BJ8+BK8+BJ15+BK15+BJ22+BK22</f>
        <v>0</v>
      </c>
      <c r="BK41" s="324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35</v>
      </c>
      <c r="I42" s="57"/>
      <c r="J42" s="57">
        <f>J3+K3+J10+K10+J17+K17</f>
        <v>36</v>
      </c>
      <c r="K42" s="57"/>
      <c r="L42" s="57">
        <f>L3+M3+L10+M10+L17+M17</f>
        <v>36</v>
      </c>
      <c r="M42" s="277"/>
      <c r="N42" s="277">
        <f>N3+O3+N10+O10+N17+O17</f>
        <v>0</v>
      </c>
      <c r="O42" s="278"/>
      <c r="P42" s="278">
        <f>P3+Q3+P10+Q10+P17+Q17</f>
        <v>0</v>
      </c>
      <c r="Q42" s="258"/>
      <c r="R42" s="258">
        <f>R3+S3+R10+S10+R17+S17</f>
        <v>36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36</v>
      </c>
      <c r="Y42" s="268"/>
      <c r="Z42" s="268">
        <f>Z3+AA3+Z10+AA10+Z17+AA17</f>
        <v>35</v>
      </c>
      <c r="AA42" s="269"/>
      <c r="AB42" s="269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36</v>
      </c>
      <c r="AM42" s="271"/>
      <c r="AN42" s="271">
        <f>AN3+AO3+AN10+AO10+AN17+AO17</f>
        <v>36</v>
      </c>
      <c r="AO42" s="280"/>
      <c r="AP42" s="280">
        <f>AP3+AQ3+AP10+AQ10+AP17+AQ17</f>
        <v>0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0</v>
      </c>
      <c r="BE42" s="115"/>
      <c r="BF42" s="57">
        <f>BF3+BG3+BF10+BG10+BF17+BG17</f>
        <v>0</v>
      </c>
      <c r="BG42" s="264"/>
      <c r="BH42" s="324">
        <f>BH3+BI3+BH10+BI10+BH17+BI17</f>
        <v>0</v>
      </c>
      <c r="BI42" s="324"/>
      <c r="BJ42" s="324">
        <f>BJ3+BK3+BJ10+BK10+BJ17+BK17</f>
        <v>0</v>
      </c>
      <c r="BK42" s="324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32</v>
      </c>
      <c r="K43" s="57"/>
      <c r="L43" s="57">
        <f>L6+M6+L13+M13+L20+M20</f>
        <v>32</v>
      </c>
      <c r="M43" s="277"/>
      <c r="N43" s="277">
        <f>N6+O6+N13+O13+N20+O20</f>
        <v>0</v>
      </c>
      <c r="O43" s="278"/>
      <c r="P43" s="278">
        <f>P6+Q6+P13+Q13+P20+Q20</f>
        <v>0</v>
      </c>
      <c r="Q43" s="258"/>
      <c r="R43" s="258">
        <f>R6+S6+R13+S13+R20+S20</f>
        <v>32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0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32</v>
      </c>
      <c r="BA43" s="57"/>
      <c r="BB43" s="115">
        <f>BB6+BC6+BB13+BC13+BB20+BC20</f>
        <v>32</v>
      </c>
      <c r="BC43" s="263"/>
      <c r="BD43" s="263">
        <f>BD6+BE6+BD13+BE13+BD20+BE20</f>
        <v>0</v>
      </c>
      <c r="BE43" s="115"/>
      <c r="BF43" s="57">
        <f>BF6+BG6+BF13+BG13+BF20+BG20</f>
        <v>0</v>
      </c>
      <c r="BG43" s="264"/>
      <c r="BH43" s="324">
        <f>BH6+BI6+BH13+BI13+BH20+BI20</f>
        <v>0</v>
      </c>
      <c r="BI43" s="324"/>
      <c r="BJ43" s="324">
        <f>BJ6+BK6+BJ13+BK13+BJ20+BK20</f>
        <v>0</v>
      </c>
      <c r="BK43" s="324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8"/>
      <c r="AX44" s="275">
        <f>AX4+AY4+AX11+AY11+AX18+AY18</f>
        <v>0</v>
      </c>
      <c r="AY44" s="154"/>
      <c r="AZ44" s="154">
        <f>AZ4+BA4+AZ11+BA11+AZ18+BA18</f>
        <v>0</v>
      </c>
      <c r="BA44" s="318"/>
      <c r="BB44" s="154">
        <f>BB4+BC4+BB11+BC11+BB18+BC18</f>
        <v>0</v>
      </c>
      <c r="BC44" s="318"/>
      <c r="BD44" s="263">
        <f>BD4+BE4+BD11+BE11+BD18+BE18</f>
        <v>0</v>
      </c>
      <c r="BE44" s="318"/>
      <c r="BF44" s="154">
        <f>BF4+BG4+BF11+BG11+BF18+BG18</f>
        <v>0</v>
      </c>
      <c r="BG44" s="264"/>
      <c r="BH44" s="324">
        <f>BH4+BI4+BH11+BI11+BH18+BI18</f>
        <v>0</v>
      </c>
      <c r="BI44" s="324"/>
      <c r="BJ44" s="324">
        <f>BJ4+BK4+BJ11+BK11+BJ18+BK18</f>
        <v>0</v>
      </c>
      <c r="BK44" s="324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3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0</v>
      </c>
      <c r="O45" s="278"/>
      <c r="P45" s="278">
        <f>P7+Q7+P14+Q14+P21+Q21</f>
        <v>0</v>
      </c>
      <c r="Q45" s="258"/>
      <c r="R45" s="258">
        <f>R7+S7+R14+S14+R21+S21</f>
        <v>4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0</v>
      </c>
      <c r="AC45" s="57"/>
      <c r="AD45" s="57">
        <f>AD7+AE7+AD14+AE14+AD21+AE21</f>
        <v>0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0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18"/>
      <c r="AX45" s="275">
        <f>AX7+AY7+AX14+AY14+AX21+AY21</f>
        <v>4</v>
      </c>
      <c r="AY45" s="318"/>
      <c r="AZ45" s="250">
        <f>AZ7+BA7+AZ14+BA14+AZ21+BA21</f>
        <v>4</v>
      </c>
      <c r="BA45" s="318"/>
      <c r="BB45" s="251">
        <f>BB7+BC7+BB14+BC14+BB21+BC21</f>
        <v>4</v>
      </c>
      <c r="BC45" s="318"/>
      <c r="BD45" s="263">
        <f>BD7+BE7+BD14+BE14+BD21+BE21</f>
        <v>0</v>
      </c>
      <c r="BE45" s="318"/>
      <c r="BF45" s="57">
        <f>BF7+BG7+BF14+BG14+BF21+BG21</f>
        <v>0</v>
      </c>
      <c r="BG45" s="264"/>
      <c r="BH45" s="324">
        <f>BH7+BI7+BH14+BI14+BH21+BI21</f>
        <v>0</v>
      </c>
      <c r="BI45" s="324"/>
      <c r="BJ45" s="324">
        <f>BJ7+BK7+BJ14+BK14+BJ21+BK21</f>
        <v>0</v>
      </c>
      <c r="BK45" s="324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4"/>
      <c r="BI46" s="324"/>
      <c r="BJ46" s="324"/>
      <c r="BK46" s="324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119</v>
      </c>
      <c r="G48" s="57"/>
      <c r="H48" s="57">
        <f>(H5+H12+H19)+2*(I5+I12+I19)</f>
        <v>119</v>
      </c>
      <c r="I48" s="57"/>
      <c r="J48" s="57">
        <f>(J5+J12+J19)+2*(K5+K12+K19)</f>
        <v>119</v>
      </c>
      <c r="K48" s="57"/>
      <c r="L48" s="57">
        <f>(L5+L12+L19)+2*(M5+M12+M19)</f>
        <v>119</v>
      </c>
      <c r="M48" s="277"/>
      <c r="N48" s="277">
        <f>(N5+N12+N19)+2*(O5+O12+O19)</f>
        <v>75</v>
      </c>
      <c r="O48" s="278"/>
      <c r="P48" s="278">
        <f>(P5+P12+P19)+2*(Q5+Q12+Q19)</f>
        <v>57</v>
      </c>
      <c r="Q48" s="258"/>
      <c r="R48" s="258">
        <f>(R5+R12+R19)+2*(S5+S12+S19)</f>
        <v>119</v>
      </c>
      <c r="S48" s="57"/>
      <c r="T48" s="57">
        <f>(T5+T12+T19)+2*(U5+U12+U19)</f>
        <v>118</v>
      </c>
      <c r="U48" s="266"/>
      <c r="V48" s="266">
        <f>(V5+V12+V19)+2*(W5+W12+W19)</f>
        <v>120</v>
      </c>
      <c r="W48" s="267"/>
      <c r="X48" s="267">
        <f>(X5+X12+X19)+2*(Y5+Y12+Y19)</f>
        <v>120</v>
      </c>
      <c r="Y48" s="268"/>
      <c r="Z48" s="268">
        <f>(Z5+Z12+Z19)+2*(AA5+AA12+AA19)</f>
        <v>119</v>
      </c>
      <c r="AA48" s="269"/>
      <c r="AB48" s="269">
        <f>(AB5+AB12+AB19)+2*(AC5+AC12+AC19)</f>
        <v>75</v>
      </c>
      <c r="AC48" s="57"/>
      <c r="AD48" s="57">
        <f>(AD5+AD12+AD19)+2*(AE5+AE12+AE19)</f>
        <v>57</v>
      </c>
      <c r="AE48" s="57"/>
      <c r="AF48" s="57">
        <f>(AF5+AF12+AF19)+2*(AG5+AG12+AG19)</f>
        <v>119</v>
      </c>
      <c r="AG48" s="57"/>
      <c r="AH48" s="57">
        <f>(AH5+AH12+AH19)+2*(AI5+AI12+AI19)</f>
        <v>119</v>
      </c>
      <c r="AI48" s="262"/>
      <c r="AJ48" s="262">
        <f>(AJ5+AJ12+AJ19)+2*(AK5+AK12+AK19)</f>
        <v>121</v>
      </c>
      <c r="AK48" s="270"/>
      <c r="AL48" s="279">
        <f>(AL5+AL12+AL19)+2*(AM5+AM12+AM19)</f>
        <v>119</v>
      </c>
      <c r="AM48" s="271"/>
      <c r="AN48" s="271">
        <f>(AN5+AN12+AN19)+2*(AO5+AO12+AO19)</f>
        <v>120</v>
      </c>
      <c r="AO48" s="280"/>
      <c r="AP48" s="280">
        <f>(AP5+AP12+AP19)+2*(AQ5+AQ12+AQ19)</f>
        <v>75</v>
      </c>
      <c r="AQ48" s="272"/>
      <c r="AR48" s="272">
        <f>(AR5+AR12+AR19)+2*(AS5+AS12+AS19)</f>
        <v>57</v>
      </c>
      <c r="AS48" s="273"/>
      <c r="AT48" s="273">
        <f>(AT5+AT12+AT19)+2*(AU5+AU12+AU19)</f>
        <v>119</v>
      </c>
      <c r="AU48" s="274"/>
      <c r="AV48" s="274">
        <f>(AV5+AV12+AV19)+2*(AW5+AW12+AW19)</f>
        <v>120</v>
      </c>
      <c r="AW48" s="275"/>
      <c r="AX48" s="275">
        <f>(AX5+AX12+AX19)+2*(AY5+AY12+AY19)</f>
        <v>119</v>
      </c>
      <c r="AY48" s="57"/>
      <c r="AZ48" s="57">
        <f>(AZ5+AZ12+AZ19)+2*(BA5+BA12+BA19)</f>
        <v>119</v>
      </c>
      <c r="BA48" s="117"/>
      <c r="BB48" s="115">
        <f>(BB5+BB12+BB19)+2*(BC5+BC12+BC19)</f>
        <v>119</v>
      </c>
      <c r="BC48" s="263"/>
      <c r="BD48" s="263">
        <f>(BD5+BD12+BD19)+2*(BE5+BE12+BE19)</f>
        <v>75</v>
      </c>
      <c r="BE48" s="117"/>
      <c r="BF48" s="57">
        <f>(BF5+BF12+BF19)+2*(BG5+BG12+BG19)</f>
        <v>57</v>
      </c>
      <c r="BG48" s="264"/>
      <c r="BH48" s="324">
        <f>(BH5+BH12+BH19)+2*(BI5+BI12+BI19)</f>
        <v>57</v>
      </c>
      <c r="BI48" s="324"/>
      <c r="BJ48" s="324">
        <f>(BJ5+BJ12+BJ19)+2*(BK5+BK12+BK19)</f>
        <v>0</v>
      </c>
      <c r="BK48" s="324"/>
    </row>
    <row r="49" spans="1:70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119</v>
      </c>
      <c r="G49" s="57"/>
      <c r="H49" s="57">
        <f>(H8+H15+H22)+2*(I8+I15+I22)</f>
        <v>119</v>
      </c>
      <c r="I49" s="57"/>
      <c r="J49" s="57">
        <f>(J8+J15+J22)+2*(K8+K15+K22)</f>
        <v>119</v>
      </c>
      <c r="K49" s="57"/>
      <c r="L49" s="57">
        <f>(L8+L15+L22)+2*(M8+M15+M22)</f>
        <v>119</v>
      </c>
      <c r="M49" s="277"/>
      <c r="N49" s="277">
        <f>(N8+N15+N22)+2*(O8+O15+O22)</f>
        <v>75</v>
      </c>
      <c r="O49" s="278"/>
      <c r="P49" s="278">
        <f>(P8+P15+P22)+2*(Q8+Q15+Q22)</f>
        <v>57</v>
      </c>
      <c r="Q49" s="258"/>
      <c r="R49" s="258">
        <f>(R8+R15+R22)+2*(S8+S15+S22)</f>
        <v>119</v>
      </c>
      <c r="S49" s="57"/>
      <c r="T49" s="57">
        <f>(T8+T15+T22)+2*(U8+U15+U22)</f>
        <v>118</v>
      </c>
      <c r="U49" s="266"/>
      <c r="V49" s="266">
        <f>(V8+V15+V22)+2*(W8+W15+W22)</f>
        <v>120</v>
      </c>
      <c r="W49" s="267"/>
      <c r="X49" s="267">
        <f>(X8+X15+X22)+2*(Y8+Y15+Y22)</f>
        <v>120</v>
      </c>
      <c r="Y49" s="268"/>
      <c r="Z49" s="268">
        <f>(Z8+Z15+Z22)+2*(AA8+AA15+AA22)</f>
        <v>118</v>
      </c>
      <c r="AA49" s="269"/>
      <c r="AB49" s="269">
        <f>(AB8+AB15+AB22)+2*(AC8+AC15+AC22)</f>
        <v>75</v>
      </c>
      <c r="AC49" s="57"/>
      <c r="AD49" s="57">
        <f>(AD8+AD15+AD22)+2*(AE8+AE15+AE22)</f>
        <v>57</v>
      </c>
      <c r="AE49" s="57"/>
      <c r="AF49" s="248">
        <f>(AF8+AF15+AF22)+2*(AG8+AG15+AG22)</f>
        <v>119</v>
      </c>
      <c r="AG49" s="57"/>
      <c r="AH49" s="57">
        <f>(AH8+AH15+AH22)+2*(AI8+AI15+AI22)</f>
        <v>119</v>
      </c>
      <c r="AI49" s="262"/>
      <c r="AJ49" s="262">
        <f>(AJ8+AJ15+AJ22)+2*(AK8+AK15+AK22)</f>
        <v>121</v>
      </c>
      <c r="AK49" s="270"/>
      <c r="AL49" s="279">
        <f>(AL8+AL15+AL22)+2*(AM8+AM15+AM22)</f>
        <v>119</v>
      </c>
      <c r="AM49" s="271"/>
      <c r="AN49" s="271">
        <f>(AN8+AN15+AN22)+2*(AO8+AO15+AO22)</f>
        <v>120</v>
      </c>
      <c r="AO49" s="280"/>
      <c r="AP49" s="280">
        <f>(AP8+AP15+AP22)+2*(AQ8+AQ15+AQ22)</f>
        <v>75</v>
      </c>
      <c r="AQ49" s="272"/>
      <c r="AR49" s="272">
        <f>(AR8+AR15+AR22)+2*(AS8+AS15+AS22)</f>
        <v>57</v>
      </c>
      <c r="AS49" s="273"/>
      <c r="AT49" s="273">
        <f>(AT8+AT15+AT22)+2*(AU8+AU15+AU22)</f>
        <v>119</v>
      </c>
      <c r="AU49" s="274"/>
      <c r="AV49" s="274">
        <f>(AV8+AV15+AV22)+2*(AW8+AW15+AW22)</f>
        <v>120</v>
      </c>
      <c r="AW49" s="275"/>
      <c r="AX49" s="275">
        <f>(AX8+AX15+AX22)+2*(AY8+AY15+AY22)</f>
        <v>119</v>
      </c>
      <c r="AY49" s="57"/>
      <c r="AZ49" s="250">
        <f>(AZ8+AZ15+AZ22)+2*(BA8+BA15+BA22)</f>
        <v>119</v>
      </c>
      <c r="BA49" s="117"/>
      <c r="BB49" s="251">
        <f>(BB8+BB15+BB22)+2*(BC8+BC15+BC22)</f>
        <v>119</v>
      </c>
      <c r="BC49" s="263"/>
      <c r="BD49" s="263">
        <f>(BD8+BD15+BD22)+2*(BE8+BE15+BE22)</f>
        <v>75</v>
      </c>
      <c r="BE49" s="117"/>
      <c r="BF49" s="57">
        <f>(BF8+BF15+BF22)+2*(BG8+BG15+BG22)</f>
        <v>57</v>
      </c>
      <c r="BG49" s="264"/>
      <c r="BH49" s="324">
        <f>(BH8+BH15+BH22)+2*(BI8+BI15+BI22)</f>
        <v>57</v>
      </c>
      <c r="BI49" s="324"/>
      <c r="BJ49" s="324">
        <f>(BJ8+BJ15+BJ22)+2*(BK8+BK15+BK22)</f>
        <v>0</v>
      </c>
      <c r="BK49" s="324"/>
    </row>
    <row r="50" spans="1:70" x14ac:dyDescent="0.25">
      <c r="A50" t="s">
        <v>81</v>
      </c>
      <c r="C50" s="8"/>
      <c r="D50" s="57">
        <f>(D3+D10+D17)+2*(E3+E10+E17)</f>
        <v>40</v>
      </c>
      <c r="E50" s="57"/>
      <c r="F50" s="57">
        <f>(F3+F10+F17)+2*(G3+G10+G17)</f>
        <v>38</v>
      </c>
      <c r="G50" s="57"/>
      <c r="H50" s="57">
        <f>(H3+H10+H17)+2*(I3+I10+I17)</f>
        <v>37</v>
      </c>
      <c r="I50" s="57"/>
      <c r="J50" s="57">
        <f>(J3+J10+J17)+2*(K3+K10+K17)</f>
        <v>39</v>
      </c>
      <c r="K50" s="57"/>
      <c r="L50" s="57">
        <f>(L3+L10+L17)+2*(M3+M10+M17)</f>
        <v>39</v>
      </c>
      <c r="M50" s="277"/>
      <c r="N50" s="277">
        <f>(N3+N10+N17)+2*(O3+O10+O17)</f>
        <v>0</v>
      </c>
      <c r="O50" s="278"/>
      <c r="P50" s="278">
        <f>(P3+P10+P17)+2*(Q3+Q10+Q17)</f>
        <v>0</v>
      </c>
      <c r="Q50" s="258"/>
      <c r="R50" s="258">
        <f>(R3+R10+R17)+2*(S3+S10+S17)</f>
        <v>39</v>
      </c>
      <c r="S50" s="57"/>
      <c r="T50" s="57">
        <f>(T3+T10+T17)+2*(U3+U10+U17)</f>
        <v>39</v>
      </c>
      <c r="U50" s="266"/>
      <c r="V50" s="266">
        <f>(V3+V10+V17)+2*(W3+W10+W17)</f>
        <v>39</v>
      </c>
      <c r="W50" s="267"/>
      <c r="X50" s="267">
        <f>(X3+X10+X17)+2*(Y3+Y10+Y17)</f>
        <v>39</v>
      </c>
      <c r="Y50" s="268"/>
      <c r="Z50" s="268">
        <f>(Z3+Z10+Z17)+2*(AA3+AA10+AA17)</f>
        <v>38</v>
      </c>
      <c r="AA50" s="269"/>
      <c r="AB50" s="269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39</v>
      </c>
      <c r="AG50" s="57"/>
      <c r="AH50" s="57">
        <f>(AH3+AH10+AH17)+2*(AI3+AI10+AI17)</f>
        <v>39</v>
      </c>
      <c r="AI50" s="262"/>
      <c r="AJ50" s="262">
        <f>(AJ3+AJ10+AJ17)+2*(AK3+AK10+AK17)</f>
        <v>39</v>
      </c>
      <c r="AK50" s="270"/>
      <c r="AL50" s="279">
        <f>(AL3+AL10+AL17)+2*(AM3+AM10+AM17)</f>
        <v>39</v>
      </c>
      <c r="AM50" s="271"/>
      <c r="AN50" s="271">
        <f>(AN3+AN10+AN17)+2*(AO3+AO10+AO17)</f>
        <v>38</v>
      </c>
      <c r="AO50" s="280"/>
      <c r="AP50" s="280">
        <f>(AP3+AP10+AP17)+2*(AQ3+AQ10+AQ17)</f>
        <v>0</v>
      </c>
      <c r="AQ50" s="272"/>
      <c r="AR50" s="272">
        <f>(AR3+AR10+AR17)+2*(AS3+AS10+AS17)</f>
        <v>0</v>
      </c>
      <c r="AS50" s="273"/>
      <c r="AT50" s="273">
        <f>(AT3+AT10+AT17)+2*(AU3+AU10+AU17)</f>
        <v>39</v>
      </c>
      <c r="AU50" s="274"/>
      <c r="AV50" s="274">
        <f>(AV3+AV10+AV17)+2*(AW3+AW10+AW17)</f>
        <v>39</v>
      </c>
      <c r="AW50" s="275"/>
      <c r="AX50" s="275">
        <f>(AX3+AX10+AX17)+2*(AY3+AY10+AY17)</f>
        <v>38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0</v>
      </c>
      <c r="BE50" s="117"/>
      <c r="BF50" s="57">
        <f>(BF3+BF10+BF17)+2*(BG3+BG10+BG17)</f>
        <v>0</v>
      </c>
      <c r="BG50" s="264"/>
      <c r="BH50" s="324">
        <f>(BH3+BH10+BH17)+2*(BI3+BI10+BI17)</f>
        <v>0</v>
      </c>
      <c r="BI50" s="324"/>
      <c r="BJ50" s="324">
        <f>(BJ3+BJ10+BJ17)+2*(BK3+BK10+BK17)</f>
        <v>0</v>
      </c>
      <c r="BK50" s="324"/>
    </row>
    <row r="51" spans="1:70" x14ac:dyDescent="0.25">
      <c r="A51" t="s">
        <v>82</v>
      </c>
      <c r="C51" s="8"/>
      <c r="D51" s="57">
        <f>(D6+D13+D20)+2*(E6+E13+E20)</f>
        <v>36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35</v>
      </c>
      <c r="K51" s="57"/>
      <c r="L51" s="57">
        <f>(L6+L13+L20)+2*(M6+M13+M20)</f>
        <v>35</v>
      </c>
      <c r="M51" s="277"/>
      <c r="N51" s="277">
        <f>(N6+N13+N20)+2*(O6+O13+O20)</f>
        <v>0</v>
      </c>
      <c r="O51" s="278"/>
      <c r="P51" s="278">
        <f>(P6+P13+P20)+2*(Q6+Q13+Q20)</f>
        <v>0</v>
      </c>
      <c r="Q51" s="258"/>
      <c r="R51" s="258">
        <f>(R6+R13+R20)+2*(S6+S13+S20)</f>
        <v>35</v>
      </c>
      <c r="S51" s="57"/>
      <c r="T51" s="57">
        <f>(T6+T13+T20)+2*(U6+U13+U20)</f>
        <v>35</v>
      </c>
      <c r="U51" s="266"/>
      <c r="V51" s="266">
        <f>(V6+V13+V20)+2*(W6+W13+W20)</f>
        <v>35</v>
      </c>
      <c r="W51" s="267"/>
      <c r="X51" s="267">
        <f>(X6+X13+X20)+2*(Y6+Y13+Y20)</f>
        <v>35</v>
      </c>
      <c r="Y51" s="268"/>
      <c r="Z51" s="268">
        <f>(Z6+Z13+Z20)+2*(AA6+AA13+AA20)</f>
        <v>35</v>
      </c>
      <c r="AA51" s="269"/>
      <c r="AB51" s="269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35</v>
      </c>
      <c r="AG51" s="57"/>
      <c r="AH51" s="57">
        <f>(AH6+AH13+AH20)+2*(AI6+AI13+AI20)</f>
        <v>35</v>
      </c>
      <c r="AI51" s="262"/>
      <c r="AJ51" s="262">
        <f>(AJ6+AJ13+AJ20)+2*(AK6+AK13+AK20)</f>
        <v>35</v>
      </c>
      <c r="AK51" s="270"/>
      <c r="AL51" s="279">
        <f>(AL6+AL13+AL20)+2*(AM6+AM13+AM20)</f>
        <v>35</v>
      </c>
      <c r="AM51" s="271"/>
      <c r="AN51" s="271">
        <f>(AN6+AN13+AN20)+2*(AO6+AO13+AO20)</f>
        <v>34</v>
      </c>
      <c r="AO51" s="280"/>
      <c r="AP51" s="280">
        <f>(AP6+AP13+AP20)+2*(AQ6+AQ13+AQ20)</f>
        <v>0</v>
      </c>
      <c r="AQ51" s="272"/>
      <c r="AR51" s="272">
        <f>(AR6+AR13+AR20)+2*(AS6+AS13+AS20)</f>
        <v>0</v>
      </c>
      <c r="AS51" s="273"/>
      <c r="AT51" s="273">
        <f>(AT6+AT13+AT20)+2*(AU6+AU13+AU20)</f>
        <v>35</v>
      </c>
      <c r="AU51" s="274"/>
      <c r="AV51" s="274">
        <f>(AV6+AV13+AV20)+2*(AW6+AW13+AW20)</f>
        <v>35</v>
      </c>
      <c r="AW51" s="275"/>
      <c r="AX51" s="275">
        <f>(AX6+AX13+AX20)+2*(AY6+AY13+AY20)</f>
        <v>34</v>
      </c>
      <c r="AY51" s="57"/>
      <c r="AZ51" s="57">
        <f>(AZ6+AZ13+AZ20)+2*(BA6+BA13+BA20)</f>
        <v>35</v>
      </c>
      <c r="BA51" s="117"/>
      <c r="BB51" s="115">
        <f>(BB6+BB13+BB20)+2*(BC6+BC13+BC20)</f>
        <v>35</v>
      </c>
      <c r="BC51" s="263"/>
      <c r="BD51" s="263">
        <f>(BD6+BD13+BD20)+2*(BE6+BE13+BE20)</f>
        <v>0</v>
      </c>
      <c r="BE51" s="117"/>
      <c r="BF51" s="57">
        <f>(BF6+BF13+BF20)+2*(BG6+BG13+BG20)</f>
        <v>0</v>
      </c>
      <c r="BG51" s="264"/>
      <c r="BH51" s="324">
        <f>(BH6+BH13+BH20)+2*(BI6+BI13+BI20)</f>
        <v>0</v>
      </c>
      <c r="BI51" s="324"/>
      <c r="BJ51" s="324">
        <f>(BJ6+BJ13+BJ20)+2*(BK6+BK13+BK20)</f>
        <v>0</v>
      </c>
      <c r="BK51" s="324"/>
    </row>
    <row r="52" spans="1:70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8"/>
      <c r="AX52" s="275">
        <f>(AX4+AX11+AX18)+2*(AY4+AY11+AY18)</f>
        <v>0</v>
      </c>
      <c r="AY52" s="318"/>
      <c r="AZ52" s="154">
        <f>(AZ4+AZ11+AZ18)+2*(BA4+BA11+BA18)</f>
        <v>0</v>
      </c>
      <c r="BA52" s="318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4">
        <f>(BH4+BH11+BH18)+2*(BI4+BI11+BI18)</f>
        <v>0</v>
      </c>
      <c r="BI52" s="324"/>
      <c r="BJ52" s="324">
        <f>(BJ4+BJ11+BJ18)+2*(BK4+BK11+BK18)</f>
        <v>0</v>
      </c>
      <c r="BK52" s="324"/>
    </row>
    <row r="53" spans="1:70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3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0</v>
      </c>
      <c r="O53" s="278"/>
      <c r="P53" s="278">
        <f>(P7+P14+P21)+2*(Q7+Q14+Q21)</f>
        <v>0</v>
      </c>
      <c r="Q53" s="258"/>
      <c r="R53" s="258">
        <f>(R7+R14+R21)+2*(S7+S14+S21)</f>
        <v>4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0</v>
      </c>
      <c r="AC53" s="57"/>
      <c r="AD53" s="57">
        <f>(AD7+AD14+AD21)+2*(AE7+AE14+AE21)</f>
        <v>0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0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18"/>
      <c r="AX53" s="275">
        <f>(AX7+AX14+AX21)+2*(AY7+AY14+AY21)</f>
        <v>4</v>
      </c>
      <c r="AY53" s="318"/>
      <c r="AZ53" s="250">
        <f>(AZ7+AZ14+AZ21)+2*(BA7+BA14+BA21)</f>
        <v>4</v>
      </c>
      <c r="BA53" s="318"/>
      <c r="BB53" s="251">
        <f>(BB7+BB14+BB21)+2*(BC7+BC14+BC21)</f>
        <v>4</v>
      </c>
      <c r="BC53" s="318"/>
      <c r="BD53" s="263">
        <f>(BD7+BD14+BD21)+2*(BE7+BE14+BE21)</f>
        <v>0</v>
      </c>
      <c r="BE53" s="318"/>
      <c r="BF53" s="57">
        <f>(BF7+BF14+BF21)+2*(BG7+BG14+BG21)</f>
        <v>0</v>
      </c>
      <c r="BG53" s="264"/>
      <c r="BH53" s="324">
        <f>(BH7+BH14+BH21)+2*(BI7+BI14+BI21)</f>
        <v>0</v>
      </c>
      <c r="BI53" s="324"/>
      <c r="BJ53" s="324">
        <f>(BJ7+BJ14+BJ21)+2*(BK7+BK14+BK21)</f>
        <v>0</v>
      </c>
      <c r="BK53" s="324"/>
    </row>
    <row r="54" spans="1:70" x14ac:dyDescent="0.25">
      <c r="AW54" s="318"/>
      <c r="AY54" s="318"/>
      <c r="BA54" s="318"/>
      <c r="BC54" s="318"/>
      <c r="BE54" s="318"/>
    </row>
    <row r="55" spans="1:70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7" spans="1:70" x14ac:dyDescent="0.25">
      <c r="AO57" s="124"/>
      <c r="AP57" s="124"/>
      <c r="AQ57" s="124"/>
      <c r="AR57" s="124"/>
      <c r="AS57" s="124"/>
      <c r="AT57" s="124"/>
      <c r="AU57" s="124"/>
      <c r="AV57" s="124"/>
      <c r="AW57" s="124"/>
      <c r="AX57" s="124"/>
      <c r="AY57" s="124"/>
      <c r="AZ57" s="124"/>
      <c r="BA57" s="124"/>
      <c r="BB57" s="124"/>
      <c r="BC57" s="124"/>
      <c r="BD57" s="124"/>
      <c r="BE57" s="124"/>
      <c r="BF57" s="124"/>
      <c r="BG57" s="124"/>
      <c r="BH57" s="124"/>
    </row>
    <row r="58" spans="1:70" x14ac:dyDescent="0.25">
      <c r="AO58" s="124"/>
      <c r="AP58" s="124"/>
      <c r="AQ58" s="124"/>
      <c r="AR58" s="124"/>
      <c r="AS58" s="124"/>
      <c r="AT58" s="124"/>
      <c r="AU58" s="124"/>
      <c r="AV58" s="124"/>
      <c r="AW58" s="124"/>
      <c r="AX58" s="124"/>
      <c r="AY58" s="124"/>
      <c r="AZ58" s="124"/>
      <c r="BA58" s="124"/>
      <c r="BB58" s="124"/>
      <c r="BC58" s="124"/>
      <c r="BD58" s="124"/>
      <c r="BE58" s="124"/>
      <c r="BF58" s="124"/>
      <c r="BG58" s="124"/>
      <c r="BH58" s="124"/>
    </row>
    <row r="59" spans="1:70" x14ac:dyDescent="0.25">
      <c r="AN59" s="124"/>
      <c r="AO59" s="124"/>
      <c r="AP59" s="124"/>
      <c r="AQ59" s="124"/>
      <c r="AR59" s="124"/>
      <c r="AS59" s="124"/>
      <c r="AT59" s="124"/>
      <c r="AU59" s="124"/>
      <c r="AV59" s="124"/>
      <c r="AW59" s="124"/>
      <c r="AX59" s="124"/>
      <c r="AY59" s="124"/>
      <c r="AZ59" s="124"/>
      <c r="BA59" s="124"/>
      <c r="BB59" s="124"/>
      <c r="BC59" s="124"/>
      <c r="BD59" s="124"/>
      <c r="BE59" s="124"/>
      <c r="BF59" s="124"/>
      <c r="BG59" s="124"/>
      <c r="BH59" s="124"/>
      <c r="BI59" s="124"/>
      <c r="BJ59" s="124"/>
      <c r="BK59" s="124"/>
      <c r="BL59" s="124"/>
      <c r="BM59" s="124"/>
      <c r="BN59" s="124"/>
      <c r="BO59" s="124"/>
      <c r="BP59" s="124"/>
      <c r="BQ59" s="124"/>
      <c r="BR59" s="124"/>
    </row>
    <row r="60" spans="1:70" x14ac:dyDescent="0.25">
      <c r="AN60" s="124"/>
      <c r="AO60" s="124"/>
      <c r="AP60" s="124"/>
      <c r="AQ60" s="124"/>
      <c r="AR60" s="124"/>
      <c r="AS60" s="124"/>
      <c r="AT60" s="124"/>
      <c r="AU60" s="124"/>
      <c r="AV60" s="124"/>
      <c r="AW60" s="124"/>
      <c r="AX60" s="124"/>
      <c r="AY60" s="124"/>
      <c r="AZ60" s="124"/>
      <c r="BA60" s="124"/>
      <c r="BB60" s="124"/>
      <c r="BC60" s="124"/>
      <c r="BD60" s="124"/>
      <c r="BE60" s="124"/>
      <c r="BF60" s="124"/>
      <c r="BG60" s="124"/>
      <c r="BH60" s="124"/>
      <c r="BI60" s="124"/>
      <c r="BJ60" s="124"/>
      <c r="BK60" s="124"/>
      <c r="BL60" s="124"/>
      <c r="BM60" s="124"/>
      <c r="BN60" s="124"/>
      <c r="BO60" s="124"/>
      <c r="BP60" s="124"/>
      <c r="BQ60" s="124"/>
      <c r="BR60" s="124"/>
    </row>
    <row r="61" spans="1:70" x14ac:dyDescent="0.25">
      <c r="AU61" s="124"/>
      <c r="AV61" s="124"/>
      <c r="AW61" s="124"/>
      <c r="AX61" s="124"/>
      <c r="AY61" s="124"/>
      <c r="AZ61" s="124"/>
      <c r="BA61" s="124"/>
      <c r="BB61" s="124"/>
      <c r="BC61" s="124"/>
      <c r="BD61" s="124"/>
      <c r="BE61" s="124"/>
      <c r="BF61" s="124"/>
      <c r="BG61" s="124"/>
      <c r="BH61" s="124"/>
      <c r="BI61" s="124"/>
      <c r="BJ61" s="124"/>
      <c r="BK61" s="124"/>
      <c r="BL61" s="124"/>
      <c r="BM61" s="124"/>
      <c r="BN61" s="124"/>
    </row>
    <row r="67" spans="32:51" ht="15.75" thickBot="1" x14ac:dyDescent="0.3"/>
    <row r="68" spans="32:51" ht="15.75" thickBot="1" x14ac:dyDescent="0.3">
      <c r="AF68" s="385">
        <v>0</v>
      </c>
      <c r="AG68" s="385">
        <v>0</v>
      </c>
      <c r="AH68" s="385">
        <v>2</v>
      </c>
      <c r="AI68" s="385">
        <v>0</v>
      </c>
      <c r="AJ68" s="385">
        <v>0</v>
      </c>
      <c r="AK68" s="385">
        <v>6</v>
      </c>
      <c r="AL68" s="386"/>
      <c r="AM68" s="386">
        <v>0</v>
      </c>
      <c r="AN68" s="386">
        <v>0</v>
      </c>
      <c r="AO68" s="386">
        <v>43</v>
      </c>
      <c r="AP68" s="386">
        <v>0</v>
      </c>
      <c r="AQ68" s="386">
        <v>0</v>
      </c>
      <c r="AR68" s="386">
        <v>45</v>
      </c>
      <c r="AS68" s="386"/>
      <c r="AT68" s="385">
        <v>0</v>
      </c>
      <c r="AU68" s="385">
        <v>0</v>
      </c>
      <c r="AV68" s="385">
        <v>6</v>
      </c>
      <c r="AW68" s="385">
        <v>0</v>
      </c>
      <c r="AX68" s="385">
        <v>0</v>
      </c>
      <c r="AY68" s="385">
        <v>6</v>
      </c>
    </row>
    <row r="69" spans="32:51" ht="15.75" thickBot="1" x14ac:dyDescent="0.3">
      <c r="AF69" s="385">
        <v>0</v>
      </c>
      <c r="AG69" s="385">
        <v>0</v>
      </c>
      <c r="AH69" s="385">
        <v>1</v>
      </c>
      <c r="AI69" s="385">
        <v>0</v>
      </c>
      <c r="AJ69" s="385">
        <v>0</v>
      </c>
      <c r="AK69" s="385">
        <v>0</v>
      </c>
      <c r="AL69" s="386"/>
      <c r="AM69" s="386">
        <v>0</v>
      </c>
      <c r="AN69" s="386">
        <v>0</v>
      </c>
      <c r="AO69" s="386">
        <v>2</v>
      </c>
      <c r="AP69" s="386">
        <v>0</v>
      </c>
      <c r="AQ69" s="386">
        <v>0</v>
      </c>
      <c r="AR69" s="386">
        <v>0</v>
      </c>
      <c r="AS69" s="386"/>
      <c r="AT69" s="385">
        <v>0</v>
      </c>
      <c r="AU69" s="385">
        <v>0</v>
      </c>
      <c r="AV69" s="385">
        <v>0</v>
      </c>
      <c r="AW69" s="385">
        <v>0</v>
      </c>
      <c r="AX69" s="385">
        <v>0</v>
      </c>
      <c r="AY69" s="385">
        <v>0</v>
      </c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U29" sqref="U29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46174</v>
      </c>
      <c r="D3" s="93">
        <v>46175</v>
      </c>
      <c r="E3" s="93">
        <v>46176</v>
      </c>
      <c r="F3" s="93">
        <v>46177</v>
      </c>
      <c r="G3" s="93">
        <v>46178</v>
      </c>
      <c r="H3" s="93">
        <v>46179</v>
      </c>
      <c r="I3" s="93">
        <v>46180</v>
      </c>
      <c r="J3" s="93">
        <v>46181</v>
      </c>
      <c r="K3" s="93">
        <v>46182</v>
      </c>
      <c r="L3" s="93">
        <v>46183</v>
      </c>
      <c r="M3" s="93">
        <v>46184</v>
      </c>
      <c r="N3" s="93">
        <v>46185</v>
      </c>
      <c r="O3" s="93">
        <v>46186</v>
      </c>
      <c r="P3" s="93">
        <v>46187</v>
      </c>
      <c r="Q3" s="93">
        <v>46188</v>
      </c>
      <c r="R3" s="93">
        <v>46189</v>
      </c>
      <c r="S3" s="93">
        <v>46190</v>
      </c>
      <c r="T3" s="93">
        <v>46191</v>
      </c>
      <c r="U3" s="93">
        <v>46192</v>
      </c>
      <c r="V3" s="93">
        <v>46193</v>
      </c>
      <c r="W3" s="93">
        <v>46194</v>
      </c>
      <c r="X3" s="93">
        <v>46195</v>
      </c>
      <c r="Y3" s="93">
        <v>46196</v>
      </c>
      <c r="Z3" s="93">
        <v>46197</v>
      </c>
      <c r="AA3" s="93">
        <v>46198</v>
      </c>
      <c r="AB3" s="93">
        <v>46199</v>
      </c>
      <c r="AC3" s="93">
        <v>46200</v>
      </c>
      <c r="AD3" s="93">
        <v>46201</v>
      </c>
      <c r="AE3" s="93">
        <v>46202</v>
      </c>
      <c r="AF3" s="93">
        <v>46203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79</v>
      </c>
      <c r="G5" s="95">
        <f>'Data Ocupacion'!L40</f>
        <v>79</v>
      </c>
      <c r="H5" s="95">
        <f>'Data Ocupacion'!N40</f>
        <v>72</v>
      </c>
      <c r="I5" s="95">
        <f>'Data Ocupacion'!P40</f>
        <v>54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79</v>
      </c>
      <c r="N5" s="95">
        <f>'Data Ocupacion'!Z40</f>
        <v>79</v>
      </c>
      <c r="O5" s="95">
        <f>'Data Ocupacion'!AB40</f>
        <v>72</v>
      </c>
      <c r="P5" s="95">
        <f>'Data Ocupacion'!AD40</f>
        <v>54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79</v>
      </c>
      <c r="U5" s="95">
        <f>'Data Ocupacion'!AN40</f>
        <v>79</v>
      </c>
      <c r="V5" s="95">
        <f>'Data Ocupacion'!AP40</f>
        <v>72</v>
      </c>
      <c r="W5" s="95">
        <f>'Data Ocupacion'!AR40</f>
        <v>54</v>
      </c>
      <c r="X5" s="95">
        <f>'Data Ocupacion'!AT40</f>
        <v>79</v>
      </c>
      <c r="Y5" s="95">
        <f>'Data Ocupacion'!AV40</f>
        <v>79</v>
      </c>
      <c r="Z5" s="95">
        <f>'Data Ocupacion'!AX40</f>
        <v>79</v>
      </c>
      <c r="AA5" s="95">
        <f>'Data Ocupacion'!AZ40</f>
        <v>79</v>
      </c>
      <c r="AB5" s="95">
        <f>'Data Ocupacion'!BB40</f>
        <v>79</v>
      </c>
      <c r="AC5" s="95">
        <f>'Data Ocupacion'!BD40</f>
        <v>72</v>
      </c>
      <c r="AD5" s="95">
        <f>'Data Ocupacion'!BF40</f>
        <v>54</v>
      </c>
      <c r="AE5" s="95">
        <f>'Data Ocupacion'!BH40</f>
        <v>54</v>
      </c>
      <c r="AF5" s="95">
        <f>'Data Ocupacion'!BJ40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78</v>
      </c>
      <c r="G6" s="95">
        <f>'Data Ocupacion'!L41</f>
        <v>78</v>
      </c>
      <c r="H6" s="95">
        <f>'Data Ocupacion'!N41</f>
        <v>75</v>
      </c>
      <c r="I6" s="95">
        <f>'Data Ocupacion'!P41</f>
        <v>57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78</v>
      </c>
      <c r="N6" s="95">
        <f>'Data Ocupacion'!Z41</f>
        <v>78</v>
      </c>
      <c r="O6" s="95">
        <f>'Data Ocupacion'!AB41</f>
        <v>75</v>
      </c>
      <c r="P6" s="95">
        <f>'Data Ocupacion'!AD41</f>
        <v>57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78</v>
      </c>
      <c r="U6" s="95">
        <f>'Data Ocupacion'!AN41</f>
        <v>78</v>
      </c>
      <c r="V6" s="95">
        <f>'Data Ocupacion'!AP41</f>
        <v>75</v>
      </c>
      <c r="W6" s="95">
        <f>'Data Ocupacion'!AR41</f>
        <v>57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78</v>
      </c>
      <c r="AB6" s="95">
        <f>'Data Ocupacion'!BB41</f>
        <v>78</v>
      </c>
      <c r="AC6" s="95">
        <f>'Data Ocupacion'!BD41</f>
        <v>75</v>
      </c>
      <c r="AD6" s="95">
        <f>'Data Ocupacion'!BF41</f>
        <v>57</v>
      </c>
      <c r="AE6" s="95">
        <f>'Data Ocupacion'!BH41</f>
        <v>57</v>
      </c>
      <c r="AF6" s="95">
        <f>'Data Ocupacion'!BJ41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35</v>
      </c>
      <c r="F7" s="95">
        <f>'Data Ocupacion'!J42</f>
        <v>36</v>
      </c>
      <c r="G7" s="95">
        <f>'Data Ocupacion'!L42</f>
        <v>36</v>
      </c>
      <c r="H7" s="95">
        <f>'Data Ocupacion'!N42</f>
        <v>0</v>
      </c>
      <c r="I7" s="95">
        <f>'Data Ocupacion'!P42</f>
        <v>0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36</v>
      </c>
      <c r="N7" s="95">
        <f>'Data Ocupacion'!Z42</f>
        <v>35</v>
      </c>
      <c r="O7" s="95">
        <f>'Data Ocupacion'!AB42</f>
        <v>0</v>
      </c>
      <c r="P7" s="95">
        <f>'Data Ocupacion'!AD42</f>
        <v>0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36</v>
      </c>
      <c r="U7" s="95">
        <f>'Data Ocupacion'!AN42</f>
        <v>36</v>
      </c>
      <c r="V7" s="95">
        <f>'Data Ocupacion'!AP42</f>
        <v>0</v>
      </c>
      <c r="W7" s="95">
        <f>'Data Ocupacion'!AR42</f>
        <v>0</v>
      </c>
      <c r="X7" s="95">
        <f>'Data Ocupacion'!AT42</f>
        <v>36</v>
      </c>
      <c r="Y7" s="95">
        <f>'Data Ocupacion'!AV42</f>
        <v>36</v>
      </c>
      <c r="Z7" s="95">
        <f>'Data Ocupacion'!AX42</f>
        <v>36</v>
      </c>
      <c r="AA7" s="95">
        <f>'Data Ocupacion'!AZ42</f>
        <v>36</v>
      </c>
      <c r="AB7" s="95">
        <f>'Data Ocupacion'!BB42</f>
        <v>36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32</v>
      </c>
      <c r="G8" s="95">
        <f>'Data Ocupacion'!L43</f>
        <v>32</v>
      </c>
      <c r="H8" s="95">
        <f>'Data Ocupacion'!N43</f>
        <v>0</v>
      </c>
      <c r="I8" s="95">
        <f>'Data Ocupacion'!P43</f>
        <v>0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32</v>
      </c>
      <c r="N8" s="95">
        <f>'Data Ocupacion'!Z43</f>
        <v>32</v>
      </c>
      <c r="O8" s="95">
        <f>'Data Ocupacion'!AB43</f>
        <v>0</v>
      </c>
      <c r="P8" s="95">
        <f>'Data Ocupacion'!AD43</f>
        <v>0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32</v>
      </c>
      <c r="U8" s="95">
        <f>'Data Ocupacion'!AN43</f>
        <v>32</v>
      </c>
      <c r="V8" s="95">
        <f>'Data Ocupacion'!AP43</f>
        <v>0</v>
      </c>
      <c r="W8" s="95">
        <f>'Data Ocupacion'!AR43</f>
        <v>0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32</v>
      </c>
      <c r="AB8" s="95">
        <f>'Data Ocupacion'!BB43</f>
        <v>32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3</v>
      </c>
      <c r="F10" s="95">
        <f>'Data Ocupacion'!J45</f>
        <v>4</v>
      </c>
      <c r="G10" s="95">
        <f>'Data Ocupacion'!L45</f>
        <v>4</v>
      </c>
      <c r="H10" s="95">
        <f>'Data Ocupacion'!N45</f>
        <v>0</v>
      </c>
      <c r="I10" s="95">
        <f>'Data Ocupacion'!P45</f>
        <v>0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4</v>
      </c>
      <c r="N10" s="95">
        <f>'Data Ocupacion'!Z45</f>
        <v>4</v>
      </c>
      <c r="O10" s="95">
        <f>'Data Ocupacion'!AB45</f>
        <v>0</v>
      </c>
      <c r="P10" s="95">
        <f>'Data Ocupacion'!AD45</f>
        <v>0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4</v>
      </c>
      <c r="U10" s="95">
        <f>'Data Ocupacion'!AN45</f>
        <v>4</v>
      </c>
      <c r="V10" s="95">
        <f>'Data Ocupacion'!AP45</f>
        <v>0</v>
      </c>
      <c r="W10" s="95">
        <f>'Data Ocupacion'!AR45</f>
        <v>0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4</v>
      </c>
      <c r="AB10" s="95">
        <f>'Data Ocupacion'!BB45</f>
        <v>4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119</v>
      </c>
      <c r="E12" s="95">
        <f>'Data Ocupacion'!H48</f>
        <v>119</v>
      </c>
      <c r="F12" s="95">
        <f>'Data Ocupacion'!J48</f>
        <v>119</v>
      </c>
      <c r="G12" s="95">
        <f>'Data Ocupacion'!L48</f>
        <v>119</v>
      </c>
      <c r="H12" s="95">
        <f>'Data Ocupacion'!N48</f>
        <v>75</v>
      </c>
      <c r="I12" s="95">
        <f>'Data Ocupacion'!P48</f>
        <v>57</v>
      </c>
      <c r="J12" s="95">
        <f>'Data Ocupacion'!R48</f>
        <v>119</v>
      </c>
      <c r="K12" s="95">
        <f>'Data Ocupacion'!T48</f>
        <v>118</v>
      </c>
      <c r="L12" s="95">
        <f>'Data Ocupacion'!V48</f>
        <v>120</v>
      </c>
      <c r="M12" s="95">
        <f>'Data Ocupacion'!X48</f>
        <v>120</v>
      </c>
      <c r="N12" s="95">
        <f>'Data Ocupacion'!Z48</f>
        <v>119</v>
      </c>
      <c r="O12" s="95">
        <f>'Data Ocupacion'!AB48</f>
        <v>75</v>
      </c>
      <c r="P12" s="95">
        <f>'Data Ocupacion'!AD48</f>
        <v>57</v>
      </c>
      <c r="Q12" s="95">
        <f>'Data Ocupacion'!AF48</f>
        <v>119</v>
      </c>
      <c r="R12" s="95">
        <f>'Data Ocupacion'!AH48</f>
        <v>119</v>
      </c>
      <c r="S12" s="95">
        <f>'Data Ocupacion'!AJ48</f>
        <v>121</v>
      </c>
      <c r="T12" s="95">
        <f>'Data Ocupacion'!AL48</f>
        <v>119</v>
      </c>
      <c r="U12" s="95">
        <f>'Data Ocupacion'!AN48</f>
        <v>120</v>
      </c>
      <c r="V12" s="95">
        <f>'Data Ocupacion'!AP48</f>
        <v>75</v>
      </c>
      <c r="W12" s="95">
        <f>'Data Ocupacion'!AR48</f>
        <v>57</v>
      </c>
      <c r="X12" s="95">
        <f>'Data Ocupacion'!AT48</f>
        <v>119</v>
      </c>
      <c r="Y12" s="95">
        <f>'Data Ocupacion'!AV48</f>
        <v>120</v>
      </c>
      <c r="Z12" s="95">
        <f>'Data Ocupacion'!AX48</f>
        <v>119</v>
      </c>
      <c r="AA12" s="95">
        <f>'Data Ocupacion'!AZ48</f>
        <v>119</v>
      </c>
      <c r="AB12" s="95">
        <f>'Data Ocupacion'!BB48</f>
        <v>119</v>
      </c>
      <c r="AC12" s="95">
        <f>'Data Ocupacion'!BD48</f>
        <v>75</v>
      </c>
      <c r="AD12" s="95">
        <f>'Data Ocupacion'!BF48</f>
        <v>57</v>
      </c>
      <c r="AE12" s="95">
        <f>'Data Ocupacion'!BH48</f>
        <v>57</v>
      </c>
      <c r="AF12" s="95">
        <f>'Data Ocupacion'!BJ48</f>
        <v>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119</v>
      </c>
      <c r="E13" s="95">
        <f>'Data Ocupacion'!H49</f>
        <v>119</v>
      </c>
      <c r="F13" s="95">
        <f>'Data Ocupacion'!J49</f>
        <v>119</v>
      </c>
      <c r="G13" s="95">
        <f>'Data Ocupacion'!L49</f>
        <v>119</v>
      </c>
      <c r="H13" s="95">
        <f>'Data Ocupacion'!N49</f>
        <v>75</v>
      </c>
      <c r="I13" s="95">
        <f>'Data Ocupacion'!P49</f>
        <v>57</v>
      </c>
      <c r="J13" s="95">
        <f>'Data Ocupacion'!R49</f>
        <v>119</v>
      </c>
      <c r="K13" s="95">
        <f>'Data Ocupacion'!T49</f>
        <v>118</v>
      </c>
      <c r="L13" s="95">
        <f>'Data Ocupacion'!V49</f>
        <v>120</v>
      </c>
      <c r="M13" s="95">
        <f>'Data Ocupacion'!X49</f>
        <v>120</v>
      </c>
      <c r="N13" s="95">
        <f>'Data Ocupacion'!Z49</f>
        <v>118</v>
      </c>
      <c r="O13" s="95">
        <f>'Data Ocupacion'!AB49</f>
        <v>75</v>
      </c>
      <c r="P13" s="95">
        <f>'Data Ocupacion'!AD49</f>
        <v>57</v>
      </c>
      <c r="Q13" s="95">
        <f>'Data Ocupacion'!AF49</f>
        <v>119</v>
      </c>
      <c r="R13" s="95">
        <f>'Data Ocupacion'!AH49</f>
        <v>119</v>
      </c>
      <c r="S13" s="95">
        <f>'Data Ocupacion'!AJ49</f>
        <v>121</v>
      </c>
      <c r="T13" s="95">
        <f>'Data Ocupacion'!AL49</f>
        <v>119</v>
      </c>
      <c r="U13" s="95">
        <f>'Data Ocupacion'!AN49</f>
        <v>120</v>
      </c>
      <c r="V13" s="95">
        <f>'Data Ocupacion'!AP49</f>
        <v>75</v>
      </c>
      <c r="W13" s="95">
        <f>'Data Ocupacion'!AR49</f>
        <v>57</v>
      </c>
      <c r="X13" s="95">
        <f>'Data Ocupacion'!AT49</f>
        <v>119</v>
      </c>
      <c r="Y13" s="95">
        <f>'Data Ocupacion'!AV49</f>
        <v>120</v>
      </c>
      <c r="Z13" s="95">
        <f>'Data Ocupacion'!AX49</f>
        <v>119</v>
      </c>
      <c r="AA13" s="95">
        <f>'Data Ocupacion'!AZ49</f>
        <v>119</v>
      </c>
      <c r="AB13" s="95">
        <f>'Data Ocupacion'!BB49</f>
        <v>119</v>
      </c>
      <c r="AC13" s="95">
        <f>'Data Ocupacion'!BD49</f>
        <v>75</v>
      </c>
      <c r="AD13" s="95">
        <f>'Data Ocupacion'!BF49</f>
        <v>57</v>
      </c>
      <c r="AE13" s="95">
        <f>'Data Ocupacion'!BH49</f>
        <v>57</v>
      </c>
      <c r="AF13" s="95">
        <f>'Data Ocupacion'!BJ49</f>
        <v>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40</v>
      </c>
      <c r="D14" s="95">
        <f>'Data Ocupacion'!F50</f>
        <v>38</v>
      </c>
      <c r="E14" s="95">
        <f>'Data Ocupacion'!H50</f>
        <v>37</v>
      </c>
      <c r="F14" s="95">
        <f>'Data Ocupacion'!J50</f>
        <v>39</v>
      </c>
      <c r="G14" s="95">
        <f>'Data Ocupacion'!L50</f>
        <v>39</v>
      </c>
      <c r="H14" s="95">
        <f>'Data Ocupacion'!N50</f>
        <v>0</v>
      </c>
      <c r="I14" s="95">
        <f>'Data Ocupacion'!P50</f>
        <v>0</v>
      </c>
      <c r="J14" s="95">
        <f>'Data Ocupacion'!R50</f>
        <v>39</v>
      </c>
      <c r="K14" s="95">
        <f>'Data Ocupacion'!T50</f>
        <v>39</v>
      </c>
      <c r="L14" s="95">
        <f>'Data Ocupacion'!V50</f>
        <v>39</v>
      </c>
      <c r="M14" s="95">
        <f>'Data Ocupacion'!X50</f>
        <v>39</v>
      </c>
      <c r="N14" s="95">
        <f>'Data Ocupacion'!Z50</f>
        <v>38</v>
      </c>
      <c r="O14" s="95">
        <f>'Data Ocupacion'!AB50</f>
        <v>0</v>
      </c>
      <c r="P14" s="95">
        <f>'Data Ocupacion'!AD50</f>
        <v>0</v>
      </c>
      <c r="Q14" s="95">
        <f>'Data Ocupacion'!AF50</f>
        <v>39</v>
      </c>
      <c r="R14" s="95">
        <f>'Data Ocupacion'!AH50</f>
        <v>39</v>
      </c>
      <c r="S14" s="95">
        <f>'Data Ocupacion'!AJ50</f>
        <v>39</v>
      </c>
      <c r="T14" s="95">
        <f>'Data Ocupacion'!AL50</f>
        <v>39</v>
      </c>
      <c r="U14" s="95">
        <f>'Data Ocupacion'!AN50</f>
        <v>38</v>
      </c>
      <c r="V14" s="95">
        <f>'Data Ocupacion'!AP50</f>
        <v>0</v>
      </c>
      <c r="W14" s="95">
        <f>'Data Ocupacion'!AR50</f>
        <v>0</v>
      </c>
      <c r="X14" s="95">
        <f>'Data Ocupacion'!AT50</f>
        <v>39</v>
      </c>
      <c r="Y14" s="95">
        <f>'Data Ocupacion'!AV50</f>
        <v>39</v>
      </c>
      <c r="Z14" s="95">
        <f>'Data Ocupacion'!AX50</f>
        <v>38</v>
      </c>
      <c r="AA14" s="95">
        <f>'Data Ocupacion'!AZ50</f>
        <v>39</v>
      </c>
      <c r="AB14" s="95">
        <f>'Data Ocupacion'!BB50</f>
        <v>39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36</v>
      </c>
      <c r="D15" s="95">
        <f>'Data Ocupacion'!F51</f>
        <v>34</v>
      </c>
      <c r="E15" s="95">
        <f>'Data Ocupacion'!H51</f>
        <v>34</v>
      </c>
      <c r="F15" s="95">
        <f>'Data Ocupacion'!J51</f>
        <v>35</v>
      </c>
      <c r="G15" s="95">
        <f>'Data Ocupacion'!L51</f>
        <v>35</v>
      </c>
      <c r="H15" s="95">
        <f>'Data Ocupacion'!N51</f>
        <v>0</v>
      </c>
      <c r="I15" s="95">
        <f>'Data Ocupacion'!P51</f>
        <v>0</v>
      </c>
      <c r="J15" s="95">
        <f>'Data Ocupacion'!R51</f>
        <v>35</v>
      </c>
      <c r="K15" s="95">
        <f>'Data Ocupacion'!T51</f>
        <v>35</v>
      </c>
      <c r="L15" s="95">
        <f>'Data Ocupacion'!V51</f>
        <v>35</v>
      </c>
      <c r="M15" s="95">
        <f>'Data Ocupacion'!X51</f>
        <v>35</v>
      </c>
      <c r="N15" s="95">
        <f>'Data Ocupacion'!Z51</f>
        <v>35</v>
      </c>
      <c r="O15" s="95">
        <f>'Data Ocupacion'!AB51</f>
        <v>0</v>
      </c>
      <c r="P15" s="95">
        <f>'Data Ocupacion'!AD51</f>
        <v>0</v>
      </c>
      <c r="Q15" s="95">
        <f>'Data Ocupacion'!AF51</f>
        <v>35</v>
      </c>
      <c r="R15" s="95">
        <f>'Data Ocupacion'!AH51</f>
        <v>35</v>
      </c>
      <c r="S15" s="95">
        <f>'Data Ocupacion'!AJ51</f>
        <v>35</v>
      </c>
      <c r="T15" s="95">
        <f>'Data Ocupacion'!AL51</f>
        <v>35</v>
      </c>
      <c r="U15" s="95">
        <f>'Data Ocupacion'!AN51</f>
        <v>34</v>
      </c>
      <c r="V15" s="95">
        <f>'Data Ocupacion'!AP51</f>
        <v>0</v>
      </c>
      <c r="W15" s="95">
        <f>'Data Ocupacion'!AR51</f>
        <v>0</v>
      </c>
      <c r="X15" s="95">
        <f>'Data Ocupacion'!AT51</f>
        <v>35</v>
      </c>
      <c r="Y15" s="95">
        <f>'Data Ocupacion'!AV51</f>
        <v>35</v>
      </c>
      <c r="Z15" s="95">
        <f>'Data Ocupacion'!AX51</f>
        <v>34</v>
      </c>
      <c r="AA15" s="95">
        <f>'Data Ocupacion'!AZ51</f>
        <v>35</v>
      </c>
      <c r="AB15" s="95">
        <f>'Data Ocupacion'!BB51</f>
        <v>35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3</v>
      </c>
      <c r="F16" s="95">
        <f>'Data Ocupacion'!J53</f>
        <v>4</v>
      </c>
      <c r="G16" s="95">
        <f>'Data Ocupacion'!L53</f>
        <v>4</v>
      </c>
      <c r="H16" s="95">
        <f>'Data Ocupacion'!N53</f>
        <v>0</v>
      </c>
      <c r="I16" s="95">
        <f>'Data Ocupacion'!P53</f>
        <v>0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4</v>
      </c>
      <c r="N16" s="95">
        <f>'Data Ocupacion'!Z53</f>
        <v>4</v>
      </c>
      <c r="O16" s="95">
        <f>'Data Ocupacion'!AB53</f>
        <v>0</v>
      </c>
      <c r="P16" s="95">
        <f>'Data Ocupacion'!AD53</f>
        <v>0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4</v>
      </c>
      <c r="U16" s="95">
        <f>'Data Ocupacion'!AN53</f>
        <v>4</v>
      </c>
      <c r="V16" s="95">
        <f>'Data Ocupacion'!AP53</f>
        <v>0</v>
      </c>
      <c r="W16" s="95">
        <f>'Data Ocupacion'!AR53</f>
        <v>0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4</v>
      </c>
      <c r="AB16" s="95">
        <f>'Data Ocupacion'!BB53</f>
        <v>4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3</v>
      </c>
      <c r="D19" s="83">
        <f>'KM-Servicio'!Q12</f>
        <v>5</v>
      </c>
      <c r="E19" s="83">
        <f>'KM-Servicio'!Q19</f>
        <v>4</v>
      </c>
      <c r="F19" s="83">
        <f>'KM-Servicio'!Q26</f>
        <v>4</v>
      </c>
      <c r="G19" s="83">
        <f>'KM-Servicio'!Q33</f>
        <v>1</v>
      </c>
      <c r="H19" s="83">
        <f>'KM-Servicio'!Q40</f>
        <v>0</v>
      </c>
      <c r="I19" s="83">
        <f>'KM-Servicio'!Q47</f>
        <v>0</v>
      </c>
      <c r="J19" s="83">
        <f>'KM-Servicio'!Q54</f>
        <v>4</v>
      </c>
      <c r="K19" s="83">
        <f>'KM-Servicio'!Q61</f>
        <v>3</v>
      </c>
      <c r="L19" s="83">
        <f>'KM-Servicio'!Q68</f>
        <v>4</v>
      </c>
      <c r="M19" s="83">
        <f>'KM-Servicio'!Q75</f>
        <v>3</v>
      </c>
      <c r="N19" s="83">
        <f>'KM-Servicio'!Q82</f>
        <v>3</v>
      </c>
      <c r="O19" s="83">
        <f>'KM-Servicio'!Q89</f>
        <v>0</v>
      </c>
      <c r="P19" s="83">
        <f>'KM-Servicio'!Q96</f>
        <v>0</v>
      </c>
      <c r="Q19" s="83">
        <f>'KM-Servicio'!Q103</f>
        <v>2</v>
      </c>
      <c r="R19" s="83">
        <f>'KM-Servicio'!Q110</f>
        <v>2</v>
      </c>
      <c r="S19" s="83">
        <f>'KM-Servicio'!Q117</f>
        <v>2</v>
      </c>
      <c r="T19" s="83">
        <f>'KM-Servicio'!Q124</f>
        <v>0</v>
      </c>
      <c r="U19" s="83">
        <f>'KM-Servicio'!Q131</f>
        <v>3</v>
      </c>
      <c r="V19" s="83">
        <f>'KM-Servicio'!Q138</f>
        <v>0</v>
      </c>
      <c r="W19" s="83">
        <f>'KM-Servicio'!Q145</f>
        <v>0</v>
      </c>
      <c r="X19" s="83">
        <f>'KM-Servicio'!Q152</f>
        <v>4</v>
      </c>
      <c r="Y19" s="83">
        <f>'KM-Servicio'!Q159</f>
        <v>1</v>
      </c>
      <c r="Z19" s="83">
        <f>'KM-Servicio'!Q166</f>
        <v>2</v>
      </c>
      <c r="AA19" s="83">
        <f>'KM-Servicio'!Q173</f>
        <v>3</v>
      </c>
      <c r="AB19" s="83">
        <f>'KM-Servicio'!Q180</f>
        <v>1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25">
      <c r="A20" s="86" t="s">
        <v>174</v>
      </c>
      <c r="B20" s="82">
        <v>-17.73</v>
      </c>
      <c r="C20" s="83">
        <f>'KM-Servicio'!T6</f>
        <v>6</v>
      </c>
      <c r="D20" s="83">
        <f>'KM-Servicio'!T13</f>
        <v>1</v>
      </c>
      <c r="E20" s="83">
        <f>'KM-Servicio'!T20</f>
        <v>3</v>
      </c>
      <c r="F20" s="83">
        <f>'KM-Servicio'!T27</f>
        <v>2</v>
      </c>
      <c r="G20" s="83">
        <f>'KM-Servicio'!T34</f>
        <v>2</v>
      </c>
      <c r="H20" s="83">
        <f>'KM-Servicio'!T41</f>
        <v>0</v>
      </c>
      <c r="I20" s="83">
        <f>'KM-Servicio'!T48</f>
        <v>0</v>
      </c>
      <c r="J20" s="83">
        <f>'KM-Servicio'!T55</f>
        <v>4</v>
      </c>
      <c r="K20" s="83">
        <f>'KM-Servicio'!T62</f>
        <v>3</v>
      </c>
      <c r="L20" s="83">
        <f>'KM-Servicio'!T69</f>
        <v>0</v>
      </c>
      <c r="M20" s="83">
        <f>'KM-Servicio'!T76</f>
        <v>2</v>
      </c>
      <c r="N20" s="83">
        <f>'KM-Servicio'!T83</f>
        <v>2</v>
      </c>
      <c r="O20" s="83">
        <f>'KM-Servicio'!T90</f>
        <v>0</v>
      </c>
      <c r="P20" s="83">
        <f>'KM-Servicio'!T97</f>
        <v>0</v>
      </c>
      <c r="Q20" s="83">
        <f>'KM-Servicio'!T104</f>
        <v>3</v>
      </c>
      <c r="R20" s="83">
        <f>'KM-Servicio'!T111</f>
        <v>3</v>
      </c>
      <c r="S20" s="83">
        <f>'KM-Servicio'!T118</f>
        <v>3</v>
      </c>
      <c r="T20" s="83">
        <f>'KM-Servicio'!T125</f>
        <v>3</v>
      </c>
      <c r="U20" s="83">
        <f>'KM-Servicio'!T132</f>
        <v>3</v>
      </c>
      <c r="V20" s="83">
        <f>'KM-Servicio'!T139</f>
        <v>0</v>
      </c>
      <c r="W20" s="83">
        <f>'KM-Servicio'!T146</f>
        <v>0</v>
      </c>
      <c r="X20" s="83">
        <f>'KM-Servicio'!T153</f>
        <v>5</v>
      </c>
      <c r="Y20" s="83">
        <f>'KM-Servicio'!T160</f>
        <v>0</v>
      </c>
      <c r="Z20" s="83">
        <f>'KM-Servicio'!T167</f>
        <v>2</v>
      </c>
      <c r="AA20" s="83">
        <f>'KM-Servicio'!T174</f>
        <v>3</v>
      </c>
      <c r="AB20" s="83">
        <f>'KM-Servicio'!T181</f>
        <v>2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3</v>
      </c>
      <c r="G22" s="83">
        <f>'KM-Servicio'!Q35</f>
        <v>3</v>
      </c>
      <c r="H22" s="83">
        <v>0</v>
      </c>
      <c r="I22" s="83">
        <v>0</v>
      </c>
      <c r="J22" s="83">
        <v>3</v>
      </c>
      <c r="K22" s="83">
        <v>3</v>
      </c>
      <c r="L22" s="83">
        <v>2</v>
      </c>
      <c r="M22" s="83">
        <v>3</v>
      </c>
      <c r="N22" s="83">
        <v>1</v>
      </c>
      <c r="O22" s="83">
        <v>0</v>
      </c>
      <c r="P22" s="83">
        <v>0</v>
      </c>
      <c r="Q22" s="83">
        <v>3</v>
      </c>
      <c r="R22" s="83">
        <v>3</v>
      </c>
      <c r="S22" s="83">
        <v>3</v>
      </c>
      <c r="T22" s="83">
        <v>3</v>
      </c>
      <c r="U22" s="83">
        <v>2</v>
      </c>
      <c r="V22" s="83">
        <v>0</v>
      </c>
      <c r="W22" s="83">
        <v>0</v>
      </c>
      <c r="X22" s="83">
        <v>3</v>
      </c>
      <c r="Y22" s="83">
        <v>4</v>
      </c>
      <c r="Z22" s="83">
        <v>2</v>
      </c>
      <c r="AA22" s="83">
        <v>2</v>
      </c>
      <c r="AB22" s="83">
        <v>3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5720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227</v>
      </c>
      <c r="F27" s="91">
        <f t="shared" si="1"/>
        <v>229</v>
      </c>
      <c r="G27" s="91">
        <f t="shared" si="1"/>
        <v>229</v>
      </c>
      <c r="H27" s="91">
        <f t="shared" si="1"/>
        <v>147</v>
      </c>
      <c r="I27" s="91">
        <f t="shared" si="1"/>
        <v>111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229</v>
      </c>
      <c r="N27" s="91">
        <f t="shared" si="1"/>
        <v>228</v>
      </c>
      <c r="O27" s="91">
        <f t="shared" si="1"/>
        <v>147</v>
      </c>
      <c r="P27" s="91">
        <f t="shared" si="1"/>
        <v>111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229</v>
      </c>
      <c r="U27" s="91">
        <f t="shared" si="1"/>
        <v>229</v>
      </c>
      <c r="V27" s="91">
        <f t="shared" si="1"/>
        <v>147</v>
      </c>
      <c r="W27" s="91">
        <f t="shared" si="1"/>
        <v>111</v>
      </c>
      <c r="X27" s="91">
        <f t="shared" si="1"/>
        <v>229</v>
      </c>
      <c r="Y27" s="91">
        <f t="shared" si="1"/>
        <v>229</v>
      </c>
      <c r="Z27" s="91">
        <f t="shared" si="1"/>
        <v>229</v>
      </c>
      <c r="AA27" s="91">
        <f t="shared" si="1"/>
        <v>229</v>
      </c>
      <c r="AB27" s="91">
        <f t="shared" si="1"/>
        <v>229</v>
      </c>
      <c r="AC27" s="91">
        <f t="shared" si="1"/>
        <v>147</v>
      </c>
      <c r="AD27" s="91">
        <f t="shared" si="1"/>
        <v>111</v>
      </c>
      <c r="AE27" s="91">
        <f t="shared" ref="AE27" si="2">SUM(AE5:AE10)</f>
        <v>111</v>
      </c>
      <c r="AF27" s="91">
        <f t="shared" ref="AF27" si="3">SUM(AF5:AF10)</f>
        <v>0</v>
      </c>
    </row>
    <row r="28" spans="1:32" x14ac:dyDescent="0.25">
      <c r="A28" s="90" t="s">
        <v>65</v>
      </c>
      <c r="B28" s="226">
        <f t="shared" si="0"/>
        <v>7486</v>
      </c>
      <c r="C28" s="91">
        <f t="shared" ref="C28:AD28" si="4">SUM(C12:C17)</f>
        <v>314</v>
      </c>
      <c r="D28" s="91">
        <f t="shared" si="4"/>
        <v>314</v>
      </c>
      <c r="E28" s="91">
        <f t="shared" si="4"/>
        <v>312</v>
      </c>
      <c r="F28" s="91">
        <f t="shared" si="4"/>
        <v>316</v>
      </c>
      <c r="G28" s="91">
        <f t="shared" si="4"/>
        <v>316</v>
      </c>
      <c r="H28" s="91">
        <f t="shared" si="4"/>
        <v>150</v>
      </c>
      <c r="I28" s="91">
        <f t="shared" si="4"/>
        <v>114</v>
      </c>
      <c r="J28" s="91">
        <f t="shared" si="4"/>
        <v>316</v>
      </c>
      <c r="K28" s="91">
        <f t="shared" si="4"/>
        <v>314</v>
      </c>
      <c r="L28" s="91">
        <f t="shared" si="4"/>
        <v>318</v>
      </c>
      <c r="M28" s="91">
        <f t="shared" si="4"/>
        <v>318</v>
      </c>
      <c r="N28" s="91">
        <f t="shared" si="4"/>
        <v>314</v>
      </c>
      <c r="O28" s="91">
        <f t="shared" si="4"/>
        <v>150</v>
      </c>
      <c r="P28" s="91">
        <f t="shared" si="4"/>
        <v>114</v>
      </c>
      <c r="Q28" s="91">
        <f t="shared" si="4"/>
        <v>316</v>
      </c>
      <c r="R28" s="91">
        <f t="shared" si="4"/>
        <v>316</v>
      </c>
      <c r="S28" s="91">
        <f t="shared" si="4"/>
        <v>320</v>
      </c>
      <c r="T28" s="91">
        <f t="shared" si="4"/>
        <v>316</v>
      </c>
      <c r="U28" s="91">
        <f t="shared" si="4"/>
        <v>316</v>
      </c>
      <c r="V28" s="91">
        <f t="shared" si="4"/>
        <v>150</v>
      </c>
      <c r="W28" s="91">
        <f t="shared" si="4"/>
        <v>114</v>
      </c>
      <c r="X28" s="91">
        <f t="shared" si="4"/>
        <v>316</v>
      </c>
      <c r="Y28" s="91">
        <f t="shared" si="4"/>
        <v>318</v>
      </c>
      <c r="Z28" s="91">
        <f t="shared" si="4"/>
        <v>314</v>
      </c>
      <c r="AA28" s="91">
        <f t="shared" si="4"/>
        <v>316</v>
      </c>
      <c r="AB28" s="91">
        <f t="shared" si="4"/>
        <v>316</v>
      </c>
      <c r="AC28" s="91">
        <f t="shared" si="4"/>
        <v>150</v>
      </c>
      <c r="AD28" s="91">
        <f t="shared" si="4"/>
        <v>114</v>
      </c>
      <c r="AE28" s="91">
        <f t="shared" ref="AE28" si="5">SUM(AE12:AE17)</f>
        <v>114</v>
      </c>
      <c r="AF28" s="91">
        <f t="shared" ref="AF28" si="6">SUM(AF12:AF17)</f>
        <v>0</v>
      </c>
    </row>
    <row r="29" spans="1:32" x14ac:dyDescent="0.25">
      <c r="A29" s="90" t="s">
        <v>92</v>
      </c>
      <c r="B29" s="226">
        <f t="shared" si="0"/>
        <v>298757.06000000006</v>
      </c>
      <c r="C29" s="91">
        <f>(C12*$B$12+C13*$B$13+C14*$B$14+C15*$B$15+C17*$B$17+C20*$B$20+C16*$B$16+C19*$B$19+C22*$B$22+C23*$B$23+C21*B21)</f>
        <v>12235.68</v>
      </c>
      <c r="D29" s="91">
        <f>(D12*$B$12+D13*$B$13+D14*$B$14+D15*$B$15+D17*$B$17+D20*$B$20+D16*$B$16+D19*$B$19+D21*$B$21+D23*$B$23+D24*B24+D22*B22)</f>
        <v>12348.660000000002</v>
      </c>
      <c r="E29" s="91">
        <f>(E12*$B$12+E13*$B$13+E14*$B$14+E15*$B$15+E17*$B$17+E20*$B$20+E16*$B$16+E19*$B$19+E21*$B$21+E23*$B$23+E24*B24+E22*B22)</f>
        <v>12276.42</v>
      </c>
      <c r="F29" s="91">
        <f>(F12*$B$12+F13*$B$13+F14*$B$14+F15*$B$15+F17*$B$17+F20*$B$20+F16*$B$16+F19*$B$19+F21*$B$21+F22*$B$22+F24*B24)</f>
        <v>12403.170000000002</v>
      </c>
      <c r="G29" s="91">
        <f>(G12*$B$12+G13*$B$13+G14*$B$14+G15*$B$15+G17*$B$17+G20*$B$20+G16*$B$16+G19*$B$19+G21*$B$21+G22*$B$22+G24*B24)</f>
        <v>12456.360000000002</v>
      </c>
      <c r="H29" s="91">
        <f>(H12*$B$12+H13*$B$13+H14*$B$14+H15*$B$15+H17*$B$17+H20*$B$20+H16*$B$16+H19*$B$19+H21*$B$21+H22*$B$22+H23*B23+H25*B25)</f>
        <v>6469.5</v>
      </c>
      <c r="I29" s="91">
        <f>(I12*$B$12+I13*$B$13+I14*$B$14+I15*$B$15+I17*$B$17+I20*$B$20+I16*$B$16+I19*$B$19+I21*$B$21+I22*$B$22+I24*B24)</f>
        <v>4916.8200000000006</v>
      </c>
      <c r="J29" s="91">
        <f>(J12*$B$12+J13*$B$13+J14*$B$14+J15*$B$15+J17*$B$17+J20*$B$20+J16*$B$16+J19*$B$19+J21*$B$21+J22*$B$22+J24*B24)</f>
        <v>12367.710000000001</v>
      </c>
      <c r="K29" s="91">
        <f>(K12*$B$12+K13*$B$13+K14*$B$14+K15*$B$15+K17*$B$17+K20*$B$20+K16*$B$16+K19*$B$19+K21*$B$21+K22*$B$22+K24*B24)</f>
        <v>12316.910000000002</v>
      </c>
      <c r="L29" s="91">
        <f>(L12*$B$12+L13*$B$13+L14*$B$14+L15*$B$15+L17*$B$17+L20*$B$20+L16*$B$16+L19*$B$19+L21*$B$21+L22*$B$22+L24*B24)</f>
        <v>12528.600000000002</v>
      </c>
      <c r="M29" s="91">
        <f>(M12*$B$12+M13*$B$13+M14*$B$14+M15*$B$15+M17*$B$17+M20*$B$20+M16*$B$16+M19*$B$19+M21*$B$21+M22*$B$22+M24*B24)</f>
        <v>12507.160000000003</v>
      </c>
      <c r="N29" s="91">
        <f>(N12*$B$12+N13*$B$13+N14*$B$14+N15*$B$15+N17*$B$17+N20*$B$20+N16*$B$16+N19*$B$19+N21*$B$21+N22*$B$22+N24*B24)</f>
        <v>12356.080000000004</v>
      </c>
      <c r="O29" s="91">
        <f>(O12*$B$12+O13*$B$13+O14*$B$14+O15*$B$15+O17*$B$17+O20*$B$20+O16*$B$16+O19*$B$19+O21*$B$21+O22*$B$22+O23*B23)</f>
        <v>6469.5</v>
      </c>
      <c r="P29" s="91">
        <f>(P12*$B$12+P13*$B$13+P14*$B$14+P15*$B$15+P17*$B$17+P20*$B$20+P16*$B$16+P19*$B$19+P21*$B$21+P22*$B$22+P24*B24)</f>
        <v>4916.8200000000006</v>
      </c>
      <c r="Q29" s="91">
        <f>(Q12*$B$12+Q13*$B$13+Q14*$B$14+Q15*$B$15+Q17*$B$17+Q20*$B$20+Q16*$B$16+Q19*$B$19+Q21*$B$21+Q22*$B$22)</f>
        <v>12420.900000000001</v>
      </c>
      <c r="R29" s="91">
        <f>(R12*$B$12+R13*$B$13+R14*$B$14+R15*$B$15+R17*$B$17+R20*$B$20+R16*$B$16+R19*$B$19+R21*$B$21+R22*$B$22)</f>
        <v>12420.900000000001</v>
      </c>
      <c r="S29" s="91">
        <f>(S12*$B$12+S13*$B$13+S14*$B$14+S15*$B$15+S17*$B$17+S20*$B$20+S16*$B$16+S19*$B$19+S21*$B$21+S22*$B$22)</f>
        <v>12593.420000000002</v>
      </c>
      <c r="T29" s="91">
        <f>(T12*$B$12+T13*$B$13+T14*$B$14+T15*$B$15+T17*$B$17+T20*$B$20+T16*$B$16+T19*$B$19+T21*$B$21+T22*$B$22)</f>
        <v>12456.36</v>
      </c>
      <c r="U29" s="91">
        <f>(U12*$B$12+U13*$B$13+U14*$B$14+U15*$B$15+U17*$B$17+U20*$B$20+U16*$B$16+U19*$B$19+U21*$B$21+U22*$B$22+U24*B24)</f>
        <v>12434.92</v>
      </c>
      <c r="V29" s="91">
        <f>(V12*$B$12+V13*$B$13+V14*$B$14+V15*$B$15+V17*$B$17+V20*$B$20+V16*$B$16+V19*$B$19+V21*$B$21+V22*$B$22)</f>
        <v>6469.5</v>
      </c>
      <c r="W29" s="91">
        <f t="shared" ref="W29:AD29" si="7">(W12*$B$12+W13*$B$13+W14*$B$14+W15*$B$15+W17*$B$17+W20*$B$20+W16*$B$16+W19*$B$19+W21*$B$21+W22*$B$22)</f>
        <v>4916.8200000000006</v>
      </c>
      <c r="X29" s="91">
        <f t="shared" si="7"/>
        <v>12349.980000000001</v>
      </c>
      <c r="Y29" s="91">
        <f t="shared" si="7"/>
        <v>12574.370000000003</v>
      </c>
      <c r="Z29" s="91">
        <f t="shared" si="7"/>
        <v>12384.120000000003</v>
      </c>
      <c r="AA29" s="91">
        <f t="shared" si="7"/>
        <v>12406.88</v>
      </c>
      <c r="AB29" s="91">
        <f t="shared" si="7"/>
        <v>12456.360000000002</v>
      </c>
      <c r="AC29" s="91">
        <f t="shared" si="7"/>
        <v>6469.5</v>
      </c>
      <c r="AD29" s="91">
        <f t="shared" si="7"/>
        <v>4916.8200000000006</v>
      </c>
      <c r="AE29" s="91">
        <f t="shared" ref="AE29:AF29" si="8">(AE12*$B$12+AE13*$B$13+AE14*$B$14+AE15*$B$15+AE17*$B$17+AE20*$B$20+AE16*$B$16+AE19*$B$19+AE21*$B$21+AE22*$B$22)</f>
        <v>4916.8200000000006</v>
      </c>
      <c r="AF29" s="91">
        <f t="shared" si="8"/>
        <v>0</v>
      </c>
    </row>
    <row r="30" spans="1:32" x14ac:dyDescent="0.25">
      <c r="A30" s="90" t="s">
        <v>93</v>
      </c>
      <c r="B30" s="226">
        <f t="shared" si="0"/>
        <v>226263.7699999999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8797.9800000000014</v>
      </c>
      <c r="F30" s="91">
        <f t="shared" si="9"/>
        <v>8852.49</v>
      </c>
      <c r="G30" s="91">
        <f t="shared" si="9"/>
        <v>8852.49</v>
      </c>
      <c r="H30" s="91">
        <f t="shared" si="9"/>
        <v>6340.1100000000006</v>
      </c>
      <c r="I30" s="91">
        <f t="shared" si="9"/>
        <v>4787.43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8852.49</v>
      </c>
      <c r="N30" s="91">
        <f t="shared" si="9"/>
        <v>8823.380000000001</v>
      </c>
      <c r="O30" s="91">
        <f t="shared" si="9"/>
        <v>6340.1100000000006</v>
      </c>
      <c r="P30" s="91">
        <f t="shared" si="9"/>
        <v>4787.43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8852.49</v>
      </c>
      <c r="U30" s="91">
        <f t="shared" si="9"/>
        <v>8852.49</v>
      </c>
      <c r="V30" s="91">
        <f t="shared" si="9"/>
        <v>6340.1100000000006</v>
      </c>
      <c r="W30" s="91">
        <f t="shared" si="9"/>
        <v>4787.43</v>
      </c>
      <c r="X30" s="91">
        <f t="shared" si="9"/>
        <v>8852.49</v>
      </c>
      <c r="Y30" s="91">
        <f t="shared" si="9"/>
        <v>8852.49</v>
      </c>
      <c r="Z30" s="91">
        <f t="shared" si="9"/>
        <v>8852.49</v>
      </c>
      <c r="AA30" s="91">
        <f t="shared" si="9"/>
        <v>8852.49</v>
      </c>
      <c r="AB30" s="91">
        <f t="shared" si="9"/>
        <v>8852.49</v>
      </c>
      <c r="AC30" s="91">
        <f t="shared" si="9"/>
        <v>6340.1100000000006</v>
      </c>
      <c r="AD30" s="91">
        <f t="shared" si="9"/>
        <v>4787.43</v>
      </c>
      <c r="AE30" s="91">
        <f t="shared" ref="AE30" si="10">$B$5*AE5+$B$6*AE6+$B$7*AE7+$B$8*AE8+$B$10*AE10+$B$9*AE9</f>
        <v>4787.43</v>
      </c>
      <c r="AF30" s="91">
        <f t="shared" ref="AF30" si="11">$B$5*AF5+$B$6*AF6+$B$7*AF7+$B$8*AF8+$B$10*AF10+$B$9*AF9</f>
        <v>0</v>
      </c>
    </row>
    <row r="31" spans="1:32" x14ac:dyDescent="0.25">
      <c r="A31" s="90" t="s">
        <v>94</v>
      </c>
      <c r="B31" s="226">
        <f t="shared" si="0"/>
        <v>31070734.24000001</v>
      </c>
      <c r="C31" s="91">
        <f t="shared" ref="C31:AD31" si="12">C29*104</f>
        <v>1272510.72</v>
      </c>
      <c r="D31" s="91">
        <f t="shared" si="12"/>
        <v>1284260.6400000001</v>
      </c>
      <c r="E31" s="91">
        <f t="shared" si="12"/>
        <v>1276747.68</v>
      </c>
      <c r="F31" s="91">
        <f t="shared" si="12"/>
        <v>1289929.6800000002</v>
      </c>
      <c r="G31" s="91">
        <f t="shared" si="12"/>
        <v>1295461.4400000002</v>
      </c>
      <c r="H31" s="91">
        <f t="shared" si="12"/>
        <v>672828</v>
      </c>
      <c r="I31" s="91">
        <f t="shared" si="12"/>
        <v>511349.28000000009</v>
      </c>
      <c r="J31" s="91">
        <f t="shared" si="12"/>
        <v>1286241.8400000001</v>
      </c>
      <c r="K31" s="91">
        <f t="shared" si="12"/>
        <v>1280958.6400000001</v>
      </c>
      <c r="L31" s="91">
        <f t="shared" si="12"/>
        <v>1302974.4000000001</v>
      </c>
      <c r="M31" s="91">
        <f t="shared" si="12"/>
        <v>1300744.6400000004</v>
      </c>
      <c r="N31" s="91">
        <f t="shared" si="12"/>
        <v>1285032.3200000003</v>
      </c>
      <c r="O31" s="91">
        <f t="shared" si="12"/>
        <v>672828</v>
      </c>
      <c r="P31" s="91">
        <f t="shared" si="12"/>
        <v>511349.28000000009</v>
      </c>
      <c r="Q31" s="91">
        <f t="shared" si="12"/>
        <v>1291773.6000000001</v>
      </c>
      <c r="R31" s="91">
        <f t="shared" si="12"/>
        <v>1291773.6000000001</v>
      </c>
      <c r="S31" s="91">
        <f t="shared" si="12"/>
        <v>1309715.6800000002</v>
      </c>
      <c r="T31" s="91">
        <f t="shared" si="12"/>
        <v>1295461.44</v>
      </c>
      <c r="U31" s="91">
        <f t="shared" si="12"/>
        <v>1293231.68</v>
      </c>
      <c r="V31" s="91">
        <f t="shared" si="12"/>
        <v>672828</v>
      </c>
      <c r="W31" s="91">
        <f t="shared" si="12"/>
        <v>511349.28000000009</v>
      </c>
      <c r="X31" s="91">
        <f t="shared" si="12"/>
        <v>1284397.9200000002</v>
      </c>
      <c r="Y31" s="91">
        <f t="shared" si="12"/>
        <v>1307734.4800000002</v>
      </c>
      <c r="Z31" s="91">
        <f t="shared" si="12"/>
        <v>1287948.4800000002</v>
      </c>
      <c r="AA31" s="91">
        <f t="shared" si="12"/>
        <v>1290315.52</v>
      </c>
      <c r="AB31" s="91">
        <f t="shared" si="12"/>
        <v>1295461.4400000002</v>
      </c>
      <c r="AC31" s="91">
        <f t="shared" si="12"/>
        <v>672828</v>
      </c>
      <c r="AD31" s="91">
        <f t="shared" si="12"/>
        <v>511349.28000000009</v>
      </c>
      <c r="AE31" s="91">
        <f t="shared" ref="AE31" si="13">AE29*104</f>
        <v>511349.28000000009</v>
      </c>
      <c r="AF31" s="91">
        <f t="shared" ref="AF31" si="14">AF29*104</f>
        <v>0</v>
      </c>
    </row>
    <row r="32" spans="1:32" x14ac:dyDescent="0.25">
      <c r="A32" s="90" t="s">
        <v>95</v>
      </c>
      <c r="B32" s="89">
        <f t="shared" si="0"/>
        <v>597514.12000000011</v>
      </c>
      <c r="C32" s="91">
        <f>C29*2</f>
        <v>24471.360000000001</v>
      </c>
      <c r="D32" s="91">
        <f t="shared" ref="D32:AD32" si="15">D29*2</f>
        <v>24697.320000000003</v>
      </c>
      <c r="E32" s="91">
        <f t="shared" si="15"/>
        <v>24552.84</v>
      </c>
      <c r="F32" s="91">
        <f t="shared" si="15"/>
        <v>24806.340000000004</v>
      </c>
      <c r="G32" s="91">
        <f t="shared" si="15"/>
        <v>24912.720000000005</v>
      </c>
      <c r="H32" s="91">
        <f t="shared" si="15"/>
        <v>12939</v>
      </c>
      <c r="I32" s="91">
        <f t="shared" si="15"/>
        <v>9833.6400000000012</v>
      </c>
      <c r="J32" s="91">
        <f t="shared" si="15"/>
        <v>24735.420000000002</v>
      </c>
      <c r="K32" s="91">
        <f t="shared" si="15"/>
        <v>24633.820000000003</v>
      </c>
      <c r="L32" s="91">
        <f t="shared" si="15"/>
        <v>25057.200000000004</v>
      </c>
      <c r="M32" s="91">
        <f t="shared" si="15"/>
        <v>25014.320000000007</v>
      </c>
      <c r="N32" s="91">
        <f t="shared" si="15"/>
        <v>24712.160000000007</v>
      </c>
      <c r="O32" s="91">
        <f t="shared" si="15"/>
        <v>12939</v>
      </c>
      <c r="P32" s="91">
        <f t="shared" si="15"/>
        <v>9833.6400000000012</v>
      </c>
      <c r="Q32" s="91">
        <f t="shared" si="15"/>
        <v>24841.800000000003</v>
      </c>
      <c r="R32" s="91">
        <f t="shared" si="15"/>
        <v>24841.800000000003</v>
      </c>
      <c r="S32" s="91">
        <f t="shared" si="15"/>
        <v>25186.840000000004</v>
      </c>
      <c r="T32" s="91">
        <f t="shared" si="15"/>
        <v>24912.720000000001</v>
      </c>
      <c r="U32" s="91">
        <f t="shared" si="15"/>
        <v>24869.84</v>
      </c>
      <c r="V32" s="91">
        <f t="shared" si="15"/>
        <v>12939</v>
      </c>
      <c r="W32" s="91">
        <f t="shared" si="15"/>
        <v>9833.6400000000012</v>
      </c>
      <c r="X32" s="91">
        <f t="shared" si="15"/>
        <v>24699.960000000003</v>
      </c>
      <c r="Y32" s="91">
        <f t="shared" si="15"/>
        <v>25148.740000000005</v>
      </c>
      <c r="Z32" s="91">
        <f t="shared" si="15"/>
        <v>24768.240000000005</v>
      </c>
      <c r="AA32" s="91">
        <f t="shared" si="15"/>
        <v>24813.759999999998</v>
      </c>
      <c r="AB32" s="91">
        <f t="shared" si="15"/>
        <v>24912.720000000005</v>
      </c>
      <c r="AC32" s="91">
        <f t="shared" si="15"/>
        <v>12939</v>
      </c>
      <c r="AD32" s="91">
        <f t="shared" si="15"/>
        <v>9833.6400000000012</v>
      </c>
      <c r="AE32" s="91">
        <f t="shared" ref="AE32" si="16">AE29*2</f>
        <v>9833.6400000000012</v>
      </c>
      <c r="AF32" s="91">
        <f t="shared" ref="AF32" si="17">AF29*2</f>
        <v>0</v>
      </c>
    </row>
    <row r="33" spans="1:32" x14ac:dyDescent="0.25">
      <c r="A33" s="90" t="s">
        <v>96</v>
      </c>
      <c r="B33" s="89">
        <f t="shared" si="0"/>
        <v>2709932</v>
      </c>
      <c r="C33" s="91">
        <f>+C28*362</f>
        <v>113668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114392</v>
      </c>
      <c r="G33" s="91">
        <f t="shared" si="18"/>
        <v>114392</v>
      </c>
      <c r="H33" s="91">
        <f t="shared" si="18"/>
        <v>54300</v>
      </c>
      <c r="I33" s="91">
        <f t="shared" si="18"/>
        <v>41268</v>
      </c>
      <c r="J33" s="91">
        <f t="shared" si="18"/>
        <v>114392</v>
      </c>
      <c r="K33" s="91">
        <f t="shared" si="18"/>
        <v>113668</v>
      </c>
      <c r="L33" s="91">
        <f t="shared" si="18"/>
        <v>115116</v>
      </c>
      <c r="M33" s="91">
        <f t="shared" si="18"/>
        <v>115116</v>
      </c>
      <c r="N33" s="91">
        <f t="shared" si="18"/>
        <v>113668</v>
      </c>
      <c r="O33" s="91">
        <f t="shared" si="18"/>
        <v>54300</v>
      </c>
      <c r="P33" s="91">
        <f t="shared" si="18"/>
        <v>41268</v>
      </c>
      <c r="Q33" s="91">
        <f t="shared" si="18"/>
        <v>114392</v>
      </c>
      <c r="R33" s="91">
        <f t="shared" si="18"/>
        <v>114392</v>
      </c>
      <c r="S33" s="91">
        <f t="shared" si="18"/>
        <v>115840</v>
      </c>
      <c r="T33" s="91">
        <f t="shared" si="18"/>
        <v>114392</v>
      </c>
      <c r="U33" s="91">
        <f t="shared" si="18"/>
        <v>114392</v>
      </c>
      <c r="V33" s="91">
        <f t="shared" si="18"/>
        <v>54300</v>
      </c>
      <c r="W33" s="91">
        <f t="shared" si="18"/>
        <v>41268</v>
      </c>
      <c r="X33" s="91">
        <f t="shared" si="18"/>
        <v>114392</v>
      </c>
      <c r="Y33" s="91">
        <f t="shared" si="18"/>
        <v>115116</v>
      </c>
      <c r="Z33" s="91">
        <f t="shared" si="18"/>
        <v>113668</v>
      </c>
      <c r="AA33" s="91">
        <f t="shared" si="18"/>
        <v>114392</v>
      </c>
      <c r="AB33" s="91">
        <f t="shared" si="18"/>
        <v>114392</v>
      </c>
      <c r="AC33" s="91">
        <f t="shared" si="18"/>
        <v>54300</v>
      </c>
      <c r="AD33" s="91">
        <f t="shared" si="18"/>
        <v>41268</v>
      </c>
      <c r="AE33" s="91">
        <f t="shared" ref="AE33" si="19">+AE28*362</f>
        <v>41268</v>
      </c>
      <c r="AF33" s="91">
        <f t="shared" ref="AF33" si="20">+AF28*362</f>
        <v>0</v>
      </c>
    </row>
    <row r="34" spans="1:32" ht="14.25" customHeight="1" x14ac:dyDescent="0.25">
      <c r="A34" s="92" t="s">
        <v>97</v>
      </c>
      <c r="B34" s="226">
        <f t="shared" si="0"/>
        <v>23691434.85800001</v>
      </c>
      <c r="C34" s="91">
        <f>C29*79.3</f>
        <v>970289.424</v>
      </c>
      <c r="D34" s="91">
        <f t="shared" ref="D34:AD34" si="21">D29*79.3</f>
        <v>979248.73800000013</v>
      </c>
      <c r="E34" s="91">
        <f t="shared" si="21"/>
        <v>973520.10600000003</v>
      </c>
      <c r="F34" s="91">
        <f t="shared" si="21"/>
        <v>983571.38100000017</v>
      </c>
      <c r="G34" s="91">
        <f t="shared" si="21"/>
        <v>987789.34800000011</v>
      </c>
      <c r="H34" s="91">
        <f t="shared" si="21"/>
        <v>513031.35</v>
      </c>
      <c r="I34" s="91">
        <f t="shared" si="21"/>
        <v>389903.82600000006</v>
      </c>
      <c r="J34" s="91">
        <f t="shared" si="21"/>
        <v>980759.40300000005</v>
      </c>
      <c r="K34" s="91">
        <f t="shared" si="21"/>
        <v>976730.96300000011</v>
      </c>
      <c r="L34" s="91">
        <f t="shared" si="21"/>
        <v>993517.9800000001</v>
      </c>
      <c r="M34" s="91">
        <f t="shared" si="21"/>
        <v>991817.78800000029</v>
      </c>
      <c r="N34" s="91">
        <f t="shared" si="21"/>
        <v>979837.1440000002</v>
      </c>
      <c r="O34" s="91">
        <f t="shared" si="21"/>
        <v>513031.35</v>
      </c>
      <c r="P34" s="91">
        <f t="shared" si="21"/>
        <v>389903.82600000006</v>
      </c>
      <c r="Q34" s="91">
        <f t="shared" si="21"/>
        <v>984977.37000000011</v>
      </c>
      <c r="R34" s="91">
        <f t="shared" si="21"/>
        <v>984977.37000000011</v>
      </c>
      <c r="S34" s="91">
        <f t="shared" si="21"/>
        <v>998658.20600000012</v>
      </c>
      <c r="T34" s="91">
        <f t="shared" si="21"/>
        <v>987789.348</v>
      </c>
      <c r="U34" s="91">
        <f t="shared" si="21"/>
        <v>986089.15599999996</v>
      </c>
      <c r="V34" s="91">
        <f t="shared" si="21"/>
        <v>513031.35</v>
      </c>
      <c r="W34" s="91">
        <f t="shared" si="21"/>
        <v>389903.82600000006</v>
      </c>
      <c r="X34" s="91">
        <f t="shared" si="21"/>
        <v>979353.41400000011</v>
      </c>
      <c r="Y34" s="91">
        <f t="shared" si="21"/>
        <v>997147.5410000002</v>
      </c>
      <c r="Z34" s="91">
        <f t="shared" si="21"/>
        <v>982060.71600000013</v>
      </c>
      <c r="AA34" s="91">
        <f t="shared" si="21"/>
        <v>983865.58399999992</v>
      </c>
      <c r="AB34" s="91">
        <f t="shared" si="21"/>
        <v>987789.34800000011</v>
      </c>
      <c r="AC34" s="91">
        <f>AC29*79.3</f>
        <v>513031.35</v>
      </c>
      <c r="AD34" s="91">
        <f t="shared" si="21"/>
        <v>389903.82600000006</v>
      </c>
      <c r="AE34" s="91">
        <f t="shared" ref="AE34" si="22">AE29*79.3</f>
        <v>389903.82600000006</v>
      </c>
      <c r="AF34" s="91">
        <f t="shared" ref="AF34" si="23">AF29*79.3</f>
        <v>0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3" t="s">
        <v>184</v>
      </c>
      <c r="B2" s="374"/>
      <c r="C2" s="374"/>
      <c r="D2" s="374"/>
      <c r="E2" s="374"/>
      <c r="F2" s="374"/>
      <c r="G2" s="374"/>
      <c r="H2" s="374"/>
      <c r="I2" s="374"/>
      <c r="J2" s="374"/>
      <c r="K2" s="374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46174</v>
      </c>
      <c r="B4" s="12">
        <f>'KM-Servicio'!N11</f>
        <v>12591</v>
      </c>
      <c r="C4" s="12">
        <f>B4</f>
        <v>12591</v>
      </c>
      <c r="D4" s="12">
        <f>'KM-Servicio'!W11</f>
        <v>12235.680000000002</v>
      </c>
      <c r="E4" s="12">
        <f>D4</f>
        <v>12235.680000000002</v>
      </c>
      <c r="F4" s="166">
        <f>'KM-Servicio'!O11</f>
        <v>97.177984274481787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970289.424</v>
      </c>
      <c r="J4" s="161" t="s">
        <v>137</v>
      </c>
      <c r="K4" s="164"/>
      <c r="L4" s="162"/>
    </row>
    <row r="5" spans="1:12" x14ac:dyDescent="0.25">
      <c r="A5" s="160">
        <v>46175</v>
      </c>
      <c r="B5" s="12">
        <f>'KM-Servicio'!N18</f>
        <v>12869</v>
      </c>
      <c r="C5" s="12">
        <f>B5+C4</f>
        <v>25460</v>
      </c>
      <c r="D5" s="12">
        <f>'KM-Servicio'!W18</f>
        <v>12348.660000000002</v>
      </c>
      <c r="E5" s="12">
        <f>D5+E4</f>
        <v>24584.340000000004</v>
      </c>
      <c r="F5" s="166">
        <f>'KM-Servicio'!O18</f>
        <v>95.956639987567044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979248.73800000013</v>
      </c>
      <c r="J5" s="161" t="s">
        <v>137</v>
      </c>
      <c r="K5" s="164"/>
      <c r="L5" s="162"/>
    </row>
    <row r="6" spans="1:12" x14ac:dyDescent="0.25">
      <c r="A6" s="160">
        <v>46176</v>
      </c>
      <c r="B6" s="12">
        <f>'KM-Servicio'!N25</f>
        <v>12936</v>
      </c>
      <c r="C6" s="12">
        <f t="shared" ref="C6:C33" si="0">B6+C5</f>
        <v>38396</v>
      </c>
      <c r="D6" s="12">
        <f>'KM-Servicio'!W25</f>
        <v>12276.420000000002</v>
      </c>
      <c r="E6" s="12">
        <f t="shared" ref="E6:E33" si="1">D6+E5</f>
        <v>36860.760000000009</v>
      </c>
      <c r="F6" s="166">
        <f>'KM-Servicio'!O25</f>
        <v>94.901205936920235</v>
      </c>
      <c r="G6" s="167">
        <f>SUM('KM-Servicio'!B25:C25)</f>
        <v>229</v>
      </c>
      <c r="H6" s="167">
        <f>SUM('KM-Servicio'!D25:E25)</f>
        <v>227</v>
      </c>
      <c r="I6" s="12">
        <f>'Oferta Diaria'!E34</f>
        <v>973520.10600000003</v>
      </c>
      <c r="J6" s="161" t="s">
        <v>137</v>
      </c>
      <c r="K6" s="164"/>
      <c r="L6" s="162"/>
    </row>
    <row r="7" spans="1:12" x14ac:dyDescent="0.25">
      <c r="A7" s="160">
        <v>46177</v>
      </c>
      <c r="B7" s="12">
        <f>'KM-Servicio'!N32</f>
        <v>12979</v>
      </c>
      <c r="C7" s="12">
        <f t="shared" si="0"/>
        <v>51375</v>
      </c>
      <c r="D7" s="12">
        <f>'KM-Servicio'!W32</f>
        <v>12403.170000000002</v>
      </c>
      <c r="E7" s="12">
        <f t="shared" si="1"/>
        <v>49263.930000000008</v>
      </c>
      <c r="F7" s="166">
        <f>'KM-Servicio'!O32</f>
        <v>95.563371600277378</v>
      </c>
      <c r="G7" s="167">
        <f>SUM('KM-Servicio'!B32:C32)</f>
        <v>229</v>
      </c>
      <c r="H7" s="167">
        <f>SUM('KM-Servicio'!D32:E32)</f>
        <v>229</v>
      </c>
      <c r="I7" s="12">
        <f>'Oferta Diaria'!F34</f>
        <v>983571.38100000017</v>
      </c>
      <c r="J7" s="161" t="s">
        <v>137</v>
      </c>
      <c r="K7" s="164"/>
      <c r="L7" s="162"/>
    </row>
    <row r="8" spans="1:12" ht="16.5" customHeight="1" x14ac:dyDescent="0.25">
      <c r="A8" s="160">
        <v>46178</v>
      </c>
      <c r="B8" s="12">
        <f>'KM-Servicio'!N39</f>
        <v>12948</v>
      </c>
      <c r="C8" s="12">
        <f t="shared" si="0"/>
        <v>64323</v>
      </c>
      <c r="D8" s="12">
        <f>'KM-Servicio'!W39</f>
        <v>12456.36</v>
      </c>
      <c r="E8" s="12">
        <f t="shared" si="1"/>
        <v>61720.290000000008</v>
      </c>
      <c r="F8" s="166">
        <f>'KM-Servicio'!O39</f>
        <v>96.202965708989808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987789.34800000011</v>
      </c>
      <c r="J8" s="161" t="s">
        <v>137</v>
      </c>
      <c r="K8" s="176"/>
      <c r="L8" s="162"/>
    </row>
    <row r="9" spans="1:12" x14ac:dyDescent="0.25">
      <c r="A9" s="160">
        <v>46179</v>
      </c>
      <c r="B9" s="312">
        <f>'KM-Servicio'!N46</f>
        <v>6582</v>
      </c>
      <c r="C9" s="312">
        <f t="shared" si="0"/>
        <v>70905</v>
      </c>
      <c r="D9" s="312">
        <f>'KM-Servicio'!W46</f>
        <v>6469.5</v>
      </c>
      <c r="E9" s="312">
        <f t="shared" si="1"/>
        <v>68189.790000000008</v>
      </c>
      <c r="F9" s="313">
        <f>'KM-Servicio'!O46</f>
        <v>98.29079307201458</v>
      </c>
      <c r="G9" s="314">
        <f>SUM('KM-Servicio'!B46:C46)</f>
        <v>147</v>
      </c>
      <c r="H9" s="314">
        <f>SUM('KM-Servicio'!D46:E46)</f>
        <v>147</v>
      </c>
      <c r="I9" s="312">
        <f>'Oferta Diaria'!H34</f>
        <v>513031.35</v>
      </c>
      <c r="J9" s="315" t="s">
        <v>138</v>
      </c>
      <c r="K9" s="316"/>
      <c r="L9" s="162"/>
    </row>
    <row r="10" spans="1:12" x14ac:dyDescent="0.25">
      <c r="A10" s="160">
        <v>46180</v>
      </c>
      <c r="B10" s="312">
        <f>'KM-Servicio'!N53</f>
        <v>5011</v>
      </c>
      <c r="C10" s="312">
        <f t="shared" si="0"/>
        <v>75916</v>
      </c>
      <c r="D10" s="312">
        <f>'KM-Servicio'!W53</f>
        <v>4916.8200000000006</v>
      </c>
      <c r="E10" s="312">
        <f t="shared" si="1"/>
        <v>73106.610000000015</v>
      </c>
      <c r="F10" s="313">
        <f>'KM-Servicio'!O53</f>
        <v>98.120534823388567</v>
      </c>
      <c r="G10" s="314">
        <f>SUM('KM-Servicio'!B53:C53)</f>
        <v>111</v>
      </c>
      <c r="H10" s="314">
        <f>SUM('KM-Servicio'!D53:E53)</f>
        <v>111</v>
      </c>
      <c r="I10" s="312">
        <f>'Oferta Diaria'!I34</f>
        <v>389903.82600000006</v>
      </c>
      <c r="J10" s="315" t="s">
        <v>136</v>
      </c>
      <c r="K10" s="317"/>
      <c r="L10" s="162"/>
    </row>
    <row r="11" spans="1:12" x14ac:dyDescent="0.25">
      <c r="A11" s="160">
        <v>46181</v>
      </c>
      <c r="B11" s="312">
        <f>'KM-Servicio'!N60</f>
        <v>12534</v>
      </c>
      <c r="C11" s="312">
        <f t="shared" si="0"/>
        <v>88450</v>
      </c>
      <c r="D11" s="312">
        <f>'KM-Servicio'!W60</f>
        <v>12367.710000000001</v>
      </c>
      <c r="E11" s="312">
        <f t="shared" si="1"/>
        <v>85474.320000000022</v>
      </c>
      <c r="F11" s="313">
        <f>'KM-Servicio'!O60</f>
        <v>98.673288654858794</v>
      </c>
      <c r="G11" s="314">
        <f>SUM('KM-Servicio'!B60:C60)</f>
        <v>229</v>
      </c>
      <c r="H11" s="314">
        <f>SUM('KM-Servicio'!D60:E60)</f>
        <v>229</v>
      </c>
      <c r="I11" s="312">
        <f>'Oferta Diaria'!J34</f>
        <v>980759.40300000005</v>
      </c>
      <c r="J11" s="161" t="s">
        <v>137</v>
      </c>
      <c r="K11" s="316"/>
      <c r="L11" s="162"/>
    </row>
    <row r="12" spans="1:12" x14ac:dyDescent="0.25">
      <c r="A12" s="160">
        <v>46182</v>
      </c>
      <c r="B12" s="12">
        <f>'KM-Servicio'!N67</f>
        <v>12757</v>
      </c>
      <c r="C12" s="12">
        <f t="shared" si="0"/>
        <v>101207</v>
      </c>
      <c r="D12" s="12">
        <f>'KM-Servicio'!W67</f>
        <v>12316.910000000002</v>
      </c>
      <c r="E12" s="12">
        <f t="shared" si="1"/>
        <v>97791.230000000025</v>
      </c>
      <c r="F12" s="166">
        <f>'KM-Servicio'!O67</f>
        <v>96.550207729089919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976730.96300000011</v>
      </c>
      <c r="J12" s="161" t="s">
        <v>137</v>
      </c>
      <c r="K12" s="164"/>
      <c r="L12" s="162"/>
    </row>
    <row r="13" spans="1:12" x14ac:dyDescent="0.25">
      <c r="A13" s="160">
        <v>46183</v>
      </c>
      <c r="B13" s="12">
        <f>'KM-Servicio'!N74</f>
        <v>13155</v>
      </c>
      <c r="C13" s="12">
        <f t="shared" si="0"/>
        <v>114362</v>
      </c>
      <c r="D13" s="12">
        <f>'KM-Servicio'!W74</f>
        <v>12528.600000000002</v>
      </c>
      <c r="E13" s="12">
        <f t="shared" si="1"/>
        <v>110319.83000000003</v>
      </c>
      <c r="F13" s="166">
        <f>'KM-Servicio'!O74</f>
        <v>95.238312428734346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993517.9800000001</v>
      </c>
      <c r="J13" s="161" t="s">
        <v>137</v>
      </c>
      <c r="K13" s="164"/>
      <c r="L13" s="162"/>
    </row>
    <row r="14" spans="1:12" x14ac:dyDescent="0.25">
      <c r="A14" s="160">
        <v>46184</v>
      </c>
      <c r="B14" s="12">
        <f>'KM-Servicio'!N81</f>
        <v>12942</v>
      </c>
      <c r="C14" s="12">
        <f t="shared" si="0"/>
        <v>127304</v>
      </c>
      <c r="D14" s="12">
        <f>'KM-Servicio'!W81</f>
        <v>12507.160000000002</v>
      </c>
      <c r="E14" s="12">
        <f t="shared" si="1"/>
        <v>122826.99000000003</v>
      </c>
      <c r="F14" s="166">
        <f>'KM-Servicio'!O81</f>
        <v>96.640086539947461</v>
      </c>
      <c r="G14" s="167">
        <f>SUM('KM-Servicio'!B81:C81)</f>
        <v>229</v>
      </c>
      <c r="H14" s="167">
        <f>SUM('KM-Servicio'!D81:E81)</f>
        <v>229</v>
      </c>
      <c r="I14" s="12">
        <f>'Oferta Diaria'!M34</f>
        <v>991817.78800000029</v>
      </c>
      <c r="J14" s="161" t="s">
        <v>137</v>
      </c>
      <c r="K14" s="164"/>
      <c r="L14" s="162"/>
    </row>
    <row r="15" spans="1:12" x14ac:dyDescent="0.25">
      <c r="A15" s="160">
        <v>46185</v>
      </c>
      <c r="B15" s="12">
        <f>'KM-Servicio'!N88</f>
        <v>12928</v>
      </c>
      <c r="C15" s="12">
        <f t="shared" si="0"/>
        <v>140232</v>
      </c>
      <c r="D15" s="12">
        <f>'KM-Servicio'!W88</f>
        <v>12356.08</v>
      </c>
      <c r="E15" s="12">
        <f t="shared" si="1"/>
        <v>135183.07000000004</v>
      </c>
      <c r="F15" s="166">
        <f>'KM-Servicio'!O88</f>
        <v>95.576113861386133</v>
      </c>
      <c r="G15" s="167">
        <f>SUM('KM-Servicio'!B88:C88)</f>
        <v>229</v>
      </c>
      <c r="H15" s="167">
        <f>SUM('KM-Servicio'!D88:E88)</f>
        <v>228</v>
      </c>
      <c r="I15" s="12">
        <f>'Oferta Diaria'!N34</f>
        <v>979837.1440000002</v>
      </c>
      <c r="J15" s="161" t="s">
        <v>137</v>
      </c>
      <c r="K15" s="164"/>
      <c r="L15" s="162"/>
    </row>
    <row r="16" spans="1:12" ht="16.5" customHeight="1" x14ac:dyDescent="0.25">
      <c r="A16" s="160">
        <v>46186</v>
      </c>
      <c r="B16" s="312">
        <f>'KM-Servicio'!N95</f>
        <v>6570</v>
      </c>
      <c r="C16" s="312">
        <f t="shared" si="0"/>
        <v>146802</v>
      </c>
      <c r="D16" s="312">
        <f>'KM-Servicio'!W95</f>
        <v>6469.5</v>
      </c>
      <c r="E16" s="312">
        <f t="shared" si="1"/>
        <v>141652.57000000004</v>
      </c>
      <c r="F16" s="313">
        <f>'KM-Servicio'!O95</f>
        <v>98.470319634703202</v>
      </c>
      <c r="G16" s="314">
        <f>SUM('KM-Servicio'!B95:C95)</f>
        <v>147</v>
      </c>
      <c r="H16" s="314">
        <f>SUM('KM-Servicio'!D95:E95)</f>
        <v>147</v>
      </c>
      <c r="I16" s="312">
        <f>'Oferta Diaria'!O34</f>
        <v>513031.35</v>
      </c>
      <c r="J16" s="315" t="s">
        <v>138</v>
      </c>
      <c r="K16" s="316"/>
      <c r="L16" s="162"/>
    </row>
    <row r="17" spans="1:12" x14ac:dyDescent="0.25">
      <c r="A17" s="160">
        <v>46187</v>
      </c>
      <c r="B17" s="312">
        <f>'KM-Servicio'!N102</f>
        <v>4994</v>
      </c>
      <c r="C17" s="312">
        <f t="shared" si="0"/>
        <v>151796</v>
      </c>
      <c r="D17" s="312">
        <f>'KM-Servicio'!W102</f>
        <v>4916.8200000000006</v>
      </c>
      <c r="E17" s="312">
        <f t="shared" si="1"/>
        <v>146569.39000000004</v>
      </c>
      <c r="F17" s="313">
        <f>'KM-Servicio'!O102</f>
        <v>98.454545454545467</v>
      </c>
      <c r="G17" s="314">
        <f>SUM('KM-Servicio'!B102:C102)</f>
        <v>111</v>
      </c>
      <c r="H17" s="314">
        <f>SUM('KM-Servicio'!D102:E102)</f>
        <v>111</v>
      </c>
      <c r="I17" s="312">
        <f>'Oferta Diaria'!P34</f>
        <v>389903.82600000006</v>
      </c>
      <c r="J17" s="315" t="s">
        <v>136</v>
      </c>
      <c r="K17" s="316"/>
      <c r="L17" s="162"/>
    </row>
    <row r="18" spans="1:12" x14ac:dyDescent="0.25">
      <c r="A18" s="160">
        <v>46188</v>
      </c>
      <c r="B18" s="12">
        <f>'KM-Servicio'!N109</f>
        <v>13022</v>
      </c>
      <c r="C18" s="12">
        <f t="shared" si="0"/>
        <v>164818</v>
      </c>
      <c r="D18" s="12">
        <f>'KM-Servicio'!W109</f>
        <v>12420.900000000001</v>
      </c>
      <c r="E18" s="12">
        <f t="shared" si="1"/>
        <v>158990.29000000004</v>
      </c>
      <c r="F18" s="166">
        <f>'KM-Servicio'!O109</f>
        <v>95.383965596682557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984977.37000000011</v>
      </c>
      <c r="J18" s="161" t="s">
        <v>137</v>
      </c>
      <c r="K18" s="164"/>
      <c r="L18" s="162"/>
    </row>
    <row r="19" spans="1:12" ht="14.25" customHeight="1" x14ac:dyDescent="0.25">
      <c r="A19" s="160">
        <v>46189</v>
      </c>
      <c r="B19" s="12">
        <f>'KM-Servicio'!$N$116</f>
        <v>12925</v>
      </c>
      <c r="C19" s="12">
        <f t="shared" si="0"/>
        <v>177743</v>
      </c>
      <c r="D19" s="12">
        <f>'KM-Servicio'!$W$116</f>
        <v>12420.900000000001</v>
      </c>
      <c r="E19" s="12">
        <f t="shared" si="1"/>
        <v>171411.19000000003</v>
      </c>
      <c r="F19" s="166">
        <f>'KM-Servicio'!O116</f>
        <v>96.099806576402329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984977.37000000011</v>
      </c>
      <c r="J19" s="161" t="s">
        <v>137</v>
      </c>
      <c r="K19" s="144"/>
    </row>
    <row r="20" spans="1:12" x14ac:dyDescent="0.25">
      <c r="A20" s="160">
        <v>46190</v>
      </c>
      <c r="B20" s="12">
        <f>'KM-Servicio'!$N$123</f>
        <v>12977</v>
      </c>
      <c r="C20" s="12">
        <f t="shared" si="0"/>
        <v>190720</v>
      </c>
      <c r="D20" s="12">
        <f>'KM-Servicio'!$W$123</f>
        <v>12593.420000000002</v>
      </c>
      <c r="E20" s="12">
        <f t="shared" si="1"/>
        <v>184004.61000000004</v>
      </c>
      <c r="F20" s="166">
        <f>'KM-Servicio'!O123</f>
        <v>97.044155043538581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998658.20600000012</v>
      </c>
      <c r="J20" s="161" t="s">
        <v>137</v>
      </c>
      <c r="K20" s="164"/>
      <c r="L20" s="162"/>
    </row>
    <row r="21" spans="1:12" x14ac:dyDescent="0.25">
      <c r="A21" s="160">
        <v>46191</v>
      </c>
      <c r="B21" s="12">
        <f>'KM-Servicio'!N130</f>
        <v>13062</v>
      </c>
      <c r="C21" s="12">
        <f t="shared" si="0"/>
        <v>203782</v>
      </c>
      <c r="D21" s="12">
        <f>'KM-Servicio'!$W$130</f>
        <v>12456.36</v>
      </c>
      <c r="E21" s="12">
        <f t="shared" si="1"/>
        <v>196460.97000000003</v>
      </c>
      <c r="F21" s="166">
        <f>'KM-Servicio'!O130</f>
        <v>95.363344051446958</v>
      </c>
      <c r="G21" s="167">
        <f>SUM('KM-Servicio'!B130:C130)</f>
        <v>229</v>
      </c>
      <c r="H21" s="167">
        <f>SUM('KM-Servicio'!D130:E130)</f>
        <v>229</v>
      </c>
      <c r="I21" s="12">
        <f>'Oferta Diaria'!T34</f>
        <v>987789.348</v>
      </c>
      <c r="J21" s="161" t="s">
        <v>137</v>
      </c>
      <c r="K21" s="164"/>
      <c r="L21" s="162"/>
    </row>
    <row r="22" spans="1:12" x14ac:dyDescent="0.25">
      <c r="A22" s="160">
        <v>46192</v>
      </c>
      <c r="B22" s="12">
        <f>'KM-Servicio'!N137</f>
        <v>12851</v>
      </c>
      <c r="C22" s="12">
        <f t="shared" si="0"/>
        <v>216633</v>
      </c>
      <c r="D22" s="12">
        <f>'KM-Servicio'!$W$137</f>
        <v>12434.920000000002</v>
      </c>
      <c r="E22" s="12">
        <f t="shared" si="1"/>
        <v>208895.89000000004</v>
      </c>
      <c r="F22" s="171">
        <f>'KM-Servicio'!O137</f>
        <v>96.762275309314461</v>
      </c>
      <c r="G22" s="167">
        <f>SUM('KM-Servicio'!B137:C137)</f>
        <v>229</v>
      </c>
      <c r="H22" s="167">
        <f>SUM('KM-Servicio'!D137:E137)</f>
        <v>229</v>
      </c>
      <c r="I22" s="12">
        <f>'Oferta Diaria'!U34</f>
        <v>986089.15599999996</v>
      </c>
      <c r="J22" s="161" t="s">
        <v>137</v>
      </c>
      <c r="K22" s="164"/>
      <c r="L22" s="162"/>
    </row>
    <row r="23" spans="1:12" x14ac:dyDescent="0.25">
      <c r="A23" s="160">
        <v>46193</v>
      </c>
      <c r="B23" s="312">
        <f>'KM-Servicio'!N144</f>
        <v>6497</v>
      </c>
      <c r="C23" s="312">
        <f t="shared" si="0"/>
        <v>223130</v>
      </c>
      <c r="D23" s="312">
        <f>'KM-Servicio'!$W$144</f>
        <v>6469.5</v>
      </c>
      <c r="E23" s="312">
        <f t="shared" si="1"/>
        <v>215365.39000000004</v>
      </c>
      <c r="F23" s="313">
        <f>'KM-Servicio'!O144</f>
        <v>99.576727720486375</v>
      </c>
      <c r="G23" s="314">
        <f>SUM('KM-Servicio'!B144:C144)</f>
        <v>147</v>
      </c>
      <c r="H23" s="314">
        <f>SUM('KM-Servicio'!D144:E144)</f>
        <v>147</v>
      </c>
      <c r="I23" s="312">
        <f>'Oferta Diaria'!V34</f>
        <v>513031.35</v>
      </c>
      <c r="J23" s="315" t="s">
        <v>138</v>
      </c>
      <c r="K23" s="316"/>
      <c r="L23" s="162"/>
    </row>
    <row r="24" spans="1:12" x14ac:dyDescent="0.25">
      <c r="A24" s="160">
        <v>46194</v>
      </c>
      <c r="B24" s="312">
        <f>'KM-Servicio'!N151</f>
        <v>4966</v>
      </c>
      <c r="C24" s="312">
        <f t="shared" si="0"/>
        <v>228096</v>
      </c>
      <c r="D24" s="312">
        <f>'KM-Servicio'!$W$151</f>
        <v>4916.8200000000006</v>
      </c>
      <c r="E24" s="312">
        <f t="shared" si="1"/>
        <v>220282.21000000005</v>
      </c>
      <c r="F24" s="313">
        <f>'KM-Servicio'!O151</f>
        <v>99.009665726943226</v>
      </c>
      <c r="G24" s="314">
        <f>SUM('KM-Servicio'!B151:C151)</f>
        <v>111</v>
      </c>
      <c r="H24" s="314">
        <f>SUM('KM-Servicio'!D151:E151)</f>
        <v>111</v>
      </c>
      <c r="I24" s="312">
        <f>'Oferta Diaria'!W34</f>
        <v>389903.82600000006</v>
      </c>
      <c r="J24" s="315" t="s">
        <v>136</v>
      </c>
      <c r="K24" s="316"/>
      <c r="L24" s="162"/>
    </row>
    <row r="25" spans="1:12" x14ac:dyDescent="0.25">
      <c r="A25" s="160">
        <v>46195</v>
      </c>
      <c r="B25" s="12">
        <f>'KM-Servicio'!N158</f>
        <v>12795</v>
      </c>
      <c r="C25" s="12">
        <f t="shared" si="0"/>
        <v>240891</v>
      </c>
      <c r="D25" s="12">
        <f>'KM-Servicio'!$W$158</f>
        <v>12349.980000000001</v>
      </c>
      <c r="E25" s="12">
        <f t="shared" si="1"/>
        <v>232632.19000000006</v>
      </c>
      <c r="F25" s="166">
        <f>'KM-Servicio'!O158</f>
        <v>96.521922626025798</v>
      </c>
      <c r="G25" s="167">
        <f>SUM('KM-Servicio'!B158:C158)</f>
        <v>229</v>
      </c>
      <c r="H25" s="167">
        <f>SUM('KM-Servicio'!D158:E158)</f>
        <v>229</v>
      </c>
      <c r="I25" s="12">
        <f>'Oferta Diaria'!X34</f>
        <v>979353.41400000011</v>
      </c>
      <c r="J25" s="161" t="s">
        <v>137</v>
      </c>
      <c r="K25" s="164"/>
      <c r="L25" s="162"/>
    </row>
    <row r="26" spans="1:12" x14ac:dyDescent="0.25">
      <c r="A26" s="160">
        <v>46196</v>
      </c>
      <c r="B26" s="12">
        <f>'KM-Servicio'!N165</f>
        <v>13014</v>
      </c>
      <c r="C26" s="12">
        <f t="shared" si="0"/>
        <v>253905</v>
      </c>
      <c r="D26" s="12">
        <f>'KM-Servicio'!$W$165</f>
        <v>12574.370000000003</v>
      </c>
      <c r="E26" s="12">
        <f t="shared" si="1"/>
        <v>245206.56000000006</v>
      </c>
      <c r="F26" s="166">
        <f>'KM-Servicio'!O165</f>
        <v>96.621868756723543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997147.5410000002</v>
      </c>
      <c r="J26" s="161" t="s">
        <v>137</v>
      </c>
      <c r="K26" s="164"/>
      <c r="L26" s="162"/>
    </row>
    <row r="27" spans="1:12" x14ac:dyDescent="0.25">
      <c r="A27" s="160">
        <v>46197</v>
      </c>
      <c r="B27" s="12">
        <f>'KM-Servicio'!N172</f>
        <v>12842</v>
      </c>
      <c r="C27" s="12">
        <f t="shared" si="0"/>
        <v>266747</v>
      </c>
      <c r="D27" s="12">
        <f>'KM-Servicio'!$W$172</f>
        <v>12384.12</v>
      </c>
      <c r="E27" s="12">
        <f t="shared" si="1"/>
        <v>257590.68000000005</v>
      </c>
      <c r="F27" s="166">
        <f>'KM-Servicio'!O172</f>
        <v>96.434511758293112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982060.71600000013</v>
      </c>
      <c r="J27" s="161" t="s">
        <v>137</v>
      </c>
      <c r="K27" s="164"/>
      <c r="L27" s="162"/>
    </row>
    <row r="28" spans="1:12" x14ac:dyDescent="0.25">
      <c r="A28" s="160">
        <v>46198</v>
      </c>
      <c r="B28" s="312">
        <f>'KM-Servicio'!N179</f>
        <v>12915</v>
      </c>
      <c r="C28" s="312">
        <f t="shared" si="0"/>
        <v>279662</v>
      </c>
      <c r="D28" s="312">
        <f>'KM-Servicio'!$W$179</f>
        <v>12406.880000000001</v>
      </c>
      <c r="E28" s="312">
        <f t="shared" si="1"/>
        <v>269997.56000000006</v>
      </c>
      <c r="F28" s="313">
        <f>'KM-Servicio'!O179</f>
        <v>96.065660085172283</v>
      </c>
      <c r="G28" s="314">
        <f>SUM('KM-Servicio'!B179:C179)</f>
        <v>229</v>
      </c>
      <c r="H28" s="314">
        <f>SUM('KM-Servicio'!D179:E179)</f>
        <v>229</v>
      </c>
      <c r="I28" s="312">
        <f>'Oferta Diaria'!AA34</f>
        <v>983865.58399999992</v>
      </c>
      <c r="J28" s="161" t="s">
        <v>137</v>
      </c>
      <c r="K28" s="316"/>
      <c r="L28" s="162"/>
    </row>
    <row r="29" spans="1:12" x14ac:dyDescent="0.25">
      <c r="A29" s="160">
        <v>46199</v>
      </c>
      <c r="B29" s="12">
        <f>'KM-Servicio'!N186</f>
        <v>12941</v>
      </c>
      <c r="C29" s="12">
        <f t="shared" si="0"/>
        <v>292603</v>
      </c>
      <c r="D29" s="12">
        <f>'KM-Servicio'!$W$186</f>
        <v>12456.36</v>
      </c>
      <c r="E29" s="12">
        <f t="shared" si="1"/>
        <v>282453.92000000004</v>
      </c>
      <c r="F29" s="166">
        <f>'KM-Servicio'!O186</f>
        <v>96.255003477320145</v>
      </c>
      <c r="G29" s="167">
        <f>SUM('KM-Servicio'!B186:C186)</f>
        <v>229</v>
      </c>
      <c r="H29" s="167">
        <f>SUM('KM-Servicio'!D186:E186)</f>
        <v>229</v>
      </c>
      <c r="I29" s="12">
        <f>'Oferta Diaria'!AB34</f>
        <v>987789.34800000011</v>
      </c>
      <c r="J29" s="161" t="s">
        <v>137</v>
      </c>
      <c r="K29" s="164"/>
      <c r="L29" s="162"/>
    </row>
    <row r="30" spans="1:12" x14ac:dyDescent="0.25">
      <c r="A30" s="160">
        <v>46200</v>
      </c>
      <c r="B30" s="312">
        <f>'KM-Servicio'!N193</f>
        <v>6479</v>
      </c>
      <c r="C30" s="312">
        <f t="shared" si="0"/>
        <v>299082</v>
      </c>
      <c r="D30" s="312">
        <f>'KM-Servicio'!$W$193</f>
        <v>6469.5</v>
      </c>
      <c r="E30" s="312">
        <f t="shared" si="1"/>
        <v>288923.42000000004</v>
      </c>
      <c r="F30" s="313">
        <f>'KM-Servicio'!O193</f>
        <v>99.853372434017601</v>
      </c>
      <c r="G30" s="314">
        <f>SUM('KM-Servicio'!B193:C193)</f>
        <v>147</v>
      </c>
      <c r="H30" s="314">
        <f>SUM('KM-Servicio'!D193:E193)</f>
        <v>147</v>
      </c>
      <c r="I30" s="312">
        <f>'Oferta Diaria'!AC34</f>
        <v>513031.35</v>
      </c>
      <c r="J30" s="315" t="s">
        <v>138</v>
      </c>
      <c r="K30" s="316"/>
      <c r="L30" s="162"/>
    </row>
    <row r="31" spans="1:12" x14ac:dyDescent="0.25">
      <c r="A31" s="160">
        <v>46201</v>
      </c>
      <c r="B31" s="312">
        <f>'KM-Servicio'!N200</f>
        <v>4983</v>
      </c>
      <c r="C31" s="312">
        <f t="shared" si="0"/>
        <v>304065</v>
      </c>
      <c r="D31" s="312">
        <f>'KM-Servicio'!$W$200</f>
        <v>4916.8200000000006</v>
      </c>
      <c r="E31" s="312">
        <f t="shared" si="1"/>
        <v>293840.24000000005</v>
      </c>
      <c r="F31" s="313">
        <f>'KM-Servicio'!O200</f>
        <v>98.67188440698375</v>
      </c>
      <c r="G31" s="314">
        <f>SUM('KM-Servicio'!B200:C200)</f>
        <v>111</v>
      </c>
      <c r="H31" s="314">
        <f>SUM('KM-Servicio'!D200:E200)</f>
        <v>111</v>
      </c>
      <c r="I31" s="312">
        <f>'Oferta Diaria'!AD34</f>
        <v>389903.82600000006</v>
      </c>
      <c r="J31" s="315" t="s">
        <v>136</v>
      </c>
      <c r="K31" s="316"/>
      <c r="L31" s="163"/>
    </row>
    <row r="32" spans="1:12" x14ac:dyDescent="0.25">
      <c r="A32" s="160">
        <v>46202</v>
      </c>
      <c r="B32" s="312">
        <f>'KM-Servicio'!N207</f>
        <v>4958</v>
      </c>
      <c r="C32" s="312">
        <f t="shared" si="0"/>
        <v>309023</v>
      </c>
      <c r="D32" s="12">
        <f>'KM-Servicio'!W207</f>
        <v>4916.8200000000006</v>
      </c>
      <c r="E32" s="312">
        <f t="shared" si="1"/>
        <v>298757.06000000006</v>
      </c>
      <c r="F32" s="313">
        <f>'KM-Servicio'!O207</f>
        <v>99.169423154497792</v>
      </c>
      <c r="G32" s="167">
        <f>'KM-Servicio'!B207+'KM-Servicio'!C207</f>
        <v>111</v>
      </c>
      <c r="H32" s="167">
        <f>'KM-Servicio'!D207+'KM-Servicio'!E207</f>
        <v>111</v>
      </c>
      <c r="I32" s="12">
        <f>'Oferta Diaria'!AE34</f>
        <v>389903.82600000006</v>
      </c>
      <c r="J32" s="315" t="s">
        <v>136</v>
      </c>
      <c r="K32" s="164"/>
      <c r="L32" s="163"/>
    </row>
    <row r="33" spans="1:14" x14ac:dyDescent="0.25">
      <c r="A33" s="160">
        <v>46203</v>
      </c>
      <c r="B33" s="312">
        <f>'KM-Servicio'!N214</f>
        <v>-63937011</v>
      </c>
      <c r="C33" s="312">
        <f t="shared" si="0"/>
        <v>-63627988</v>
      </c>
      <c r="D33" s="12">
        <f>'KM-Servicio'!W214</f>
        <v>0</v>
      </c>
      <c r="E33" s="312">
        <f t="shared" si="1"/>
        <v>298757.06000000006</v>
      </c>
      <c r="F33" s="166">
        <f>'KM-Servicio'!O46</f>
        <v>98.29079307201458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5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-63627988</v>
      </c>
      <c r="C36" s="169">
        <f>SUM(C4:C34)</f>
        <v>-58767969</v>
      </c>
      <c r="D36" s="169">
        <f>SUM(D4:D34)</f>
        <v>298757.06000000006</v>
      </c>
      <c r="E36" s="169">
        <f>SUM(E4:E34)</f>
        <v>4989348.040000001</v>
      </c>
      <c r="F36" s="170">
        <f>AVERAGE(F4:F34)</f>
        <v>97.098024983425589</v>
      </c>
      <c r="G36" s="169">
        <f>SUM(G4:G34)</f>
        <v>5952</v>
      </c>
      <c r="H36" s="169">
        <f>SUM(H4:H34)</f>
        <v>5720</v>
      </c>
      <c r="I36" s="169">
        <f>SUM(I4:I34)</f>
        <v>23691434.85800001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5" t="s">
        <v>98</v>
      </c>
      <c r="B3" s="376"/>
      <c r="C3" s="376"/>
      <c r="D3" s="377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249.53333333333333</v>
      </c>
      <c r="C5" s="130">
        <f>'KM-Servicio'!J239</f>
        <v>7486</v>
      </c>
      <c r="D5" s="130">
        <f>'KM-Servicio'!C234</f>
        <v>7962</v>
      </c>
    </row>
    <row r="6" spans="1:15" x14ac:dyDescent="0.25">
      <c r="A6" s="34" t="s">
        <v>103</v>
      </c>
      <c r="B6" s="129">
        <f>C6/30</f>
        <v>190.66666666666666</v>
      </c>
      <c r="C6" s="130">
        <f>'KM-Servicio'!K232</f>
        <v>5720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10027.768999999998</v>
      </c>
      <c r="C7" s="130">
        <f>'KM-Servicio'!M232</f>
        <v>300833.06999999995</v>
      </c>
      <c r="D7" s="130">
        <f>'KM-Servicio'!F232</f>
        <v>320124.65999999997</v>
      </c>
    </row>
    <row r="8" spans="1:15" x14ac:dyDescent="0.25">
      <c r="A8" s="34" t="s">
        <v>104</v>
      </c>
      <c r="B8" s="129">
        <f>C8/30</f>
        <v>7542.1256666666677</v>
      </c>
      <c r="C8" s="130">
        <f>'KM-Servicio'!L232</f>
        <v>226263.77000000002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1042887.9759999999</v>
      </c>
      <c r="C9" s="130">
        <f>'KM-Servicio'!N232</f>
        <v>31286639.279999997</v>
      </c>
      <c r="D9" s="130">
        <f>'KM-Servicio'!G232</f>
        <v>33292964.639999997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8" t="s">
        <v>109</v>
      </c>
      <c r="B13" s="379"/>
      <c r="C13" s="379"/>
      <c r="D13" s="380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4"/>
      <c r="H16" s="384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4"/>
      <c r="H17" s="384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4"/>
      <c r="H18" s="384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4"/>
      <c r="H19" s="384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4"/>
      <c r="H20" s="384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4"/>
      <c r="H21" s="384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1"/>
      <c r="C23" s="382"/>
      <c r="D23" s="383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8"/>
      <c r="B24" s="379"/>
      <c r="C24" s="379"/>
      <c r="D24" s="380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1"/>
      <c r="C34" s="382"/>
      <c r="D34" s="383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762C89-4068-4436-8B2C-8CE31090944D}"/>
</file>

<file path=customXml/itemProps2.xml><?xml version="1.0" encoding="utf-8"?>
<ds:datastoreItem xmlns:ds="http://schemas.openxmlformats.org/officeDocument/2006/customXml" ds:itemID="{7E62D660-79B4-4FB3-9062-DA3FB141621A}"/>
</file>

<file path=customXml/itemProps3.xml><?xml version="1.0" encoding="utf-8"?>
<ds:datastoreItem xmlns:ds="http://schemas.openxmlformats.org/officeDocument/2006/customXml" ds:itemID="{03CA00B3-638D-49D3-82DE-34F01981DE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2026-06-30T11:28:56Z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</Properties>
</file>