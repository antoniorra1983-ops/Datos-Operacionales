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showInkAnnotation="0" defaultThemeVersion="124226"/>
  <bookViews>
    <workbookView xWindow="0" yWindow="0" windowWidth="51600" windowHeight="17835" tabRatio="686" activeTab="1"/>
  </bookViews>
  <sheets>
    <sheet name="Odometro-Kilometraje" sheetId="1" r:id="rId1"/>
    <sheet name="KM-Servicio" sheetId="2" r:id="rId2"/>
    <sheet name="Oferta Diaria" sheetId="4" r:id="rId3"/>
    <sheet name="Data Ocupacion" sheetId="3" r:id="rId4"/>
    <sheet name="UMR Resumen" sheetId="13" r:id="rId5"/>
    <sheet name="RESUMEN" sheetId="11" state="hidden" r:id="rId6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33" i="2" l="1"/>
  <c r="K233" i="2"/>
  <c r="F233" i="2"/>
  <c r="E233" i="2"/>
  <c r="V6" i="2"/>
  <c r="L6" i="2"/>
  <c r="K6" i="2"/>
  <c r="J6" i="2"/>
  <c r="I6" i="2"/>
  <c r="H6" i="2"/>
  <c r="G6" i="2"/>
  <c r="D60" i="3"/>
  <c r="D50" i="3"/>
  <c r="E39" i="3"/>
  <c r="D39" i="3"/>
  <c r="U26" i="4" l="1"/>
  <c r="G23" i="4"/>
  <c r="AG26" i="4"/>
  <c r="C222" i="2" l="1"/>
  <c r="B222" i="2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1" i="1" l="1"/>
  <c r="M222" i="2" s="1"/>
  <c r="B33" i="13" s="1"/>
  <c r="G33" i="13"/>
  <c r="AG23" i="4"/>
  <c r="AG22" i="4"/>
  <c r="AG24" i="4"/>
  <c r="BC33" i="3" l="1"/>
  <c r="BB33" i="3"/>
  <c r="BL59" i="3" l="1"/>
  <c r="AG18" i="4" s="1"/>
  <c r="BL58" i="3"/>
  <c r="BL57" i="3"/>
  <c r="AG17" i="4" s="1"/>
  <c r="BL56" i="3"/>
  <c r="AG16" i="4" s="1"/>
  <c r="BL55" i="3"/>
  <c r="AG15" i="4" s="1"/>
  <c r="BL54" i="3"/>
  <c r="AG14" i="4" s="1"/>
  <c r="BL49" i="3"/>
  <c r="AG10" i="4" s="1"/>
  <c r="BL48" i="3"/>
  <c r="AG9" i="4" s="1"/>
  <c r="BL47" i="3"/>
  <c r="AG8" i="4" s="1"/>
  <c r="BL46" i="3"/>
  <c r="AG7" i="4" s="1"/>
  <c r="BL45" i="3"/>
  <c r="AG6" i="4" s="1"/>
  <c r="BL44" i="3"/>
  <c r="AG5" i="4" s="1"/>
  <c r="BM38" i="3"/>
  <c r="E221" i="2" s="1"/>
  <c r="BL38" i="3"/>
  <c r="D221" i="2" s="1"/>
  <c r="BM37" i="3"/>
  <c r="E220" i="2" s="1"/>
  <c r="BL37" i="3"/>
  <c r="D220" i="2" s="1"/>
  <c r="BM36" i="3"/>
  <c r="E219" i="2" s="1"/>
  <c r="BL36" i="3"/>
  <c r="D219" i="2" s="1"/>
  <c r="BM35" i="3"/>
  <c r="E218" i="2" s="1"/>
  <c r="BL35" i="3"/>
  <c r="D218" i="2" s="1"/>
  <c r="BM34" i="3"/>
  <c r="E217" i="2" s="1"/>
  <c r="BL34" i="3"/>
  <c r="D217" i="2" s="1"/>
  <c r="BM33" i="3"/>
  <c r="BL33" i="3"/>
  <c r="D216" i="2" s="1"/>
  <c r="BM26" i="3"/>
  <c r="BL26" i="3"/>
  <c r="AG30" i="4" l="1"/>
  <c r="E216" i="2"/>
  <c r="H216" i="2" s="1"/>
  <c r="H218" i="2"/>
  <c r="G218" i="2"/>
  <c r="I218" i="2" s="1"/>
  <c r="K218" i="2" s="1"/>
  <c r="H217" i="2"/>
  <c r="G217" i="2"/>
  <c r="I217" i="2" s="1"/>
  <c r="K217" i="2" s="1"/>
  <c r="G219" i="2"/>
  <c r="I219" i="2" s="1"/>
  <c r="K219" i="2" s="1"/>
  <c r="H219" i="2"/>
  <c r="H220" i="2"/>
  <c r="G220" i="2"/>
  <c r="I220" i="2" s="1"/>
  <c r="K220" i="2" s="1"/>
  <c r="G221" i="2"/>
  <c r="I221" i="2" s="1"/>
  <c r="K221" i="2" s="1"/>
  <c r="H221" i="2"/>
  <c r="D222" i="2"/>
  <c r="AG29" i="4"/>
  <c r="AG34" i="4" s="1"/>
  <c r="AG31" i="4"/>
  <c r="AG28" i="4"/>
  <c r="BL41" i="3"/>
  <c r="BM41" i="3"/>
  <c r="BJ59" i="3"/>
  <c r="G216" i="2" l="1"/>
  <c r="I216" i="2" s="1"/>
  <c r="V216" i="2" s="1"/>
  <c r="J216" i="2"/>
  <c r="L216" i="2"/>
  <c r="L218" i="2"/>
  <c r="J218" i="2"/>
  <c r="J220" i="2"/>
  <c r="L220" i="2"/>
  <c r="L219" i="2"/>
  <c r="J219" i="2"/>
  <c r="L217" i="2"/>
  <c r="J217" i="2"/>
  <c r="E222" i="2"/>
  <c r="H33" i="13" s="1"/>
  <c r="L221" i="2"/>
  <c r="J221" i="2"/>
  <c r="H222" i="2"/>
  <c r="BJ58" i="3"/>
  <c r="BJ57" i="3"/>
  <c r="BJ56" i="3"/>
  <c r="BJ55" i="3"/>
  <c r="BJ54" i="3"/>
  <c r="BJ49" i="3"/>
  <c r="AF10" i="4" s="1"/>
  <c r="BJ48" i="3"/>
  <c r="BJ47" i="3"/>
  <c r="BJ46" i="3"/>
  <c r="BJ45" i="3"/>
  <c r="BJ44" i="3"/>
  <c r="J222" i="2" l="1"/>
  <c r="K216" i="2"/>
  <c r="K222" i="2" s="1"/>
  <c r="G222" i="2"/>
  <c r="I222" i="2"/>
  <c r="L222" i="2"/>
  <c r="BJ38" i="3"/>
  <c r="D214" i="2" s="1"/>
  <c r="BJ37" i="3"/>
  <c r="D213" i="2" s="1"/>
  <c r="BJ36" i="3"/>
  <c r="D212" i="2" s="1"/>
  <c r="BJ35" i="3"/>
  <c r="D211" i="2" s="1"/>
  <c r="BJ34" i="3"/>
  <c r="D210" i="2" s="1"/>
  <c r="BJ33" i="3"/>
  <c r="D209" i="2" s="1"/>
  <c r="BK38" i="3"/>
  <c r="E214" i="2" s="1"/>
  <c r="BK37" i="3"/>
  <c r="E213" i="2" s="1"/>
  <c r="BK36" i="3"/>
  <c r="E212" i="2" s="1"/>
  <c r="BK35" i="3"/>
  <c r="E211" i="2" s="1"/>
  <c r="BK34" i="3"/>
  <c r="E210" i="2" s="1"/>
  <c r="BK33" i="3"/>
  <c r="E209" i="2" s="1"/>
  <c r="H209" i="2" l="1"/>
  <c r="G209" i="2"/>
  <c r="I209" i="2" s="1"/>
  <c r="K209" i="2" s="1"/>
  <c r="G210" i="2"/>
  <c r="I210" i="2" s="1"/>
  <c r="K210" i="2" s="1"/>
  <c r="H210" i="2"/>
  <c r="H211" i="2"/>
  <c r="G211" i="2"/>
  <c r="I211" i="2" s="1"/>
  <c r="K211" i="2" s="1"/>
  <c r="H212" i="2"/>
  <c r="G212" i="2"/>
  <c r="I212" i="2" s="1"/>
  <c r="K212" i="2" s="1"/>
  <c r="H213" i="2"/>
  <c r="G213" i="2"/>
  <c r="I213" i="2" s="1"/>
  <c r="K213" i="2" s="1"/>
  <c r="H214" i="2"/>
  <c r="G214" i="2"/>
  <c r="I214" i="2" s="1"/>
  <c r="K214" i="2" s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45" i="1"/>
  <c r="J214" i="2" l="1"/>
  <c r="L214" i="2"/>
  <c r="L213" i="2"/>
  <c r="J213" i="2"/>
  <c r="L212" i="2"/>
  <c r="J212" i="2"/>
  <c r="J211" i="2"/>
  <c r="L211" i="2"/>
  <c r="L210" i="2"/>
  <c r="J210" i="2"/>
  <c r="L209" i="2"/>
  <c r="J209" i="2"/>
  <c r="B208" i="2"/>
  <c r="C208" i="2"/>
  <c r="BD59" i="3" l="1"/>
  <c r="BD58" i="3"/>
  <c r="BD57" i="3"/>
  <c r="BD56" i="3"/>
  <c r="BD55" i="3"/>
  <c r="BD54" i="3"/>
  <c r="BD49" i="3"/>
  <c r="BD48" i="3"/>
  <c r="BD47" i="3"/>
  <c r="BD46" i="3"/>
  <c r="BD45" i="3"/>
  <c r="BD44" i="3"/>
  <c r="BE38" i="3"/>
  <c r="E193" i="2" s="1"/>
  <c r="BD38" i="3"/>
  <c r="D193" i="2" s="1"/>
  <c r="BE37" i="3"/>
  <c r="E192" i="2" s="1"/>
  <c r="BD37" i="3"/>
  <c r="D192" i="2" s="1"/>
  <c r="BE36" i="3"/>
  <c r="E191" i="2" s="1"/>
  <c r="BD36" i="3"/>
  <c r="D191" i="2" s="1"/>
  <c r="BE35" i="3"/>
  <c r="E190" i="2" s="1"/>
  <c r="BD35" i="3"/>
  <c r="D190" i="2" s="1"/>
  <c r="BF35" i="3"/>
  <c r="D197" i="2" s="1"/>
  <c r="BE34" i="3"/>
  <c r="E189" i="2" s="1"/>
  <c r="BD34" i="3"/>
  <c r="D189" i="2" s="1"/>
  <c r="BE33" i="3"/>
  <c r="E188" i="2" s="1"/>
  <c r="BD33" i="3"/>
  <c r="D188" i="2" s="1"/>
  <c r="H192" i="2" l="1"/>
  <c r="G192" i="2"/>
  <c r="I192" i="2" s="1"/>
  <c r="K192" i="2" s="1"/>
  <c r="H189" i="2"/>
  <c r="G189" i="2"/>
  <c r="I189" i="2" s="1"/>
  <c r="K189" i="2" s="1"/>
  <c r="H193" i="2"/>
  <c r="G193" i="2"/>
  <c r="I193" i="2" s="1"/>
  <c r="K193" i="2" s="1"/>
  <c r="G190" i="2"/>
  <c r="I190" i="2" s="1"/>
  <c r="K190" i="2" s="1"/>
  <c r="H190" i="2"/>
  <c r="G191" i="2"/>
  <c r="I191" i="2" s="1"/>
  <c r="K191" i="2" s="1"/>
  <c r="H191" i="2"/>
  <c r="H188" i="2"/>
  <c r="G188" i="2"/>
  <c r="I188" i="2" s="1"/>
  <c r="K188" i="2" s="1"/>
  <c r="BB59" i="3"/>
  <c r="BB58" i="3"/>
  <c r="BB57" i="3"/>
  <c r="BB56" i="3"/>
  <c r="BB55" i="3"/>
  <c r="BB54" i="3"/>
  <c r="BB49" i="3"/>
  <c r="AB10" i="4" s="1"/>
  <c r="BB48" i="3"/>
  <c r="AB9" i="4" s="1"/>
  <c r="BB47" i="3"/>
  <c r="BB46" i="3"/>
  <c r="BB45" i="3"/>
  <c r="BB44" i="3"/>
  <c r="BC37" i="3"/>
  <c r="BC38" i="3"/>
  <c r="BB38" i="3"/>
  <c r="BB37" i="3"/>
  <c r="BC36" i="3"/>
  <c r="BB36" i="3"/>
  <c r="BC35" i="3"/>
  <c r="BB35" i="3"/>
  <c r="BC34" i="3"/>
  <c r="BB34" i="3"/>
  <c r="J188" i="2" l="1"/>
  <c r="L188" i="2"/>
  <c r="J191" i="2"/>
  <c r="L191" i="2"/>
  <c r="J190" i="2"/>
  <c r="L190" i="2"/>
  <c r="L193" i="2"/>
  <c r="J193" i="2"/>
  <c r="L189" i="2"/>
  <c r="J189" i="2"/>
  <c r="L192" i="2"/>
  <c r="J192" i="2"/>
  <c r="AZ59" i="3"/>
  <c r="AZ58" i="3"/>
  <c r="AZ57" i="3"/>
  <c r="AZ56" i="3"/>
  <c r="AZ55" i="3"/>
  <c r="AZ54" i="3"/>
  <c r="AZ49" i="3"/>
  <c r="AA10" i="4" s="1"/>
  <c r="AZ48" i="3"/>
  <c r="AA9" i="4" s="1"/>
  <c r="AZ47" i="3"/>
  <c r="AZ46" i="3"/>
  <c r="AZ45" i="3"/>
  <c r="AZ44" i="3"/>
  <c r="BA38" i="3"/>
  <c r="E179" i="2" s="1"/>
  <c r="AZ38" i="3"/>
  <c r="D179" i="2" s="1"/>
  <c r="BA37" i="3"/>
  <c r="E178" i="2" s="1"/>
  <c r="AZ37" i="3"/>
  <c r="D178" i="2" s="1"/>
  <c r="BA36" i="3"/>
  <c r="E177" i="2" s="1"/>
  <c r="AZ36" i="3"/>
  <c r="D177" i="2" s="1"/>
  <c r="BA35" i="3"/>
  <c r="E176" i="2" s="1"/>
  <c r="AZ35" i="3"/>
  <c r="D176" i="2" s="1"/>
  <c r="BA34" i="3"/>
  <c r="E175" i="2" s="1"/>
  <c r="AZ34" i="3"/>
  <c r="D175" i="2" s="1"/>
  <c r="BA33" i="3"/>
  <c r="E174" i="2" s="1"/>
  <c r="AZ33" i="3"/>
  <c r="D174" i="2" s="1"/>
  <c r="H174" i="2" l="1"/>
  <c r="G174" i="2"/>
  <c r="I174" i="2" s="1"/>
  <c r="K174" i="2" s="1"/>
  <c r="G175" i="2"/>
  <c r="I175" i="2" s="1"/>
  <c r="K175" i="2" s="1"/>
  <c r="H175" i="2"/>
  <c r="H177" i="2"/>
  <c r="G177" i="2"/>
  <c r="I177" i="2" s="1"/>
  <c r="K177" i="2" s="1"/>
  <c r="H176" i="2"/>
  <c r="G176" i="2"/>
  <c r="I176" i="2" s="1"/>
  <c r="K176" i="2" s="1"/>
  <c r="H178" i="2"/>
  <c r="G178" i="2"/>
  <c r="I178" i="2" s="1"/>
  <c r="K178" i="2" s="1"/>
  <c r="H179" i="2"/>
  <c r="G179" i="2"/>
  <c r="I179" i="2" s="1"/>
  <c r="K179" i="2" s="1"/>
  <c r="AX59" i="3"/>
  <c r="AX58" i="3"/>
  <c r="AX57" i="3"/>
  <c r="AX56" i="3"/>
  <c r="AX55" i="3"/>
  <c r="AX54" i="3"/>
  <c r="AX49" i="3"/>
  <c r="AX48" i="3"/>
  <c r="AX47" i="3"/>
  <c r="AX46" i="3"/>
  <c r="AX45" i="3"/>
  <c r="AX44" i="3"/>
  <c r="AY38" i="3"/>
  <c r="E172" i="2" s="1"/>
  <c r="AX38" i="3"/>
  <c r="D172" i="2" s="1"/>
  <c r="AY37" i="3"/>
  <c r="E171" i="2" s="1"/>
  <c r="AX37" i="3"/>
  <c r="D171" i="2" s="1"/>
  <c r="AY36" i="3"/>
  <c r="E170" i="2" s="1"/>
  <c r="AX36" i="3"/>
  <c r="D170" i="2" s="1"/>
  <c r="AY35" i="3"/>
  <c r="E169" i="2" s="1"/>
  <c r="AX35" i="3"/>
  <c r="D169" i="2" s="1"/>
  <c r="AY34" i="3"/>
  <c r="E168" i="2" s="1"/>
  <c r="AX34" i="3"/>
  <c r="D168" i="2" s="1"/>
  <c r="AY33" i="3"/>
  <c r="E167" i="2" s="1"/>
  <c r="AX33" i="3"/>
  <c r="D167" i="2" s="1"/>
  <c r="L177" i="2" l="1"/>
  <c r="J177" i="2"/>
  <c r="L175" i="2"/>
  <c r="J175" i="2"/>
  <c r="J178" i="2"/>
  <c r="L178" i="2"/>
  <c r="J179" i="2"/>
  <c r="L179" i="2"/>
  <c r="J176" i="2"/>
  <c r="L176" i="2"/>
  <c r="L174" i="2"/>
  <c r="J174" i="2"/>
  <c r="G169" i="2"/>
  <c r="I169" i="2" s="1"/>
  <c r="K169" i="2" s="1"/>
  <c r="H169" i="2"/>
  <c r="H170" i="2"/>
  <c r="G170" i="2"/>
  <c r="I170" i="2" s="1"/>
  <c r="K170" i="2" s="1"/>
  <c r="H168" i="2"/>
  <c r="G168" i="2"/>
  <c r="I168" i="2" s="1"/>
  <c r="K168" i="2" s="1"/>
  <c r="H171" i="2"/>
  <c r="G171" i="2"/>
  <c r="I171" i="2" s="1"/>
  <c r="K171" i="2" s="1"/>
  <c r="H167" i="2"/>
  <c r="G167" i="2"/>
  <c r="I167" i="2" s="1"/>
  <c r="H172" i="2"/>
  <c r="G172" i="2"/>
  <c r="I172" i="2" s="1"/>
  <c r="K172" i="2" s="1"/>
  <c r="AN59" i="3"/>
  <c r="AN58" i="3"/>
  <c r="AN57" i="3"/>
  <c r="AN56" i="3"/>
  <c r="AN55" i="3"/>
  <c r="AN54" i="3"/>
  <c r="AN49" i="3"/>
  <c r="U10" i="4" s="1"/>
  <c r="AN48" i="3"/>
  <c r="U9" i="4" s="1"/>
  <c r="AN47" i="3"/>
  <c r="AN46" i="3"/>
  <c r="AN45" i="3"/>
  <c r="AN44" i="3"/>
  <c r="AO38" i="3"/>
  <c r="AN38" i="3"/>
  <c r="AO37" i="3"/>
  <c r="AN37" i="3"/>
  <c r="AO36" i="3"/>
  <c r="AN36" i="3"/>
  <c r="AO35" i="3"/>
  <c r="AN35" i="3"/>
  <c r="AO34" i="3"/>
  <c r="AN34" i="3"/>
  <c r="AO33" i="3"/>
  <c r="AN33" i="3"/>
  <c r="K167" i="2" l="1"/>
  <c r="V167" i="2"/>
  <c r="L168" i="2"/>
  <c r="J168" i="2"/>
  <c r="J172" i="2"/>
  <c r="L172" i="2"/>
  <c r="L167" i="2"/>
  <c r="J167" i="2"/>
  <c r="L170" i="2"/>
  <c r="J170" i="2"/>
  <c r="J171" i="2"/>
  <c r="L171" i="2"/>
  <c r="J169" i="2"/>
  <c r="L169" i="2"/>
  <c r="AL59" i="3"/>
  <c r="AL58" i="3"/>
  <c r="AL57" i="3"/>
  <c r="AL56" i="3"/>
  <c r="AL55" i="3"/>
  <c r="AL54" i="3"/>
  <c r="AL49" i="3"/>
  <c r="T10" i="4" s="1"/>
  <c r="AL48" i="3"/>
  <c r="T9" i="4" s="1"/>
  <c r="AL47" i="3"/>
  <c r="AL46" i="3"/>
  <c r="AL45" i="3"/>
  <c r="AL44" i="3"/>
  <c r="AM38" i="3"/>
  <c r="AL38" i="3"/>
  <c r="AM37" i="3"/>
  <c r="AL37" i="3"/>
  <c r="AM36" i="3"/>
  <c r="AL36" i="3"/>
  <c r="AM35" i="3"/>
  <c r="AL35" i="3"/>
  <c r="AM34" i="3"/>
  <c r="AL34" i="3"/>
  <c r="AM33" i="3"/>
  <c r="AL33" i="3"/>
  <c r="AF59" i="3" l="1"/>
  <c r="AF58" i="3"/>
  <c r="AF57" i="3"/>
  <c r="AF56" i="3"/>
  <c r="AF55" i="3"/>
  <c r="AF54" i="3"/>
  <c r="AF49" i="3"/>
  <c r="AF48" i="3"/>
  <c r="AF47" i="3"/>
  <c r="AF46" i="3"/>
  <c r="AF45" i="3"/>
  <c r="AF44" i="3"/>
  <c r="AG38" i="3"/>
  <c r="AF38" i="3"/>
  <c r="AG37" i="3"/>
  <c r="AF37" i="3"/>
  <c r="AG36" i="3"/>
  <c r="AF36" i="3"/>
  <c r="AG35" i="3"/>
  <c r="AF35" i="3"/>
  <c r="AG34" i="3"/>
  <c r="AF34" i="3"/>
  <c r="AG33" i="3"/>
  <c r="AF33" i="3"/>
  <c r="E104" i="2" l="1"/>
  <c r="AD59" i="3"/>
  <c r="AD58" i="3"/>
  <c r="AD57" i="3"/>
  <c r="AD56" i="3"/>
  <c r="AD55" i="3"/>
  <c r="AD54" i="3"/>
  <c r="AD49" i="3"/>
  <c r="AD48" i="3"/>
  <c r="AD47" i="3"/>
  <c r="AD46" i="3"/>
  <c r="AD45" i="3"/>
  <c r="AD44" i="3"/>
  <c r="AE38" i="3"/>
  <c r="E102" i="2" s="1"/>
  <c r="AD38" i="3"/>
  <c r="D102" i="2" s="1"/>
  <c r="AE37" i="3"/>
  <c r="E101" i="2" s="1"/>
  <c r="AD37" i="3"/>
  <c r="D101" i="2" s="1"/>
  <c r="AE36" i="3"/>
  <c r="E100" i="2" s="1"/>
  <c r="AD36" i="3"/>
  <c r="D100" i="2" s="1"/>
  <c r="AE35" i="3"/>
  <c r="E99" i="2" s="1"/>
  <c r="AD35" i="3"/>
  <c r="D99" i="2" s="1"/>
  <c r="AE34" i="3"/>
  <c r="E98" i="2" s="1"/>
  <c r="AD34" i="3"/>
  <c r="D98" i="2" s="1"/>
  <c r="AE33" i="3"/>
  <c r="E97" i="2" s="1"/>
  <c r="AD33" i="3"/>
  <c r="D97" i="2" s="1"/>
  <c r="H98" i="2" l="1"/>
  <c r="G98" i="2"/>
  <c r="I98" i="2" s="1"/>
  <c r="K98" i="2" s="1"/>
  <c r="H97" i="2"/>
  <c r="G97" i="2"/>
  <c r="I97" i="2" s="1"/>
  <c r="K97" i="2" s="1"/>
  <c r="G99" i="2"/>
  <c r="I99" i="2" s="1"/>
  <c r="K99" i="2" s="1"/>
  <c r="H99" i="2"/>
  <c r="H100" i="2"/>
  <c r="G100" i="2"/>
  <c r="I100" i="2" s="1"/>
  <c r="K100" i="2" s="1"/>
  <c r="G101" i="2"/>
  <c r="I101" i="2" s="1"/>
  <c r="K101" i="2" s="1"/>
  <c r="H101" i="2"/>
  <c r="H102" i="2"/>
  <c r="G102" i="2"/>
  <c r="I102" i="2" s="1"/>
  <c r="K102" i="2" s="1"/>
  <c r="L232" i="2"/>
  <c r="F232" i="2"/>
  <c r="C89" i="2"/>
  <c r="B89" i="2"/>
  <c r="L98" i="2" l="1"/>
  <c r="J98" i="2"/>
  <c r="L101" i="2"/>
  <c r="J101" i="2"/>
  <c r="L99" i="2"/>
  <c r="J99" i="2"/>
  <c r="J97" i="2"/>
  <c r="L97" i="2"/>
  <c r="L102" i="2"/>
  <c r="J102" i="2"/>
  <c r="L100" i="2"/>
  <c r="J100" i="2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C79" i="1" l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C194" i="2" l="1"/>
  <c r="B194" i="2"/>
  <c r="V218" i="2" l="1"/>
  <c r="V217" i="2"/>
  <c r="V221" i="2"/>
  <c r="V219" i="2"/>
  <c r="V220" i="2" l="1"/>
  <c r="C187" i="2"/>
  <c r="B187" i="2"/>
  <c r="C145" i="2" l="1"/>
  <c r="B145" i="2"/>
  <c r="C138" i="2"/>
  <c r="B138" i="2"/>
  <c r="C131" i="2" l="1"/>
  <c r="B131" i="2"/>
  <c r="C124" i="2"/>
  <c r="B124" i="2"/>
  <c r="C110" i="2" l="1"/>
  <c r="B110" i="2"/>
  <c r="O26" i="3" l="1"/>
  <c r="N26" i="3"/>
  <c r="M26" i="3"/>
  <c r="L26" i="3"/>
  <c r="C54" i="2"/>
  <c r="B54" i="2"/>
  <c r="C47" i="2"/>
  <c r="B47" i="2"/>
  <c r="C40" i="2"/>
  <c r="B40" i="2"/>
  <c r="C26" i="2"/>
  <c r="B26" i="2"/>
  <c r="C19" i="2"/>
  <c r="B19" i="2"/>
  <c r="C12" i="2" l="1"/>
  <c r="B12" i="2"/>
  <c r="V45" i="1" l="1"/>
  <c r="AF24" i="4" l="1"/>
  <c r="C215" i="2"/>
  <c r="B215" i="2"/>
  <c r="C68" i="2" l="1"/>
  <c r="B68" i="2"/>
  <c r="C61" i="2"/>
  <c r="B61" i="2"/>
  <c r="AQ26" i="3" l="1"/>
  <c r="AP26" i="3"/>
  <c r="C33" i="2" l="1"/>
  <c r="B33" i="2"/>
  <c r="AT54" i="3" l="1"/>
  <c r="AT55" i="3"/>
  <c r="AT44" i="3"/>
  <c r="AT45" i="3"/>
  <c r="J34" i="13"/>
  <c r="I34" i="13"/>
  <c r="B231" i="2" l="1"/>
  <c r="B230" i="2"/>
  <c r="B229" i="2"/>
  <c r="B228" i="2"/>
  <c r="B227" i="2"/>
  <c r="B226" i="2"/>
  <c r="U226" i="2" l="1"/>
  <c r="T226" i="2"/>
  <c r="S226" i="2"/>
  <c r="P226" i="2"/>
  <c r="AT33" i="3" l="1"/>
  <c r="D153" i="2" s="1"/>
  <c r="AT34" i="3"/>
  <c r="D154" i="2" s="1"/>
  <c r="C230" i="2" l="1"/>
  <c r="C227" i="2" l="1"/>
  <c r="C228" i="2"/>
  <c r="F228" i="2" s="1"/>
  <c r="C229" i="2"/>
  <c r="F229" i="2" s="1"/>
  <c r="C231" i="2"/>
  <c r="G233" i="2" l="1"/>
  <c r="M233" i="2"/>
  <c r="M232" i="2"/>
  <c r="J233" i="2"/>
  <c r="G232" i="2"/>
  <c r="D233" i="2"/>
  <c r="J232" i="2"/>
  <c r="K232" i="2" s="1"/>
  <c r="D232" i="2"/>
  <c r="E232" i="2" s="1"/>
  <c r="C159" i="2"/>
  <c r="B159" i="2"/>
  <c r="O226" i="2" l="1"/>
  <c r="R226" i="2"/>
  <c r="Q226" i="2"/>
  <c r="C226" i="2" l="1"/>
  <c r="C235" i="2" s="1"/>
  <c r="B235" i="2"/>
  <c r="B103" i="2" l="1"/>
  <c r="C103" i="2"/>
  <c r="AF23" i="4" l="1"/>
  <c r="AF22" i="4" l="1"/>
  <c r="AE24" i="4" l="1"/>
  <c r="AE23" i="4"/>
  <c r="AE22" i="4"/>
  <c r="Z22" i="4"/>
  <c r="Z24" i="4"/>
  <c r="Z23" i="4"/>
  <c r="BJ26" i="3"/>
  <c r="BK26" i="3"/>
  <c r="BI26" i="3" l="1"/>
  <c r="BH26" i="3"/>
  <c r="AD81" i="1" l="1"/>
  <c r="M208" i="2" s="1"/>
  <c r="B31" i="13" s="1"/>
  <c r="AE81" i="1"/>
  <c r="M215" i="2" s="1"/>
  <c r="B32" i="13" l="1"/>
  <c r="G31" i="13"/>
  <c r="AF18" i="4"/>
  <c r="BH59" i="3"/>
  <c r="AE18" i="4" s="1"/>
  <c r="BH58" i="3"/>
  <c r="AF17" i="4"/>
  <c r="BH57" i="3"/>
  <c r="AE17" i="4" s="1"/>
  <c r="AF16" i="4"/>
  <c r="BH56" i="3"/>
  <c r="AE16" i="4" s="1"/>
  <c r="AF15" i="4"/>
  <c r="BH55" i="3"/>
  <c r="AE15" i="4" s="1"/>
  <c r="AF14" i="4"/>
  <c r="BH54" i="3"/>
  <c r="AE14" i="4" s="1"/>
  <c r="BH49" i="3"/>
  <c r="AE10" i="4" s="1"/>
  <c r="AF9" i="4"/>
  <c r="BH48" i="3"/>
  <c r="AF8" i="4"/>
  <c r="BH47" i="3"/>
  <c r="AF7" i="4"/>
  <c r="BH46" i="3"/>
  <c r="AE7" i="4" s="1"/>
  <c r="AF6" i="4"/>
  <c r="BH45" i="3"/>
  <c r="AE6" i="4" s="1"/>
  <c r="AF5" i="4"/>
  <c r="BH44" i="3"/>
  <c r="AE5" i="4" s="1"/>
  <c r="BI38" i="3"/>
  <c r="E207" i="2" s="1"/>
  <c r="BH38" i="3"/>
  <c r="D207" i="2" s="1"/>
  <c r="BI37" i="3"/>
  <c r="E206" i="2" s="1"/>
  <c r="BH37" i="3"/>
  <c r="D206" i="2" s="1"/>
  <c r="BI36" i="3"/>
  <c r="E205" i="2" s="1"/>
  <c r="BH36" i="3"/>
  <c r="D205" i="2" s="1"/>
  <c r="BI35" i="3"/>
  <c r="E204" i="2" s="1"/>
  <c r="BH35" i="3"/>
  <c r="D204" i="2" s="1"/>
  <c r="BI34" i="3"/>
  <c r="E203" i="2" s="1"/>
  <c r="BH34" i="3"/>
  <c r="D203" i="2" s="1"/>
  <c r="BI33" i="3"/>
  <c r="E202" i="2" s="1"/>
  <c r="BH33" i="3"/>
  <c r="D202" i="2" s="1"/>
  <c r="H203" i="2" l="1"/>
  <c r="G203" i="2"/>
  <c r="I203" i="2" s="1"/>
  <c r="K203" i="2" s="1"/>
  <c r="H204" i="2"/>
  <c r="G204" i="2"/>
  <c r="I204" i="2" s="1"/>
  <c r="K204" i="2" s="1"/>
  <c r="H202" i="2"/>
  <c r="G202" i="2"/>
  <c r="I202" i="2" s="1"/>
  <c r="K202" i="2" s="1"/>
  <c r="G205" i="2"/>
  <c r="I205" i="2" s="1"/>
  <c r="K205" i="2" s="1"/>
  <c r="H205" i="2"/>
  <c r="H206" i="2"/>
  <c r="G206" i="2"/>
  <c r="I206" i="2" s="1"/>
  <c r="K206" i="2" s="1"/>
  <c r="H207" i="2"/>
  <c r="G207" i="2"/>
  <c r="I207" i="2" s="1"/>
  <c r="K207" i="2" s="1"/>
  <c r="AF31" i="4"/>
  <c r="AF30" i="4"/>
  <c r="AE30" i="4"/>
  <c r="BJ41" i="3"/>
  <c r="BH41" i="3"/>
  <c r="BK41" i="3"/>
  <c r="E208" i="2"/>
  <c r="BI41" i="3"/>
  <c r="G32" i="13"/>
  <c r="AF29" i="4"/>
  <c r="AF34" i="4" s="1"/>
  <c r="AF28" i="4"/>
  <c r="AE8" i="4"/>
  <c r="AE9" i="4"/>
  <c r="AE29" i="4"/>
  <c r="C75" i="2"/>
  <c r="B75" i="2"/>
  <c r="L206" i="2" l="1"/>
  <c r="J206" i="2"/>
  <c r="J207" i="2"/>
  <c r="L207" i="2"/>
  <c r="L202" i="2"/>
  <c r="J202" i="2"/>
  <c r="L204" i="2"/>
  <c r="J204" i="2"/>
  <c r="L205" i="2"/>
  <c r="J205" i="2"/>
  <c r="J203" i="2"/>
  <c r="L203" i="2"/>
  <c r="AE31" i="4"/>
  <c r="V203" i="2"/>
  <c r="V211" i="2"/>
  <c r="V213" i="2"/>
  <c r="AE34" i="4"/>
  <c r="D208" i="2"/>
  <c r="H31" i="13" s="1"/>
  <c r="AE28" i="4"/>
  <c r="V210" i="2"/>
  <c r="V212" i="2"/>
  <c r="V202" i="2" l="1"/>
  <c r="C201" i="2"/>
  <c r="B201" i="2"/>
  <c r="C180" i="2" l="1"/>
  <c r="B180" i="2"/>
  <c r="C173" i="2"/>
  <c r="B173" i="2"/>
  <c r="C166" i="2" l="1"/>
  <c r="B166" i="2"/>
  <c r="C152" i="2" l="1"/>
  <c r="B152" i="2"/>
  <c r="C117" i="2" l="1"/>
  <c r="B117" i="2"/>
  <c r="AU26" i="3"/>
  <c r="AT26" i="3"/>
  <c r="AS26" i="3"/>
  <c r="AR26" i="3"/>
  <c r="AO26" i="3"/>
  <c r="AN26" i="3"/>
  <c r="AM26" i="3"/>
  <c r="AL26" i="3"/>
  <c r="C96" i="2" l="1"/>
  <c r="B96" i="2"/>
  <c r="AG26" i="3" l="1"/>
  <c r="AF26" i="3"/>
  <c r="AE26" i="3"/>
  <c r="AD26" i="3"/>
  <c r="L76" i="1" l="1"/>
  <c r="L77" i="1"/>
  <c r="L78" i="1"/>
  <c r="L79" i="1"/>
  <c r="K76" i="1" l="1"/>
  <c r="K77" i="1"/>
  <c r="K78" i="1"/>
  <c r="K79" i="1"/>
  <c r="BE26" i="3" l="1"/>
  <c r="BD26" i="3"/>
  <c r="BC26" i="3"/>
  <c r="BB26" i="3"/>
  <c r="BA26" i="3"/>
  <c r="AZ26" i="3"/>
  <c r="AY26" i="3"/>
  <c r="AX26" i="3"/>
  <c r="AK26" i="3"/>
  <c r="AJ26" i="3"/>
  <c r="AC26" i="3"/>
  <c r="AB26" i="3"/>
  <c r="AA26" i="3"/>
  <c r="Z26" i="3"/>
  <c r="Y26" i="3"/>
  <c r="X26" i="3"/>
  <c r="W26" i="3"/>
  <c r="V26" i="3"/>
  <c r="E46" i="1" l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AW26" i="3" l="1"/>
  <c r="AV26" i="3"/>
  <c r="AI26" i="3"/>
  <c r="AH26" i="3"/>
  <c r="U26" i="3"/>
  <c r="T26" i="3"/>
  <c r="S26" i="3"/>
  <c r="R26" i="3"/>
  <c r="Q26" i="3"/>
  <c r="P26" i="3"/>
  <c r="K26" i="3"/>
  <c r="J26" i="3"/>
  <c r="I26" i="3"/>
  <c r="H26" i="3"/>
  <c r="G26" i="3"/>
  <c r="F26" i="3"/>
  <c r="E26" i="3"/>
  <c r="D26" i="3"/>
  <c r="C82" i="2" l="1"/>
  <c r="B82" i="2"/>
  <c r="G3" i="13" l="1"/>
  <c r="D24" i="4"/>
  <c r="AF32" i="4" l="1"/>
  <c r="AF35" i="4"/>
  <c r="AF33" i="4"/>
  <c r="B11" i="11"/>
  <c r="K32" i="13" l="1"/>
  <c r="BG26" i="3" l="1"/>
  <c r="BF26" i="3"/>
  <c r="D23" i="4" l="1"/>
  <c r="R38" i="3" l="1"/>
  <c r="R37" i="3"/>
  <c r="R36" i="3"/>
  <c r="R35" i="3"/>
  <c r="R34" i="3"/>
  <c r="R33" i="3"/>
  <c r="R41" i="3" l="1"/>
  <c r="O26" i="4"/>
  <c r="N25" i="4" l="1"/>
  <c r="G25" i="4" l="1"/>
  <c r="D22" i="4" l="1"/>
  <c r="E25" i="4"/>
  <c r="R60" i="1" l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Q61" i="1" l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E45" i="1" l="1"/>
  <c r="AD24" i="4" l="1"/>
  <c r="AC24" i="4"/>
  <c r="AB24" i="4"/>
  <c r="AA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G24" i="4"/>
  <c r="F24" i="4"/>
  <c r="E24" i="4"/>
  <c r="I24" i="4"/>
  <c r="H24" i="4"/>
  <c r="C24" i="4"/>
  <c r="AE32" i="4" l="1"/>
  <c r="AE35" i="4"/>
  <c r="AE33" i="4"/>
  <c r="T45" i="1"/>
  <c r="U45" i="1"/>
  <c r="W45" i="1"/>
  <c r="X45" i="1"/>
  <c r="Y45" i="1"/>
  <c r="Z45" i="1"/>
  <c r="AA45" i="1"/>
  <c r="T46" i="1"/>
  <c r="U46" i="1"/>
  <c r="V46" i="1"/>
  <c r="W46" i="1"/>
  <c r="X46" i="1"/>
  <c r="Y46" i="1"/>
  <c r="Z46" i="1"/>
  <c r="AA46" i="1"/>
  <c r="T47" i="1"/>
  <c r="U47" i="1"/>
  <c r="V47" i="1"/>
  <c r="W47" i="1"/>
  <c r="X47" i="1"/>
  <c r="Y47" i="1"/>
  <c r="Z47" i="1"/>
  <c r="AA47" i="1"/>
  <c r="T48" i="1"/>
  <c r="U48" i="1"/>
  <c r="V48" i="1"/>
  <c r="W48" i="1"/>
  <c r="X48" i="1"/>
  <c r="Y48" i="1"/>
  <c r="Z48" i="1"/>
  <c r="AA48" i="1"/>
  <c r="T49" i="1"/>
  <c r="U49" i="1"/>
  <c r="V49" i="1"/>
  <c r="W49" i="1"/>
  <c r="X49" i="1"/>
  <c r="Y49" i="1"/>
  <c r="Z49" i="1"/>
  <c r="AA49" i="1"/>
  <c r="T50" i="1"/>
  <c r="U50" i="1"/>
  <c r="V50" i="1"/>
  <c r="W50" i="1"/>
  <c r="X50" i="1"/>
  <c r="Y50" i="1"/>
  <c r="Z50" i="1"/>
  <c r="AA50" i="1"/>
  <c r="T51" i="1"/>
  <c r="U51" i="1"/>
  <c r="V51" i="1"/>
  <c r="W51" i="1"/>
  <c r="X51" i="1"/>
  <c r="Y51" i="1"/>
  <c r="Z51" i="1"/>
  <c r="AA51" i="1"/>
  <c r="T52" i="1"/>
  <c r="U52" i="1"/>
  <c r="V52" i="1"/>
  <c r="W52" i="1"/>
  <c r="X52" i="1"/>
  <c r="Y52" i="1"/>
  <c r="Z52" i="1"/>
  <c r="AA52" i="1"/>
  <c r="T53" i="1"/>
  <c r="U53" i="1"/>
  <c r="V53" i="1"/>
  <c r="W53" i="1"/>
  <c r="X53" i="1"/>
  <c r="Y53" i="1"/>
  <c r="Z53" i="1"/>
  <c r="AA53" i="1"/>
  <c r="T54" i="1"/>
  <c r="U54" i="1"/>
  <c r="V54" i="1"/>
  <c r="W54" i="1"/>
  <c r="X54" i="1"/>
  <c r="Y54" i="1"/>
  <c r="Z54" i="1"/>
  <c r="AA54" i="1"/>
  <c r="T55" i="1"/>
  <c r="U55" i="1"/>
  <c r="V55" i="1"/>
  <c r="W55" i="1"/>
  <c r="X55" i="1"/>
  <c r="Y55" i="1"/>
  <c r="Z55" i="1"/>
  <c r="AA55" i="1"/>
  <c r="T56" i="1"/>
  <c r="U56" i="1"/>
  <c r="V56" i="1"/>
  <c r="W56" i="1"/>
  <c r="X56" i="1"/>
  <c r="Y56" i="1"/>
  <c r="Z56" i="1"/>
  <c r="AA56" i="1"/>
  <c r="T57" i="1"/>
  <c r="U57" i="1"/>
  <c r="V57" i="1"/>
  <c r="W57" i="1"/>
  <c r="X57" i="1"/>
  <c r="Y57" i="1"/>
  <c r="Z57" i="1"/>
  <c r="AA57" i="1"/>
  <c r="T58" i="1"/>
  <c r="U58" i="1"/>
  <c r="V58" i="1"/>
  <c r="W58" i="1"/>
  <c r="X58" i="1"/>
  <c r="Y58" i="1"/>
  <c r="Z58" i="1"/>
  <c r="AA58" i="1"/>
  <c r="T59" i="1"/>
  <c r="U59" i="1"/>
  <c r="V59" i="1"/>
  <c r="W59" i="1"/>
  <c r="X59" i="1"/>
  <c r="Y59" i="1"/>
  <c r="Z59" i="1"/>
  <c r="AA59" i="1"/>
  <c r="T60" i="1"/>
  <c r="U60" i="1"/>
  <c r="V60" i="1"/>
  <c r="W60" i="1"/>
  <c r="X60" i="1"/>
  <c r="Y60" i="1"/>
  <c r="Z60" i="1"/>
  <c r="AA60" i="1"/>
  <c r="T61" i="1"/>
  <c r="U61" i="1"/>
  <c r="V61" i="1"/>
  <c r="W61" i="1"/>
  <c r="X61" i="1"/>
  <c r="Y61" i="1"/>
  <c r="Z61" i="1"/>
  <c r="AA61" i="1"/>
  <c r="T62" i="1"/>
  <c r="U62" i="1"/>
  <c r="V62" i="1"/>
  <c r="W62" i="1"/>
  <c r="X62" i="1"/>
  <c r="Y62" i="1"/>
  <c r="Z62" i="1"/>
  <c r="AA62" i="1"/>
  <c r="T63" i="1"/>
  <c r="U63" i="1"/>
  <c r="V63" i="1"/>
  <c r="W63" i="1"/>
  <c r="X63" i="1"/>
  <c r="Y63" i="1"/>
  <c r="Z63" i="1"/>
  <c r="AA63" i="1"/>
  <c r="T64" i="1"/>
  <c r="U64" i="1"/>
  <c r="V64" i="1"/>
  <c r="W64" i="1"/>
  <c r="X64" i="1"/>
  <c r="Y64" i="1"/>
  <c r="Z64" i="1"/>
  <c r="AA64" i="1"/>
  <c r="T65" i="1"/>
  <c r="U65" i="1"/>
  <c r="V65" i="1"/>
  <c r="W65" i="1"/>
  <c r="X65" i="1"/>
  <c r="Y65" i="1"/>
  <c r="Z65" i="1"/>
  <c r="AA65" i="1"/>
  <c r="T66" i="1"/>
  <c r="U66" i="1"/>
  <c r="V66" i="1"/>
  <c r="W66" i="1"/>
  <c r="X66" i="1"/>
  <c r="Y66" i="1"/>
  <c r="Z66" i="1"/>
  <c r="AA66" i="1"/>
  <c r="T67" i="1"/>
  <c r="U67" i="1"/>
  <c r="V67" i="1"/>
  <c r="W67" i="1"/>
  <c r="X67" i="1"/>
  <c r="Y67" i="1"/>
  <c r="Z67" i="1"/>
  <c r="AA67" i="1"/>
  <c r="T68" i="1"/>
  <c r="U68" i="1"/>
  <c r="V68" i="1"/>
  <c r="W68" i="1"/>
  <c r="X68" i="1"/>
  <c r="Y68" i="1"/>
  <c r="Z68" i="1"/>
  <c r="AA68" i="1"/>
  <c r="T69" i="1"/>
  <c r="U69" i="1"/>
  <c r="V69" i="1"/>
  <c r="W69" i="1"/>
  <c r="X69" i="1"/>
  <c r="Y69" i="1"/>
  <c r="Z69" i="1"/>
  <c r="AA69" i="1"/>
  <c r="T70" i="1"/>
  <c r="U70" i="1"/>
  <c r="V70" i="1"/>
  <c r="W70" i="1"/>
  <c r="X70" i="1"/>
  <c r="Y70" i="1"/>
  <c r="Z70" i="1"/>
  <c r="AA70" i="1"/>
  <c r="T71" i="1"/>
  <c r="U71" i="1"/>
  <c r="V71" i="1"/>
  <c r="W71" i="1"/>
  <c r="X71" i="1"/>
  <c r="Y71" i="1"/>
  <c r="Z71" i="1"/>
  <c r="AA71" i="1"/>
  <c r="T72" i="1"/>
  <c r="U72" i="1"/>
  <c r="V72" i="1"/>
  <c r="W72" i="1"/>
  <c r="X72" i="1"/>
  <c r="Y72" i="1"/>
  <c r="Z72" i="1"/>
  <c r="AA72" i="1"/>
  <c r="T73" i="1"/>
  <c r="U73" i="1"/>
  <c r="V73" i="1"/>
  <c r="W73" i="1"/>
  <c r="X73" i="1"/>
  <c r="Y73" i="1"/>
  <c r="Z73" i="1"/>
  <c r="AA73" i="1"/>
  <c r="T74" i="1"/>
  <c r="U74" i="1"/>
  <c r="V74" i="1"/>
  <c r="W74" i="1"/>
  <c r="X74" i="1"/>
  <c r="Y74" i="1"/>
  <c r="Z74" i="1"/>
  <c r="AA74" i="1"/>
  <c r="T75" i="1"/>
  <c r="U75" i="1"/>
  <c r="V75" i="1"/>
  <c r="W75" i="1"/>
  <c r="X75" i="1"/>
  <c r="Y75" i="1"/>
  <c r="Z75" i="1"/>
  <c r="AA75" i="1"/>
  <c r="T76" i="1"/>
  <c r="U76" i="1"/>
  <c r="V76" i="1"/>
  <c r="W76" i="1"/>
  <c r="X76" i="1"/>
  <c r="Y76" i="1"/>
  <c r="Z76" i="1"/>
  <c r="AA76" i="1"/>
  <c r="T77" i="1"/>
  <c r="U77" i="1"/>
  <c r="V77" i="1"/>
  <c r="W77" i="1"/>
  <c r="X77" i="1"/>
  <c r="Y77" i="1"/>
  <c r="Z77" i="1"/>
  <c r="AA77" i="1"/>
  <c r="T78" i="1"/>
  <c r="U78" i="1"/>
  <c r="V78" i="1"/>
  <c r="W78" i="1"/>
  <c r="X78" i="1"/>
  <c r="Y78" i="1"/>
  <c r="Z78" i="1"/>
  <c r="AA78" i="1"/>
  <c r="T79" i="1"/>
  <c r="U79" i="1"/>
  <c r="V79" i="1"/>
  <c r="W79" i="1"/>
  <c r="X79" i="1"/>
  <c r="Y79" i="1"/>
  <c r="Z79" i="1"/>
  <c r="AA79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45" i="1"/>
  <c r="AG33" i="4" l="1"/>
  <c r="AG35" i="4"/>
  <c r="K33" i="13" s="1"/>
  <c r="AG32" i="4"/>
  <c r="K31" i="13"/>
  <c r="AD23" i="4"/>
  <c r="AD22" i="4"/>
  <c r="G10" i="13" l="1"/>
  <c r="G11" i="13" l="1"/>
  <c r="C45" i="1" l="1"/>
  <c r="D45" i="1"/>
  <c r="F45" i="1"/>
  <c r="G45" i="1"/>
  <c r="H45" i="1"/>
  <c r="I45" i="1"/>
  <c r="J45" i="1"/>
  <c r="K45" i="1"/>
  <c r="L45" i="1"/>
  <c r="M45" i="1"/>
  <c r="N45" i="1"/>
  <c r="O45" i="1"/>
  <c r="P45" i="1"/>
  <c r="Q45" i="1"/>
  <c r="C46" i="1"/>
  <c r="D46" i="1"/>
  <c r="F46" i="1"/>
  <c r="G46" i="1"/>
  <c r="H46" i="1"/>
  <c r="I46" i="1"/>
  <c r="J46" i="1"/>
  <c r="K46" i="1"/>
  <c r="L46" i="1"/>
  <c r="M46" i="1"/>
  <c r="N46" i="1"/>
  <c r="O46" i="1"/>
  <c r="P46" i="1"/>
  <c r="Q46" i="1"/>
  <c r="C47" i="1"/>
  <c r="D47" i="1"/>
  <c r="F47" i="1"/>
  <c r="G47" i="1"/>
  <c r="H47" i="1"/>
  <c r="I47" i="1"/>
  <c r="J47" i="1"/>
  <c r="K47" i="1"/>
  <c r="L47" i="1"/>
  <c r="M47" i="1"/>
  <c r="N47" i="1"/>
  <c r="O47" i="1"/>
  <c r="P47" i="1"/>
  <c r="Q47" i="1"/>
  <c r="C48" i="1"/>
  <c r="D48" i="1"/>
  <c r="F48" i="1"/>
  <c r="G48" i="1"/>
  <c r="H48" i="1"/>
  <c r="I48" i="1"/>
  <c r="J48" i="1"/>
  <c r="K48" i="1"/>
  <c r="L48" i="1"/>
  <c r="M48" i="1"/>
  <c r="N48" i="1"/>
  <c r="O48" i="1"/>
  <c r="P48" i="1"/>
  <c r="Q48" i="1"/>
  <c r="C49" i="1"/>
  <c r="D49" i="1"/>
  <c r="F49" i="1"/>
  <c r="G49" i="1"/>
  <c r="H49" i="1"/>
  <c r="I49" i="1"/>
  <c r="J49" i="1"/>
  <c r="K49" i="1"/>
  <c r="L49" i="1"/>
  <c r="M49" i="1"/>
  <c r="N49" i="1"/>
  <c r="O49" i="1"/>
  <c r="P49" i="1"/>
  <c r="Q49" i="1"/>
  <c r="C50" i="1"/>
  <c r="D50" i="1"/>
  <c r="F50" i="1"/>
  <c r="G50" i="1"/>
  <c r="H50" i="1"/>
  <c r="I50" i="1"/>
  <c r="J50" i="1"/>
  <c r="K50" i="1"/>
  <c r="L50" i="1"/>
  <c r="M50" i="1"/>
  <c r="N50" i="1"/>
  <c r="O50" i="1"/>
  <c r="P50" i="1"/>
  <c r="Q50" i="1"/>
  <c r="C51" i="1"/>
  <c r="D51" i="1"/>
  <c r="F51" i="1"/>
  <c r="G51" i="1"/>
  <c r="H51" i="1"/>
  <c r="I51" i="1"/>
  <c r="J51" i="1"/>
  <c r="K51" i="1"/>
  <c r="L51" i="1"/>
  <c r="M51" i="1"/>
  <c r="N51" i="1"/>
  <c r="O51" i="1"/>
  <c r="P51" i="1"/>
  <c r="Q51" i="1"/>
  <c r="C52" i="1"/>
  <c r="D52" i="1"/>
  <c r="F52" i="1"/>
  <c r="G52" i="1"/>
  <c r="H52" i="1"/>
  <c r="I52" i="1"/>
  <c r="J52" i="1"/>
  <c r="K52" i="1"/>
  <c r="L52" i="1"/>
  <c r="M52" i="1"/>
  <c r="N52" i="1"/>
  <c r="O52" i="1"/>
  <c r="P52" i="1"/>
  <c r="Q52" i="1"/>
  <c r="C53" i="1"/>
  <c r="D53" i="1"/>
  <c r="F53" i="1"/>
  <c r="G53" i="1"/>
  <c r="H53" i="1"/>
  <c r="I53" i="1"/>
  <c r="J53" i="1"/>
  <c r="K53" i="1"/>
  <c r="L53" i="1"/>
  <c r="M53" i="1"/>
  <c r="N53" i="1"/>
  <c r="O53" i="1"/>
  <c r="P53" i="1"/>
  <c r="Q53" i="1"/>
  <c r="C54" i="1"/>
  <c r="D54" i="1"/>
  <c r="F54" i="1"/>
  <c r="G54" i="1"/>
  <c r="H54" i="1"/>
  <c r="I54" i="1"/>
  <c r="J54" i="1"/>
  <c r="K54" i="1"/>
  <c r="L54" i="1"/>
  <c r="M54" i="1"/>
  <c r="N54" i="1"/>
  <c r="O54" i="1"/>
  <c r="P54" i="1"/>
  <c r="Q54" i="1"/>
  <c r="C55" i="1"/>
  <c r="D55" i="1"/>
  <c r="F55" i="1"/>
  <c r="G55" i="1"/>
  <c r="H55" i="1"/>
  <c r="I55" i="1"/>
  <c r="J55" i="1"/>
  <c r="K55" i="1"/>
  <c r="L55" i="1"/>
  <c r="M55" i="1"/>
  <c r="N55" i="1"/>
  <c r="O55" i="1"/>
  <c r="P55" i="1"/>
  <c r="Q55" i="1"/>
  <c r="C56" i="1"/>
  <c r="D56" i="1"/>
  <c r="F56" i="1"/>
  <c r="G56" i="1"/>
  <c r="H56" i="1"/>
  <c r="I56" i="1"/>
  <c r="J56" i="1"/>
  <c r="K56" i="1"/>
  <c r="L56" i="1"/>
  <c r="M56" i="1"/>
  <c r="N56" i="1"/>
  <c r="O56" i="1"/>
  <c r="P56" i="1"/>
  <c r="Q56" i="1"/>
  <c r="C57" i="1"/>
  <c r="D57" i="1"/>
  <c r="F57" i="1"/>
  <c r="G57" i="1"/>
  <c r="H57" i="1"/>
  <c r="I57" i="1"/>
  <c r="J57" i="1"/>
  <c r="K57" i="1"/>
  <c r="L57" i="1"/>
  <c r="M57" i="1"/>
  <c r="N57" i="1"/>
  <c r="O57" i="1"/>
  <c r="P57" i="1"/>
  <c r="Q57" i="1"/>
  <c r="C58" i="1"/>
  <c r="D58" i="1"/>
  <c r="F58" i="1"/>
  <c r="G58" i="1"/>
  <c r="H58" i="1"/>
  <c r="I58" i="1"/>
  <c r="J58" i="1"/>
  <c r="K58" i="1"/>
  <c r="L58" i="1"/>
  <c r="M58" i="1"/>
  <c r="N58" i="1"/>
  <c r="O58" i="1"/>
  <c r="P58" i="1"/>
  <c r="Q58" i="1"/>
  <c r="C59" i="1"/>
  <c r="D59" i="1"/>
  <c r="F59" i="1"/>
  <c r="G59" i="1"/>
  <c r="H59" i="1"/>
  <c r="I59" i="1"/>
  <c r="J59" i="1"/>
  <c r="K59" i="1"/>
  <c r="L59" i="1"/>
  <c r="M59" i="1"/>
  <c r="N59" i="1"/>
  <c r="O59" i="1"/>
  <c r="P59" i="1"/>
  <c r="Q59" i="1"/>
  <c r="C60" i="1"/>
  <c r="D60" i="1"/>
  <c r="F60" i="1"/>
  <c r="G60" i="1"/>
  <c r="H60" i="1"/>
  <c r="I60" i="1"/>
  <c r="J60" i="1"/>
  <c r="K60" i="1"/>
  <c r="L60" i="1"/>
  <c r="M60" i="1"/>
  <c r="N60" i="1"/>
  <c r="O60" i="1"/>
  <c r="P60" i="1"/>
  <c r="Q60" i="1"/>
  <c r="C61" i="1"/>
  <c r="D61" i="1"/>
  <c r="F61" i="1"/>
  <c r="G61" i="1"/>
  <c r="H61" i="1"/>
  <c r="I61" i="1"/>
  <c r="J61" i="1"/>
  <c r="K61" i="1"/>
  <c r="L61" i="1"/>
  <c r="M61" i="1"/>
  <c r="N61" i="1"/>
  <c r="O61" i="1"/>
  <c r="P61" i="1"/>
  <c r="C62" i="1"/>
  <c r="D62" i="1"/>
  <c r="F62" i="1"/>
  <c r="G62" i="1"/>
  <c r="H62" i="1"/>
  <c r="I62" i="1"/>
  <c r="J62" i="1"/>
  <c r="K62" i="1"/>
  <c r="L62" i="1"/>
  <c r="M62" i="1"/>
  <c r="N62" i="1"/>
  <c r="O62" i="1"/>
  <c r="P62" i="1"/>
  <c r="C63" i="1"/>
  <c r="D63" i="1"/>
  <c r="F63" i="1"/>
  <c r="G63" i="1"/>
  <c r="H63" i="1"/>
  <c r="I63" i="1"/>
  <c r="J63" i="1"/>
  <c r="K63" i="1"/>
  <c r="L63" i="1"/>
  <c r="M63" i="1"/>
  <c r="N63" i="1"/>
  <c r="O63" i="1"/>
  <c r="P63" i="1"/>
  <c r="C64" i="1"/>
  <c r="D64" i="1"/>
  <c r="F64" i="1"/>
  <c r="G64" i="1"/>
  <c r="H64" i="1"/>
  <c r="I64" i="1"/>
  <c r="J64" i="1"/>
  <c r="K64" i="1"/>
  <c r="L64" i="1"/>
  <c r="M64" i="1"/>
  <c r="N64" i="1"/>
  <c r="O64" i="1"/>
  <c r="P64" i="1"/>
  <c r="C65" i="1"/>
  <c r="D65" i="1"/>
  <c r="F65" i="1"/>
  <c r="G65" i="1"/>
  <c r="H65" i="1"/>
  <c r="I65" i="1"/>
  <c r="J65" i="1"/>
  <c r="K65" i="1"/>
  <c r="L65" i="1"/>
  <c r="M65" i="1"/>
  <c r="N65" i="1"/>
  <c r="O65" i="1"/>
  <c r="P65" i="1"/>
  <c r="C66" i="1"/>
  <c r="D66" i="1"/>
  <c r="F66" i="1"/>
  <c r="G66" i="1"/>
  <c r="H66" i="1"/>
  <c r="I66" i="1"/>
  <c r="J66" i="1"/>
  <c r="K66" i="1"/>
  <c r="L66" i="1"/>
  <c r="M66" i="1"/>
  <c r="N66" i="1"/>
  <c r="O66" i="1"/>
  <c r="P66" i="1"/>
  <c r="C67" i="1"/>
  <c r="D67" i="1"/>
  <c r="F67" i="1"/>
  <c r="G67" i="1"/>
  <c r="H67" i="1"/>
  <c r="I67" i="1"/>
  <c r="J67" i="1"/>
  <c r="K67" i="1"/>
  <c r="L67" i="1"/>
  <c r="M67" i="1"/>
  <c r="N67" i="1"/>
  <c r="O67" i="1"/>
  <c r="P67" i="1"/>
  <c r="C68" i="1"/>
  <c r="D68" i="1"/>
  <c r="F68" i="1"/>
  <c r="G68" i="1"/>
  <c r="H68" i="1"/>
  <c r="I68" i="1"/>
  <c r="J68" i="1"/>
  <c r="K68" i="1"/>
  <c r="L68" i="1"/>
  <c r="M68" i="1"/>
  <c r="N68" i="1"/>
  <c r="O68" i="1"/>
  <c r="P68" i="1"/>
  <c r="C69" i="1"/>
  <c r="D69" i="1"/>
  <c r="F69" i="1"/>
  <c r="G69" i="1"/>
  <c r="H69" i="1"/>
  <c r="I69" i="1"/>
  <c r="J69" i="1"/>
  <c r="K69" i="1"/>
  <c r="L69" i="1"/>
  <c r="M69" i="1"/>
  <c r="N69" i="1"/>
  <c r="O69" i="1"/>
  <c r="P69" i="1"/>
  <c r="C70" i="1"/>
  <c r="D70" i="1"/>
  <c r="F70" i="1"/>
  <c r="G70" i="1"/>
  <c r="H70" i="1"/>
  <c r="I70" i="1"/>
  <c r="J70" i="1"/>
  <c r="K70" i="1"/>
  <c r="L70" i="1"/>
  <c r="M70" i="1"/>
  <c r="N70" i="1"/>
  <c r="O70" i="1"/>
  <c r="P70" i="1"/>
  <c r="C71" i="1"/>
  <c r="D71" i="1"/>
  <c r="F71" i="1"/>
  <c r="G71" i="1"/>
  <c r="H71" i="1"/>
  <c r="I71" i="1"/>
  <c r="J71" i="1"/>
  <c r="K71" i="1"/>
  <c r="L71" i="1"/>
  <c r="M71" i="1"/>
  <c r="N71" i="1"/>
  <c r="O71" i="1"/>
  <c r="P71" i="1"/>
  <c r="C72" i="1"/>
  <c r="D72" i="1"/>
  <c r="F72" i="1"/>
  <c r="G72" i="1"/>
  <c r="H72" i="1"/>
  <c r="I72" i="1"/>
  <c r="J72" i="1"/>
  <c r="K72" i="1"/>
  <c r="L72" i="1"/>
  <c r="M72" i="1"/>
  <c r="N72" i="1"/>
  <c r="O72" i="1"/>
  <c r="P72" i="1"/>
  <c r="C73" i="1"/>
  <c r="D73" i="1"/>
  <c r="F73" i="1"/>
  <c r="G73" i="1"/>
  <c r="H73" i="1"/>
  <c r="I73" i="1"/>
  <c r="J73" i="1"/>
  <c r="K73" i="1"/>
  <c r="L73" i="1"/>
  <c r="M73" i="1"/>
  <c r="N73" i="1"/>
  <c r="O73" i="1"/>
  <c r="P73" i="1"/>
  <c r="C74" i="1"/>
  <c r="D74" i="1"/>
  <c r="F74" i="1"/>
  <c r="G74" i="1"/>
  <c r="H74" i="1"/>
  <c r="I74" i="1"/>
  <c r="J74" i="1"/>
  <c r="K74" i="1"/>
  <c r="L74" i="1"/>
  <c r="M74" i="1"/>
  <c r="N74" i="1"/>
  <c r="O74" i="1"/>
  <c r="P74" i="1"/>
  <c r="C75" i="1"/>
  <c r="D75" i="1"/>
  <c r="F75" i="1"/>
  <c r="G75" i="1"/>
  <c r="H75" i="1"/>
  <c r="I75" i="1"/>
  <c r="J75" i="1"/>
  <c r="K75" i="1"/>
  <c r="L75" i="1"/>
  <c r="M75" i="1"/>
  <c r="N75" i="1"/>
  <c r="O75" i="1"/>
  <c r="P75" i="1"/>
  <c r="C76" i="1"/>
  <c r="D76" i="1"/>
  <c r="F76" i="1"/>
  <c r="G76" i="1"/>
  <c r="H76" i="1"/>
  <c r="I76" i="1"/>
  <c r="J76" i="1"/>
  <c r="M76" i="1"/>
  <c r="N76" i="1"/>
  <c r="O76" i="1"/>
  <c r="P76" i="1"/>
  <c r="C77" i="1"/>
  <c r="D77" i="1"/>
  <c r="F77" i="1"/>
  <c r="G77" i="1"/>
  <c r="H77" i="1"/>
  <c r="I77" i="1"/>
  <c r="J77" i="1"/>
  <c r="M77" i="1"/>
  <c r="N77" i="1"/>
  <c r="O77" i="1"/>
  <c r="P77" i="1"/>
  <c r="C78" i="1"/>
  <c r="D78" i="1"/>
  <c r="F78" i="1"/>
  <c r="G78" i="1"/>
  <c r="H78" i="1"/>
  <c r="I78" i="1"/>
  <c r="J78" i="1"/>
  <c r="M78" i="1"/>
  <c r="N78" i="1"/>
  <c r="O78" i="1"/>
  <c r="P78" i="1"/>
  <c r="C79" i="1"/>
  <c r="D79" i="1"/>
  <c r="F79" i="1"/>
  <c r="G79" i="1"/>
  <c r="H79" i="1"/>
  <c r="I79" i="1"/>
  <c r="J79" i="1"/>
  <c r="M79" i="1"/>
  <c r="N79" i="1"/>
  <c r="O79" i="1"/>
  <c r="P79" i="1"/>
  <c r="AC23" i="4" l="1"/>
  <c r="AC22" i="4"/>
  <c r="AB23" i="4" l="1"/>
  <c r="AB22" i="4"/>
  <c r="AA23" i="4" l="1"/>
  <c r="AA22" i="4"/>
  <c r="Y23" i="4" l="1"/>
  <c r="Y22" i="4"/>
  <c r="X23" i="4"/>
  <c r="W23" i="4"/>
  <c r="X22" i="4"/>
  <c r="W22" i="4"/>
  <c r="V23" i="4" l="1"/>
  <c r="V22" i="4"/>
  <c r="U23" i="4"/>
  <c r="T23" i="4"/>
  <c r="U22" i="4"/>
  <c r="T22" i="4"/>
  <c r="S22" i="4" l="1"/>
  <c r="S23" i="4"/>
  <c r="R23" i="4"/>
  <c r="R22" i="4"/>
  <c r="Q23" i="4" l="1"/>
  <c r="Q22" i="4"/>
  <c r="P23" i="4" l="1"/>
  <c r="P22" i="4"/>
  <c r="O23" i="4" l="1"/>
  <c r="O22" i="4"/>
  <c r="N23" i="4" l="1"/>
  <c r="N22" i="4"/>
  <c r="M22" i="4" l="1"/>
  <c r="L22" i="4"/>
  <c r="M23" i="4"/>
  <c r="L23" i="4"/>
  <c r="K23" i="4"/>
  <c r="K22" i="4"/>
  <c r="J23" i="4"/>
  <c r="I23" i="4" l="1"/>
  <c r="I22" i="4"/>
  <c r="H23" i="4" l="1"/>
  <c r="H22" i="4"/>
  <c r="G22" i="4"/>
  <c r="F23" i="4"/>
  <c r="F22" i="4"/>
  <c r="E23" i="4"/>
  <c r="E22" i="4"/>
  <c r="C23" i="4"/>
  <c r="C22" i="4"/>
  <c r="E215" i="2" l="1"/>
  <c r="B81" i="1"/>
  <c r="M12" i="2" s="1"/>
  <c r="C81" i="1" l="1"/>
  <c r="M19" i="2" s="1"/>
  <c r="Q81" i="1"/>
  <c r="M117" i="2" s="1"/>
  <c r="B18" i="13" s="1"/>
  <c r="AC81" i="1"/>
  <c r="M201" i="2" s="1"/>
  <c r="B30" i="13" s="1"/>
  <c r="O81" i="1"/>
  <c r="K81" i="1"/>
  <c r="M75" i="2" s="1"/>
  <c r="B12" i="13" s="1"/>
  <c r="G81" i="1"/>
  <c r="F81" i="1"/>
  <c r="M40" i="2" s="1"/>
  <c r="N81" i="1"/>
  <c r="M96" i="2" s="1"/>
  <c r="B15" i="13" s="1"/>
  <c r="J81" i="1"/>
  <c r="M68" i="2" s="1"/>
  <c r="M81" i="1"/>
  <c r="I81" i="1"/>
  <c r="M61" i="2" s="1"/>
  <c r="B10" i="13" s="1"/>
  <c r="E81" i="1"/>
  <c r="M33" i="2" s="1"/>
  <c r="P81" i="1"/>
  <c r="M110" i="2" s="1"/>
  <c r="L81" i="1"/>
  <c r="H81" i="1"/>
  <c r="M54" i="2" s="1"/>
  <c r="B9" i="13" s="1"/>
  <c r="D81" i="1"/>
  <c r="M26" i="2" s="1"/>
  <c r="AB81" i="1"/>
  <c r="AA81" i="1"/>
  <c r="M187" i="2" s="1"/>
  <c r="Z81" i="1"/>
  <c r="M180" i="2" s="1"/>
  <c r="Y81" i="1"/>
  <c r="M173" i="2" s="1"/>
  <c r="X81" i="1"/>
  <c r="M166" i="2" s="1"/>
  <c r="W81" i="1"/>
  <c r="M159" i="2" s="1"/>
  <c r="R81" i="1"/>
  <c r="M124" i="2" s="1"/>
  <c r="B19" i="13" s="1"/>
  <c r="V81" i="1"/>
  <c r="M152" i="2" s="1"/>
  <c r="U81" i="1"/>
  <c r="T81" i="1"/>
  <c r="M138" i="2" s="1"/>
  <c r="S81" i="1"/>
  <c r="B11" i="13" l="1"/>
  <c r="M131" i="2"/>
  <c r="B20" i="13" s="1"/>
  <c r="B27" i="13"/>
  <c r="B26" i="13"/>
  <c r="B24" i="13"/>
  <c r="B23" i="13"/>
  <c r="M47" i="2"/>
  <c r="B8" i="13" s="1"/>
  <c r="B25" i="13"/>
  <c r="B17" i="13"/>
  <c r="B6" i="13"/>
  <c r="B7" i="13"/>
  <c r="B5" i="13"/>
  <c r="B4" i="13"/>
  <c r="G29" i="13"/>
  <c r="G8" i="13" l="1"/>
  <c r="G7" i="13"/>
  <c r="AP47" i="3" l="1"/>
  <c r="V8" i="4" s="1"/>
  <c r="C240" i="2" l="1"/>
  <c r="B3" i="13" l="1"/>
  <c r="D59" i="2" l="1"/>
  <c r="T33" i="3" l="1"/>
  <c r="D62" i="2" s="1"/>
  <c r="G25" i="13" l="1"/>
  <c r="G24" i="13" l="1"/>
  <c r="G21" i="13" l="1"/>
  <c r="G20" i="13" l="1"/>
  <c r="G19" i="13" l="1"/>
  <c r="G17" i="13" l="1"/>
  <c r="G14" i="13" l="1"/>
  <c r="G13" i="13" l="1"/>
  <c r="G12" i="13" l="1"/>
  <c r="G9" i="13" l="1"/>
  <c r="G6" i="13" l="1"/>
  <c r="G5" i="13" l="1"/>
  <c r="G4" i="13" l="1"/>
  <c r="G30" i="13" l="1"/>
  <c r="G23" i="13"/>
  <c r="G22" i="13"/>
  <c r="G15" i="13" l="1"/>
  <c r="G16" i="13"/>
  <c r="G27" i="13" l="1"/>
  <c r="G28" i="13" l="1"/>
  <c r="G18" i="13" l="1"/>
  <c r="G26" i="13" l="1"/>
  <c r="G34" i="13" s="1"/>
  <c r="B240" i="2"/>
  <c r="V35" i="3"/>
  <c r="D71" i="2" s="1"/>
  <c r="BF58" i="3"/>
  <c r="AV58" i="3"/>
  <c r="AT58" i="3"/>
  <c r="AR58" i="3"/>
  <c r="AP58" i="3"/>
  <c r="AJ58" i="3"/>
  <c r="AH58" i="3"/>
  <c r="AB58" i="3"/>
  <c r="Z58" i="3"/>
  <c r="X58" i="3"/>
  <c r="V58" i="3"/>
  <c r="T58" i="3"/>
  <c r="R58" i="3"/>
  <c r="P58" i="3"/>
  <c r="N58" i="3"/>
  <c r="L58" i="3"/>
  <c r="J58" i="3"/>
  <c r="H58" i="3"/>
  <c r="F58" i="3"/>
  <c r="D58" i="3"/>
  <c r="BF48" i="3"/>
  <c r="AD9" i="4" s="1"/>
  <c r="AC9" i="4"/>
  <c r="Z9" i="4"/>
  <c r="AV48" i="3"/>
  <c r="Y9" i="4" s="1"/>
  <c r="AT48" i="3"/>
  <c r="X9" i="4" s="1"/>
  <c r="AR48" i="3"/>
  <c r="W9" i="4" s="1"/>
  <c r="AP48" i="3"/>
  <c r="V9" i="4" s="1"/>
  <c r="AJ48" i="3"/>
  <c r="S9" i="4" s="1"/>
  <c r="AH48" i="3"/>
  <c r="R9" i="4" s="1"/>
  <c r="Q9" i="4"/>
  <c r="P9" i="4"/>
  <c r="AB48" i="3"/>
  <c r="O9" i="4" s="1"/>
  <c r="Z48" i="3"/>
  <c r="N9" i="4" s="1"/>
  <c r="X48" i="3"/>
  <c r="M9" i="4" s="1"/>
  <c r="V48" i="3"/>
  <c r="L9" i="4" s="1"/>
  <c r="T48" i="3"/>
  <c r="K9" i="4" s="1"/>
  <c r="R48" i="3"/>
  <c r="J9" i="4" s="1"/>
  <c r="P48" i="3"/>
  <c r="I9" i="4" s="1"/>
  <c r="N48" i="3"/>
  <c r="H9" i="4" s="1"/>
  <c r="L48" i="3"/>
  <c r="G9" i="4" s="1"/>
  <c r="J48" i="3"/>
  <c r="F9" i="4" s="1"/>
  <c r="H48" i="3"/>
  <c r="E9" i="4" s="1"/>
  <c r="F48" i="3"/>
  <c r="D9" i="4" s="1"/>
  <c r="D48" i="3"/>
  <c r="C9" i="4" s="1"/>
  <c r="BG37" i="3"/>
  <c r="E199" i="2" s="1"/>
  <c r="BF37" i="3"/>
  <c r="D199" i="2" s="1"/>
  <c r="E185" i="2"/>
  <c r="D185" i="2"/>
  <c r="AW37" i="3"/>
  <c r="E164" i="2" s="1"/>
  <c r="AV37" i="3"/>
  <c r="D164" i="2" s="1"/>
  <c r="AU37" i="3"/>
  <c r="E157" i="2" s="1"/>
  <c r="AT37" i="3"/>
  <c r="D157" i="2" s="1"/>
  <c r="AS37" i="3"/>
  <c r="E150" i="2" s="1"/>
  <c r="AR37" i="3"/>
  <c r="D150" i="2" s="1"/>
  <c r="AQ37" i="3"/>
  <c r="E143" i="2" s="1"/>
  <c r="AP37" i="3"/>
  <c r="D143" i="2" s="1"/>
  <c r="E136" i="2"/>
  <c r="D136" i="2"/>
  <c r="E129" i="2"/>
  <c r="D129" i="2"/>
  <c r="AK37" i="3"/>
  <c r="E122" i="2" s="1"/>
  <c r="AJ37" i="3"/>
  <c r="D122" i="2" s="1"/>
  <c r="AI37" i="3"/>
  <c r="E115" i="2" s="1"/>
  <c r="AH37" i="3"/>
  <c r="D115" i="2" s="1"/>
  <c r="E108" i="2"/>
  <c r="D108" i="2"/>
  <c r="AC37" i="3"/>
  <c r="E94" i="2" s="1"/>
  <c r="AB37" i="3"/>
  <c r="D94" i="2" s="1"/>
  <c r="AA37" i="3"/>
  <c r="E87" i="2" s="1"/>
  <c r="Z37" i="3"/>
  <c r="D87" i="2" s="1"/>
  <c r="Y37" i="3"/>
  <c r="E80" i="2" s="1"/>
  <c r="X37" i="3"/>
  <c r="D80" i="2" s="1"/>
  <c r="W37" i="3"/>
  <c r="E73" i="2" s="1"/>
  <c r="V37" i="3"/>
  <c r="D73" i="2" s="1"/>
  <c r="U37" i="3"/>
  <c r="E66" i="2" s="1"/>
  <c r="T37" i="3"/>
  <c r="D66" i="2" s="1"/>
  <c r="S37" i="3"/>
  <c r="E59" i="2" s="1"/>
  <c r="Q37" i="3"/>
  <c r="E52" i="2" s="1"/>
  <c r="P37" i="3"/>
  <c r="D52" i="2" s="1"/>
  <c r="O37" i="3"/>
  <c r="E45" i="2" s="1"/>
  <c r="N37" i="3"/>
  <c r="D45" i="2" s="1"/>
  <c r="M37" i="3"/>
  <c r="E38" i="2" s="1"/>
  <c r="L37" i="3"/>
  <c r="D38" i="2" s="1"/>
  <c r="K37" i="3"/>
  <c r="E31" i="2" s="1"/>
  <c r="J37" i="3"/>
  <c r="D31" i="2" s="1"/>
  <c r="I37" i="3"/>
  <c r="E24" i="2" s="1"/>
  <c r="H37" i="3"/>
  <c r="D24" i="2" s="1"/>
  <c r="G37" i="3"/>
  <c r="E17" i="2" s="1"/>
  <c r="F37" i="3"/>
  <c r="D17" i="2" s="1"/>
  <c r="E37" i="3"/>
  <c r="E10" i="2" s="1"/>
  <c r="D37" i="3"/>
  <c r="D10" i="2" s="1"/>
  <c r="D133" i="2"/>
  <c r="E133" i="2"/>
  <c r="D134" i="2"/>
  <c r="E134" i="2"/>
  <c r="D135" i="2"/>
  <c r="E135" i="2"/>
  <c r="D137" i="2"/>
  <c r="E137" i="2"/>
  <c r="L33" i="3"/>
  <c r="L34" i="3"/>
  <c r="D35" i="2" s="1"/>
  <c r="L35" i="3"/>
  <c r="D36" i="2" s="1"/>
  <c r="L36" i="3"/>
  <c r="D37" i="2" s="1"/>
  <c r="L38" i="3"/>
  <c r="D39" i="2" s="1"/>
  <c r="L44" i="3"/>
  <c r="BG34" i="3"/>
  <c r="E196" i="2" s="1"/>
  <c r="BF34" i="3"/>
  <c r="D196" i="2" s="1"/>
  <c r="A13" i="2"/>
  <c r="A20" i="2" s="1"/>
  <c r="A27" i="2" s="1"/>
  <c r="A34" i="2" s="1"/>
  <c r="A41" i="2" s="1"/>
  <c r="AV33" i="3"/>
  <c r="D160" i="2" s="1"/>
  <c r="AB49" i="3"/>
  <c r="O10" i="4" s="1"/>
  <c r="AB47" i="3"/>
  <c r="O8" i="4" s="1"/>
  <c r="AB46" i="3"/>
  <c r="O7" i="4" s="1"/>
  <c r="AB45" i="3"/>
  <c r="O6" i="4" s="1"/>
  <c r="Z59" i="3"/>
  <c r="N18" i="4" s="1"/>
  <c r="Z57" i="3"/>
  <c r="N17" i="4" s="1"/>
  <c r="Z56" i="3"/>
  <c r="N16" i="4" s="1"/>
  <c r="Z55" i="3"/>
  <c r="N15" i="4" s="1"/>
  <c r="Z54" i="3"/>
  <c r="N14" i="4" s="1"/>
  <c r="Z49" i="3"/>
  <c r="N10" i="4" s="1"/>
  <c r="Z47" i="3"/>
  <c r="N8" i="4" s="1"/>
  <c r="Z46" i="3"/>
  <c r="N7" i="4" s="1"/>
  <c r="Z45" i="3"/>
  <c r="N6" i="4" s="1"/>
  <c r="Z44" i="3"/>
  <c r="N5" i="4" s="1"/>
  <c r="T54" i="3"/>
  <c r="K14" i="4" s="1"/>
  <c r="AB59" i="3"/>
  <c r="O18" i="4" s="1"/>
  <c r="AB57" i="3"/>
  <c r="O17" i="4" s="1"/>
  <c r="AB56" i="3"/>
  <c r="O16" i="4" s="1"/>
  <c r="AB55" i="3"/>
  <c r="O15" i="4" s="1"/>
  <c r="AB54" i="3"/>
  <c r="O14" i="4" s="1"/>
  <c r="AC38" i="3"/>
  <c r="E95" i="2" s="1"/>
  <c r="AB38" i="3"/>
  <c r="D95" i="2" s="1"/>
  <c r="AC36" i="3"/>
  <c r="E93" i="2" s="1"/>
  <c r="AB36" i="3"/>
  <c r="D93" i="2" s="1"/>
  <c r="AC35" i="3"/>
  <c r="E92" i="2" s="1"/>
  <c r="AB35" i="3"/>
  <c r="D92" i="2" s="1"/>
  <c r="AC34" i="3"/>
  <c r="E91" i="2" s="1"/>
  <c r="AB34" i="3"/>
  <c r="D91" i="2" s="1"/>
  <c r="AC33" i="3"/>
  <c r="E90" i="2" s="1"/>
  <c r="AB33" i="3"/>
  <c r="D90" i="2" s="1"/>
  <c r="AA38" i="3"/>
  <c r="E88" i="2" s="1"/>
  <c r="Z38" i="3"/>
  <c r="D88" i="2" s="1"/>
  <c r="AA36" i="3"/>
  <c r="E86" i="2" s="1"/>
  <c r="Z36" i="3"/>
  <c r="D86" i="2" s="1"/>
  <c r="AA35" i="3"/>
  <c r="E85" i="2" s="1"/>
  <c r="Z35" i="3"/>
  <c r="D85" i="2" s="1"/>
  <c r="AA34" i="3"/>
  <c r="E84" i="2" s="1"/>
  <c r="Z34" i="3"/>
  <c r="D84" i="2" s="1"/>
  <c r="AA33" i="3"/>
  <c r="Z33" i="3"/>
  <c r="AB44" i="3"/>
  <c r="O5" i="4" s="1"/>
  <c r="AC18" i="4"/>
  <c r="AC17" i="4"/>
  <c r="AC16" i="4"/>
  <c r="AC15" i="4"/>
  <c r="AC14" i="4"/>
  <c r="AC10" i="4"/>
  <c r="AC8" i="4"/>
  <c r="AC7" i="4"/>
  <c r="AC6" i="4"/>
  <c r="AC5" i="4"/>
  <c r="AB18" i="4"/>
  <c r="AB17" i="4"/>
  <c r="AB16" i="4"/>
  <c r="AB15" i="4"/>
  <c r="AB14" i="4"/>
  <c r="AB8" i="4"/>
  <c r="AB7" i="4"/>
  <c r="AB6" i="4"/>
  <c r="AB5" i="4"/>
  <c r="E186" i="2"/>
  <c r="D186" i="2"/>
  <c r="E184" i="2"/>
  <c r="D184" i="2"/>
  <c r="E183" i="2"/>
  <c r="D183" i="2"/>
  <c r="E182" i="2"/>
  <c r="D182" i="2"/>
  <c r="AP33" i="3"/>
  <c r="D139" i="2" s="1"/>
  <c r="BF59" i="3"/>
  <c r="AA18" i="4"/>
  <c r="Z18" i="4"/>
  <c r="AV59" i="3"/>
  <c r="Y18" i="4" s="1"/>
  <c r="AT59" i="3"/>
  <c r="X18" i="4" s="1"/>
  <c r="AR59" i="3"/>
  <c r="W18" i="4" s="1"/>
  <c r="AP59" i="3"/>
  <c r="V18" i="4" s="1"/>
  <c r="U18" i="4"/>
  <c r="T18" i="4"/>
  <c r="AJ59" i="3"/>
  <c r="S18" i="4" s="1"/>
  <c r="AH59" i="3"/>
  <c r="R18" i="4" s="1"/>
  <c r="Q18" i="4"/>
  <c r="P18" i="4"/>
  <c r="X59" i="3"/>
  <c r="M18" i="4" s="1"/>
  <c r="V59" i="3"/>
  <c r="L18" i="4" s="1"/>
  <c r="T59" i="3"/>
  <c r="K18" i="4" s="1"/>
  <c r="R59" i="3"/>
  <c r="J18" i="4" s="1"/>
  <c r="P59" i="3"/>
  <c r="I18" i="4" s="1"/>
  <c r="N59" i="3"/>
  <c r="H18" i="4" s="1"/>
  <c r="L59" i="3"/>
  <c r="G18" i="4" s="1"/>
  <c r="J59" i="3"/>
  <c r="F18" i="4" s="1"/>
  <c r="H59" i="3"/>
  <c r="E18" i="4" s="1"/>
  <c r="F59" i="3"/>
  <c r="D18" i="4" s="1"/>
  <c r="D59" i="3"/>
  <c r="C18" i="4" s="1"/>
  <c r="BF57" i="3"/>
  <c r="AA17" i="4"/>
  <c r="Z17" i="4"/>
  <c r="AV57" i="3"/>
  <c r="Y17" i="4" s="1"/>
  <c r="AT57" i="3"/>
  <c r="X17" i="4" s="1"/>
  <c r="AR57" i="3"/>
  <c r="W17" i="4" s="1"/>
  <c r="AP57" i="3"/>
  <c r="V17" i="4" s="1"/>
  <c r="U17" i="4"/>
  <c r="T17" i="4"/>
  <c r="AJ57" i="3"/>
  <c r="S17" i="4" s="1"/>
  <c r="AH57" i="3"/>
  <c r="R17" i="4" s="1"/>
  <c r="Q17" i="4"/>
  <c r="P17" i="4"/>
  <c r="X57" i="3"/>
  <c r="M17" i="4" s="1"/>
  <c r="V57" i="3"/>
  <c r="L17" i="4" s="1"/>
  <c r="T57" i="3"/>
  <c r="K17" i="4" s="1"/>
  <c r="R57" i="3"/>
  <c r="J17" i="4" s="1"/>
  <c r="P57" i="3"/>
  <c r="I17" i="4" s="1"/>
  <c r="N57" i="3"/>
  <c r="H17" i="4" s="1"/>
  <c r="L57" i="3"/>
  <c r="G17" i="4" s="1"/>
  <c r="J57" i="3"/>
  <c r="F17" i="4" s="1"/>
  <c r="H57" i="3"/>
  <c r="E17" i="4" s="1"/>
  <c r="F57" i="3"/>
  <c r="D57" i="3"/>
  <c r="C17" i="4" s="1"/>
  <c r="BF56" i="3"/>
  <c r="AA16" i="4"/>
  <c r="Z16" i="4"/>
  <c r="AV56" i="3"/>
  <c r="Y16" i="4" s="1"/>
  <c r="AT56" i="3"/>
  <c r="X16" i="4" s="1"/>
  <c r="AR56" i="3"/>
  <c r="W16" i="4" s="1"/>
  <c r="AP56" i="3"/>
  <c r="V16" i="4" s="1"/>
  <c r="U16" i="4"/>
  <c r="T16" i="4"/>
  <c r="AJ56" i="3"/>
  <c r="S16" i="4" s="1"/>
  <c r="AH56" i="3"/>
  <c r="R16" i="4" s="1"/>
  <c r="Q16" i="4"/>
  <c r="P16" i="4"/>
  <c r="X56" i="3"/>
  <c r="M16" i="4" s="1"/>
  <c r="V56" i="3"/>
  <c r="L16" i="4" s="1"/>
  <c r="T56" i="3"/>
  <c r="K16" i="4" s="1"/>
  <c r="R56" i="3"/>
  <c r="J16" i="4" s="1"/>
  <c r="P56" i="3"/>
  <c r="I16" i="4" s="1"/>
  <c r="N56" i="3"/>
  <c r="H16" i="4" s="1"/>
  <c r="L56" i="3"/>
  <c r="G16" i="4" s="1"/>
  <c r="J56" i="3"/>
  <c r="F16" i="4" s="1"/>
  <c r="H56" i="3"/>
  <c r="E16" i="4" s="1"/>
  <c r="F56" i="3"/>
  <c r="D56" i="3"/>
  <c r="C16" i="4" s="1"/>
  <c r="BF55" i="3"/>
  <c r="AD15" i="4" s="1"/>
  <c r="AA15" i="4"/>
  <c r="Z15" i="4"/>
  <c r="AV55" i="3"/>
  <c r="Y15" i="4" s="1"/>
  <c r="X15" i="4"/>
  <c r="AR55" i="3"/>
  <c r="W15" i="4" s="1"/>
  <c r="AP55" i="3"/>
  <c r="V15" i="4" s="1"/>
  <c r="U15" i="4"/>
  <c r="T15" i="4"/>
  <c r="AJ55" i="3"/>
  <c r="S15" i="4" s="1"/>
  <c r="AH55" i="3"/>
  <c r="R15" i="4" s="1"/>
  <c r="Q15" i="4"/>
  <c r="P15" i="4"/>
  <c r="X55" i="3"/>
  <c r="M15" i="4" s="1"/>
  <c r="V55" i="3"/>
  <c r="L15" i="4" s="1"/>
  <c r="T55" i="3"/>
  <c r="K15" i="4" s="1"/>
  <c r="R55" i="3"/>
  <c r="J15" i="4" s="1"/>
  <c r="P55" i="3"/>
  <c r="I15" i="4" s="1"/>
  <c r="N55" i="3"/>
  <c r="H15" i="4" s="1"/>
  <c r="L55" i="3"/>
  <c r="G15" i="4" s="1"/>
  <c r="J55" i="3"/>
  <c r="F15" i="4" s="1"/>
  <c r="H55" i="3"/>
  <c r="E15" i="4" s="1"/>
  <c r="F55" i="3"/>
  <c r="D15" i="4" s="1"/>
  <c r="D55" i="3"/>
  <c r="C15" i="4" s="1"/>
  <c r="BF54" i="3"/>
  <c r="AA14" i="4"/>
  <c r="Z14" i="4"/>
  <c r="Z30" i="4" s="1"/>
  <c r="AV54" i="3"/>
  <c r="Y14" i="4" s="1"/>
  <c r="X14" i="4"/>
  <c r="AR54" i="3"/>
  <c r="W14" i="4" s="1"/>
  <c r="AP54" i="3"/>
  <c r="V14" i="4" s="1"/>
  <c r="V30" i="4" s="1"/>
  <c r="U14" i="4"/>
  <c r="U30" i="4" s="1"/>
  <c r="T14" i="4"/>
  <c r="T30" i="4" s="1"/>
  <c r="AJ54" i="3"/>
  <c r="S14" i="4" s="1"/>
  <c r="AH54" i="3"/>
  <c r="R14" i="4" s="1"/>
  <c r="Q14" i="4"/>
  <c r="P14" i="4"/>
  <c r="X54" i="3"/>
  <c r="M14" i="4" s="1"/>
  <c r="V54" i="3"/>
  <c r="L14" i="4" s="1"/>
  <c r="L30" i="4" s="1"/>
  <c r="L32" i="4" s="1"/>
  <c r="R54" i="3"/>
  <c r="J14" i="4" s="1"/>
  <c r="P54" i="3"/>
  <c r="N54" i="3"/>
  <c r="L54" i="3"/>
  <c r="J54" i="3"/>
  <c r="F14" i="4" s="1"/>
  <c r="H54" i="3"/>
  <c r="E14" i="4" s="1"/>
  <c r="F54" i="3"/>
  <c r="D14" i="4" s="1"/>
  <c r="D54" i="3"/>
  <c r="C14" i="4" s="1"/>
  <c r="BF49" i="3"/>
  <c r="AD10" i="4" s="1"/>
  <c r="Z10" i="4"/>
  <c r="AV49" i="3"/>
  <c r="Y10" i="4" s="1"/>
  <c r="AT49" i="3"/>
  <c r="X10" i="4" s="1"/>
  <c r="AR49" i="3"/>
  <c r="W10" i="4" s="1"/>
  <c r="AP49" i="3"/>
  <c r="V10" i="4" s="1"/>
  <c r="AJ49" i="3"/>
  <c r="S10" i="4" s="1"/>
  <c r="AH49" i="3"/>
  <c r="R10" i="4" s="1"/>
  <c r="Q10" i="4"/>
  <c r="P10" i="4"/>
  <c r="X49" i="3"/>
  <c r="M10" i="4" s="1"/>
  <c r="V49" i="3"/>
  <c r="L10" i="4" s="1"/>
  <c r="T49" i="3"/>
  <c r="K10" i="4" s="1"/>
  <c r="R49" i="3"/>
  <c r="J10" i="4" s="1"/>
  <c r="P49" i="3"/>
  <c r="N49" i="3"/>
  <c r="L49" i="3"/>
  <c r="J49" i="3"/>
  <c r="F10" i="4" s="1"/>
  <c r="H49" i="3"/>
  <c r="E10" i="4" s="1"/>
  <c r="F49" i="3"/>
  <c r="D10" i="4" s="1"/>
  <c r="D49" i="3"/>
  <c r="C10" i="4" s="1"/>
  <c r="BF47" i="3"/>
  <c r="AA8" i="4"/>
  <c r="Z8" i="4"/>
  <c r="AV47" i="3"/>
  <c r="Y8" i="4" s="1"/>
  <c r="AT47" i="3"/>
  <c r="X8" i="4" s="1"/>
  <c r="AR47" i="3"/>
  <c r="W8" i="4" s="1"/>
  <c r="U8" i="4"/>
  <c r="T8" i="4"/>
  <c r="AJ47" i="3"/>
  <c r="S8" i="4" s="1"/>
  <c r="AH47" i="3"/>
  <c r="R8" i="4" s="1"/>
  <c r="Q8" i="4"/>
  <c r="P8" i="4"/>
  <c r="X47" i="3"/>
  <c r="M8" i="4" s="1"/>
  <c r="V47" i="3"/>
  <c r="L8" i="4" s="1"/>
  <c r="T47" i="3"/>
  <c r="K8" i="4" s="1"/>
  <c r="R47" i="3"/>
  <c r="J8" i="4" s="1"/>
  <c r="P47" i="3"/>
  <c r="N47" i="3"/>
  <c r="L47" i="3"/>
  <c r="J47" i="3"/>
  <c r="F8" i="4" s="1"/>
  <c r="H47" i="3"/>
  <c r="E8" i="4" s="1"/>
  <c r="F47" i="3"/>
  <c r="D8" i="4" s="1"/>
  <c r="D47" i="3"/>
  <c r="C8" i="4" s="1"/>
  <c r="BF46" i="3"/>
  <c r="AA7" i="4"/>
  <c r="Z7" i="4"/>
  <c r="AV46" i="3"/>
  <c r="Y7" i="4" s="1"/>
  <c r="AT46" i="3"/>
  <c r="X7" i="4" s="1"/>
  <c r="AR46" i="3"/>
  <c r="W7" i="4" s="1"/>
  <c r="AP46" i="3"/>
  <c r="V7" i="4" s="1"/>
  <c r="U7" i="4"/>
  <c r="T7" i="4"/>
  <c r="AJ46" i="3"/>
  <c r="S7" i="4" s="1"/>
  <c r="AH46" i="3"/>
  <c r="R7" i="4" s="1"/>
  <c r="Q7" i="4"/>
  <c r="P7" i="4"/>
  <c r="X46" i="3"/>
  <c r="M7" i="4" s="1"/>
  <c r="V46" i="3"/>
  <c r="L7" i="4" s="1"/>
  <c r="T46" i="3"/>
  <c r="K7" i="4" s="1"/>
  <c r="R46" i="3"/>
  <c r="J7" i="4" s="1"/>
  <c r="P46" i="3"/>
  <c r="N46" i="3"/>
  <c r="L46" i="3"/>
  <c r="J46" i="3"/>
  <c r="F7" i="4" s="1"/>
  <c r="H46" i="3"/>
  <c r="E7" i="4" s="1"/>
  <c r="F46" i="3"/>
  <c r="D7" i="4" s="1"/>
  <c r="D46" i="3"/>
  <c r="C7" i="4" s="1"/>
  <c r="BF45" i="3"/>
  <c r="AA6" i="4"/>
  <c r="Z6" i="4"/>
  <c r="AV45" i="3"/>
  <c r="Y6" i="4" s="1"/>
  <c r="X6" i="4"/>
  <c r="AR45" i="3"/>
  <c r="W6" i="4" s="1"/>
  <c r="AP45" i="3"/>
  <c r="V6" i="4" s="1"/>
  <c r="U6" i="4"/>
  <c r="T6" i="4"/>
  <c r="AJ45" i="3"/>
  <c r="S6" i="4" s="1"/>
  <c r="AH45" i="3"/>
  <c r="R6" i="4" s="1"/>
  <c r="Q6" i="4"/>
  <c r="P6" i="4"/>
  <c r="X45" i="3"/>
  <c r="M6" i="4" s="1"/>
  <c r="V45" i="3"/>
  <c r="L6" i="4" s="1"/>
  <c r="T45" i="3"/>
  <c r="K6" i="4" s="1"/>
  <c r="R45" i="3"/>
  <c r="J6" i="4" s="1"/>
  <c r="P45" i="3"/>
  <c r="N45" i="3"/>
  <c r="L45" i="3"/>
  <c r="J45" i="3"/>
  <c r="F6" i="4" s="1"/>
  <c r="H45" i="3"/>
  <c r="E6" i="4" s="1"/>
  <c r="F45" i="3"/>
  <c r="D6" i="4" s="1"/>
  <c r="D45" i="3"/>
  <c r="C6" i="4" s="1"/>
  <c r="BF44" i="3"/>
  <c r="AA5" i="4"/>
  <c r="Z5" i="4"/>
  <c r="AV44" i="3"/>
  <c r="Y5" i="4" s="1"/>
  <c r="X5" i="4"/>
  <c r="AR44" i="3"/>
  <c r="W5" i="4" s="1"/>
  <c r="AP44" i="3"/>
  <c r="V5" i="4" s="1"/>
  <c r="U5" i="4"/>
  <c r="U31" i="4" s="1"/>
  <c r="T5" i="4"/>
  <c r="T31" i="4" s="1"/>
  <c r="AJ44" i="3"/>
  <c r="S5" i="4" s="1"/>
  <c r="AH44" i="3"/>
  <c r="R5" i="4" s="1"/>
  <c r="Q5" i="4"/>
  <c r="P5" i="4"/>
  <c r="X44" i="3"/>
  <c r="M5" i="4" s="1"/>
  <c r="V44" i="3"/>
  <c r="L5" i="4" s="1"/>
  <c r="T44" i="3"/>
  <c r="K5" i="4" s="1"/>
  <c r="R44" i="3"/>
  <c r="J5" i="4" s="1"/>
  <c r="P44" i="3"/>
  <c r="N44" i="3"/>
  <c r="J44" i="3"/>
  <c r="F5" i="4" s="1"/>
  <c r="H44" i="3"/>
  <c r="E5" i="4" s="1"/>
  <c r="F44" i="3"/>
  <c r="D5" i="4" s="1"/>
  <c r="D44" i="3"/>
  <c r="C5" i="4" s="1"/>
  <c r="BG38" i="3"/>
  <c r="E200" i="2" s="1"/>
  <c r="BF38" i="3"/>
  <c r="D200" i="2" s="1"/>
  <c r="AW38" i="3"/>
  <c r="E165" i="2" s="1"/>
  <c r="AV38" i="3"/>
  <c r="D165" i="2" s="1"/>
  <c r="AU38" i="3"/>
  <c r="E158" i="2" s="1"/>
  <c r="AT38" i="3"/>
  <c r="D158" i="2" s="1"/>
  <c r="AS38" i="3"/>
  <c r="E151" i="2" s="1"/>
  <c r="AR38" i="3"/>
  <c r="D151" i="2" s="1"/>
  <c r="AQ38" i="3"/>
  <c r="E144" i="2" s="1"/>
  <c r="AP38" i="3"/>
  <c r="D144" i="2" s="1"/>
  <c r="E130" i="2"/>
  <c r="D130" i="2"/>
  <c r="AK38" i="3"/>
  <c r="E123" i="2" s="1"/>
  <c r="AJ38" i="3"/>
  <c r="D123" i="2" s="1"/>
  <c r="AI38" i="3"/>
  <c r="E116" i="2" s="1"/>
  <c r="AH38" i="3"/>
  <c r="D116" i="2" s="1"/>
  <c r="E109" i="2"/>
  <c r="D109" i="2"/>
  <c r="Y38" i="3"/>
  <c r="E81" i="2" s="1"/>
  <c r="X38" i="3"/>
  <c r="D81" i="2" s="1"/>
  <c r="W38" i="3"/>
  <c r="E74" i="2" s="1"/>
  <c r="V38" i="3"/>
  <c r="D74" i="2" s="1"/>
  <c r="U38" i="3"/>
  <c r="E67" i="2" s="1"/>
  <c r="T38" i="3"/>
  <c r="D67" i="2" s="1"/>
  <c r="S38" i="3"/>
  <c r="E60" i="2" s="1"/>
  <c r="D60" i="2"/>
  <c r="Q38" i="3"/>
  <c r="E53" i="2" s="1"/>
  <c r="P38" i="3"/>
  <c r="D53" i="2" s="1"/>
  <c r="O38" i="3"/>
  <c r="E46" i="2" s="1"/>
  <c r="N38" i="3"/>
  <c r="D46" i="2" s="1"/>
  <c r="M38" i="3"/>
  <c r="E39" i="2" s="1"/>
  <c r="K38" i="3"/>
  <c r="E32" i="2" s="1"/>
  <c r="J38" i="3"/>
  <c r="D32" i="2" s="1"/>
  <c r="I38" i="3"/>
  <c r="E25" i="2" s="1"/>
  <c r="H38" i="3"/>
  <c r="D25" i="2" s="1"/>
  <c r="G38" i="3"/>
  <c r="E18" i="2" s="1"/>
  <c r="F38" i="3"/>
  <c r="D18" i="2" s="1"/>
  <c r="E38" i="3"/>
  <c r="E11" i="2" s="1"/>
  <c r="D38" i="3"/>
  <c r="D11" i="2" s="1"/>
  <c r="BG36" i="3"/>
  <c r="E198" i="2" s="1"/>
  <c r="BF36" i="3"/>
  <c r="D198" i="2" s="1"/>
  <c r="AW36" i="3"/>
  <c r="E163" i="2" s="1"/>
  <c r="AV36" i="3"/>
  <c r="D163" i="2" s="1"/>
  <c r="AU36" i="3"/>
  <c r="E156" i="2" s="1"/>
  <c r="AT36" i="3"/>
  <c r="D156" i="2" s="1"/>
  <c r="AS36" i="3"/>
  <c r="E149" i="2" s="1"/>
  <c r="AR36" i="3"/>
  <c r="D149" i="2" s="1"/>
  <c r="AQ36" i="3"/>
  <c r="E142" i="2" s="1"/>
  <c r="AP36" i="3"/>
  <c r="D142" i="2" s="1"/>
  <c r="E128" i="2"/>
  <c r="D128" i="2"/>
  <c r="AK36" i="3"/>
  <c r="E121" i="2" s="1"/>
  <c r="AJ36" i="3"/>
  <c r="D121" i="2" s="1"/>
  <c r="AI36" i="3"/>
  <c r="E114" i="2" s="1"/>
  <c r="AH36" i="3"/>
  <c r="D114" i="2" s="1"/>
  <c r="E107" i="2"/>
  <c r="D107" i="2"/>
  <c r="Y36" i="3"/>
  <c r="E79" i="2" s="1"/>
  <c r="X36" i="3"/>
  <c r="D79" i="2" s="1"/>
  <c r="W36" i="3"/>
  <c r="E72" i="2" s="1"/>
  <c r="V36" i="3"/>
  <c r="D72" i="2" s="1"/>
  <c r="U36" i="3"/>
  <c r="E65" i="2" s="1"/>
  <c r="T36" i="3"/>
  <c r="D65" i="2" s="1"/>
  <c r="S36" i="3"/>
  <c r="E58" i="2" s="1"/>
  <c r="D58" i="2"/>
  <c r="Q36" i="3"/>
  <c r="E51" i="2" s="1"/>
  <c r="P36" i="3"/>
  <c r="D51" i="2" s="1"/>
  <c r="O36" i="3"/>
  <c r="E44" i="2" s="1"/>
  <c r="N36" i="3"/>
  <c r="D44" i="2" s="1"/>
  <c r="M36" i="3"/>
  <c r="E37" i="2" s="1"/>
  <c r="K36" i="3"/>
  <c r="E30" i="2" s="1"/>
  <c r="J36" i="3"/>
  <c r="D30" i="2" s="1"/>
  <c r="I36" i="3"/>
  <c r="E23" i="2" s="1"/>
  <c r="H36" i="3"/>
  <c r="D23" i="2" s="1"/>
  <c r="G36" i="3"/>
  <c r="E16" i="2" s="1"/>
  <c r="F36" i="3"/>
  <c r="D16" i="2" s="1"/>
  <c r="E36" i="3"/>
  <c r="E9" i="2" s="1"/>
  <c r="D36" i="3"/>
  <c r="D9" i="2" s="1"/>
  <c r="BG35" i="3"/>
  <c r="E197" i="2" s="1"/>
  <c r="AW35" i="3"/>
  <c r="E162" i="2" s="1"/>
  <c r="AV35" i="3"/>
  <c r="D162" i="2" s="1"/>
  <c r="AU35" i="3"/>
  <c r="E155" i="2" s="1"/>
  <c r="AT35" i="3"/>
  <c r="AS35" i="3"/>
  <c r="E148" i="2" s="1"/>
  <c r="AR35" i="3"/>
  <c r="D148" i="2" s="1"/>
  <c r="AQ35" i="3"/>
  <c r="E141" i="2" s="1"/>
  <c r="AP35" i="3"/>
  <c r="D141" i="2" s="1"/>
  <c r="E127" i="2"/>
  <c r="D127" i="2"/>
  <c r="AK35" i="3"/>
  <c r="E120" i="2" s="1"/>
  <c r="AJ35" i="3"/>
  <c r="D120" i="2" s="1"/>
  <c r="AI35" i="3"/>
  <c r="E113" i="2" s="1"/>
  <c r="AH35" i="3"/>
  <c r="D113" i="2" s="1"/>
  <c r="E106" i="2"/>
  <c r="D106" i="2"/>
  <c r="Y35" i="3"/>
  <c r="E78" i="2" s="1"/>
  <c r="X35" i="3"/>
  <c r="D78" i="2" s="1"/>
  <c r="W35" i="3"/>
  <c r="E71" i="2" s="1"/>
  <c r="U35" i="3"/>
  <c r="E64" i="2" s="1"/>
  <c r="T35" i="3"/>
  <c r="D64" i="2" s="1"/>
  <c r="S35" i="3"/>
  <c r="E57" i="2" s="1"/>
  <c r="D57" i="2"/>
  <c r="Q35" i="3"/>
  <c r="E50" i="2" s="1"/>
  <c r="P35" i="3"/>
  <c r="D50" i="2" s="1"/>
  <c r="O35" i="3"/>
  <c r="E43" i="2" s="1"/>
  <c r="N35" i="3"/>
  <c r="D43" i="2" s="1"/>
  <c r="M35" i="3"/>
  <c r="E36" i="2" s="1"/>
  <c r="K35" i="3"/>
  <c r="E29" i="2" s="1"/>
  <c r="J35" i="3"/>
  <c r="D29" i="2" s="1"/>
  <c r="I35" i="3"/>
  <c r="E22" i="2" s="1"/>
  <c r="H35" i="3"/>
  <c r="D22" i="2" s="1"/>
  <c r="G35" i="3"/>
  <c r="E15" i="2" s="1"/>
  <c r="F35" i="3"/>
  <c r="D15" i="2" s="1"/>
  <c r="E35" i="3"/>
  <c r="E8" i="2" s="1"/>
  <c r="D35" i="3"/>
  <c r="D8" i="2" s="1"/>
  <c r="AW34" i="3"/>
  <c r="E161" i="2" s="1"/>
  <c r="AV34" i="3"/>
  <c r="D161" i="2" s="1"/>
  <c r="AU34" i="3"/>
  <c r="E154" i="2" s="1"/>
  <c r="AS34" i="3"/>
  <c r="E147" i="2" s="1"/>
  <c r="AR34" i="3"/>
  <c r="D147" i="2" s="1"/>
  <c r="AQ34" i="3"/>
  <c r="E140" i="2" s="1"/>
  <c r="AP34" i="3"/>
  <c r="D140" i="2" s="1"/>
  <c r="E126" i="2"/>
  <c r="D126" i="2"/>
  <c r="AK34" i="3"/>
  <c r="E119" i="2" s="1"/>
  <c r="AJ34" i="3"/>
  <c r="D119" i="2" s="1"/>
  <c r="AI34" i="3"/>
  <c r="E112" i="2" s="1"/>
  <c r="AH34" i="3"/>
  <c r="D112" i="2" s="1"/>
  <c r="E105" i="2"/>
  <c r="D105" i="2"/>
  <c r="Y34" i="3"/>
  <c r="E77" i="2" s="1"/>
  <c r="X34" i="3"/>
  <c r="D77" i="2" s="1"/>
  <c r="W34" i="3"/>
  <c r="E70" i="2" s="1"/>
  <c r="V34" i="3"/>
  <c r="D70" i="2" s="1"/>
  <c r="U34" i="3"/>
  <c r="E63" i="2" s="1"/>
  <c r="T34" i="3"/>
  <c r="D63" i="2" s="1"/>
  <c r="S34" i="3"/>
  <c r="E56" i="2" s="1"/>
  <c r="D56" i="2"/>
  <c r="Q34" i="3"/>
  <c r="E49" i="2" s="1"/>
  <c r="P34" i="3"/>
  <c r="D49" i="2" s="1"/>
  <c r="O34" i="3"/>
  <c r="E42" i="2" s="1"/>
  <c r="N34" i="3"/>
  <c r="D42" i="2" s="1"/>
  <c r="M34" i="3"/>
  <c r="E35" i="2" s="1"/>
  <c r="K34" i="3"/>
  <c r="E28" i="2" s="1"/>
  <c r="J34" i="3"/>
  <c r="D28" i="2" s="1"/>
  <c r="I34" i="3"/>
  <c r="E21" i="2" s="1"/>
  <c r="H34" i="3"/>
  <c r="D21" i="2" s="1"/>
  <c r="G34" i="3"/>
  <c r="E14" i="2" s="1"/>
  <c r="F34" i="3"/>
  <c r="D14" i="2" s="1"/>
  <c r="E34" i="3"/>
  <c r="E7" i="2" s="1"/>
  <c r="D34" i="3"/>
  <c r="D7" i="2" s="1"/>
  <c r="BG33" i="3"/>
  <c r="E195" i="2" s="1"/>
  <c r="BF33" i="3"/>
  <c r="D195" i="2" s="1"/>
  <c r="AW33" i="3"/>
  <c r="E160" i="2" s="1"/>
  <c r="AU33" i="3"/>
  <c r="AS33" i="3"/>
  <c r="E146" i="2" s="1"/>
  <c r="AR33" i="3"/>
  <c r="D146" i="2" s="1"/>
  <c r="AQ33" i="3"/>
  <c r="E139" i="2" s="1"/>
  <c r="E125" i="2"/>
  <c r="D125" i="2"/>
  <c r="AK33" i="3"/>
  <c r="E118" i="2" s="1"/>
  <c r="AJ33" i="3"/>
  <c r="D118" i="2" s="1"/>
  <c r="AI33" i="3"/>
  <c r="E111" i="2" s="1"/>
  <c r="AH33" i="3"/>
  <c r="D111" i="2" s="1"/>
  <c r="Y33" i="3"/>
  <c r="X33" i="3"/>
  <c r="W33" i="3"/>
  <c r="V33" i="3"/>
  <c r="U33" i="3"/>
  <c r="E62" i="2" s="1"/>
  <c r="S33" i="3"/>
  <c r="D55" i="2"/>
  <c r="Q33" i="3"/>
  <c r="P33" i="3"/>
  <c r="O33" i="3"/>
  <c r="N33" i="3"/>
  <c r="M33" i="3"/>
  <c r="K33" i="3"/>
  <c r="J33" i="3"/>
  <c r="D27" i="2" s="1"/>
  <c r="I33" i="3"/>
  <c r="H33" i="3"/>
  <c r="D20" i="2" s="1"/>
  <c r="G33" i="3"/>
  <c r="E13" i="2" s="1"/>
  <c r="F33" i="3"/>
  <c r="D13" i="2" s="1"/>
  <c r="E33" i="3"/>
  <c r="D33" i="3"/>
  <c r="D41" i="3" s="1"/>
  <c r="AB30" i="4" l="1"/>
  <c r="J30" i="4"/>
  <c r="E41" i="3"/>
  <c r="C31" i="4"/>
  <c r="C28" i="4"/>
  <c r="C30" i="4"/>
  <c r="C29" i="4"/>
  <c r="H198" i="2"/>
  <c r="G198" i="2"/>
  <c r="I198" i="2" s="1"/>
  <c r="K198" i="2" s="1"/>
  <c r="H195" i="2"/>
  <c r="G195" i="2"/>
  <c r="I195" i="2" s="1"/>
  <c r="K195" i="2" s="1"/>
  <c r="H197" i="2"/>
  <c r="G197" i="2"/>
  <c r="I197" i="2" s="1"/>
  <c r="K197" i="2" s="1"/>
  <c r="H196" i="2"/>
  <c r="G196" i="2"/>
  <c r="I196" i="2" s="1"/>
  <c r="K196" i="2" s="1"/>
  <c r="G200" i="2"/>
  <c r="I200" i="2" s="1"/>
  <c r="K200" i="2" s="1"/>
  <c r="H200" i="2"/>
  <c r="G199" i="2"/>
  <c r="I199" i="2" s="1"/>
  <c r="K199" i="2" s="1"/>
  <c r="H199" i="2"/>
  <c r="X30" i="4"/>
  <c r="H165" i="2"/>
  <c r="G165" i="2"/>
  <c r="I165" i="2" s="1"/>
  <c r="K165" i="2" s="1"/>
  <c r="G143" i="2"/>
  <c r="I143" i="2" s="1"/>
  <c r="K143" i="2" s="1"/>
  <c r="H143" i="2"/>
  <c r="H141" i="2"/>
  <c r="G141" i="2"/>
  <c r="I141" i="2" s="1"/>
  <c r="K141" i="2" s="1"/>
  <c r="H140" i="2"/>
  <c r="G140" i="2"/>
  <c r="I140" i="2" s="1"/>
  <c r="K140" i="2" s="1"/>
  <c r="H150" i="2"/>
  <c r="G150" i="2"/>
  <c r="I150" i="2" s="1"/>
  <c r="K150" i="2" s="1"/>
  <c r="G148" i="2"/>
  <c r="I148" i="2" s="1"/>
  <c r="K148" i="2" s="1"/>
  <c r="H148" i="2"/>
  <c r="H142" i="2"/>
  <c r="G142" i="2"/>
  <c r="I142" i="2" s="1"/>
  <c r="K142" i="2" s="1"/>
  <c r="H146" i="2"/>
  <c r="G146" i="2"/>
  <c r="I146" i="2" s="1"/>
  <c r="K146" i="2" s="1"/>
  <c r="H147" i="2"/>
  <c r="G147" i="2"/>
  <c r="I147" i="2" s="1"/>
  <c r="K147" i="2" s="1"/>
  <c r="H149" i="2"/>
  <c r="G149" i="2"/>
  <c r="I149" i="2" s="1"/>
  <c r="K149" i="2" s="1"/>
  <c r="G144" i="2"/>
  <c r="I144" i="2" s="1"/>
  <c r="K144" i="2" s="1"/>
  <c r="H144" i="2"/>
  <c r="G164" i="2"/>
  <c r="I164" i="2" s="1"/>
  <c r="K164" i="2" s="1"/>
  <c r="H164" i="2"/>
  <c r="G161" i="2"/>
  <c r="I161" i="2" s="1"/>
  <c r="K161" i="2" s="1"/>
  <c r="H161" i="2"/>
  <c r="G162" i="2"/>
  <c r="I162" i="2" s="1"/>
  <c r="K162" i="2" s="1"/>
  <c r="H162" i="2"/>
  <c r="G160" i="2"/>
  <c r="I160" i="2" s="1"/>
  <c r="K160" i="2" s="1"/>
  <c r="H160" i="2"/>
  <c r="G151" i="2"/>
  <c r="I151" i="2" s="1"/>
  <c r="K151" i="2" s="1"/>
  <c r="H151" i="2"/>
  <c r="H163" i="2"/>
  <c r="G163" i="2"/>
  <c r="I163" i="2" s="1"/>
  <c r="K163" i="2" s="1"/>
  <c r="H139" i="2"/>
  <c r="G139" i="2"/>
  <c r="I139" i="2" s="1"/>
  <c r="K139" i="2" s="1"/>
  <c r="H123" i="2"/>
  <c r="G123" i="2"/>
  <c r="I123" i="2" s="1"/>
  <c r="K123" i="2" s="1"/>
  <c r="H121" i="2"/>
  <c r="G121" i="2"/>
  <c r="I121" i="2" s="1"/>
  <c r="K121" i="2" s="1"/>
  <c r="G122" i="2"/>
  <c r="I122" i="2" s="1"/>
  <c r="K122" i="2" s="1"/>
  <c r="H122" i="2"/>
  <c r="G120" i="2"/>
  <c r="I120" i="2" s="1"/>
  <c r="K120" i="2" s="1"/>
  <c r="H120" i="2"/>
  <c r="G118" i="2"/>
  <c r="I118" i="2" s="1"/>
  <c r="K118" i="2" s="1"/>
  <c r="H118" i="2"/>
  <c r="G119" i="2"/>
  <c r="I119" i="2" s="1"/>
  <c r="K119" i="2" s="1"/>
  <c r="H119" i="2"/>
  <c r="H116" i="2"/>
  <c r="G116" i="2"/>
  <c r="I116" i="2" s="1"/>
  <c r="K116" i="2" s="1"/>
  <c r="H115" i="2"/>
  <c r="G115" i="2"/>
  <c r="I115" i="2" s="1"/>
  <c r="K115" i="2" s="1"/>
  <c r="G111" i="2"/>
  <c r="I111" i="2" s="1"/>
  <c r="K111" i="2" s="1"/>
  <c r="H111" i="2"/>
  <c r="G112" i="2"/>
  <c r="I112" i="2" s="1"/>
  <c r="K112" i="2" s="1"/>
  <c r="H112" i="2"/>
  <c r="H113" i="2"/>
  <c r="G113" i="2"/>
  <c r="I113" i="2" s="1"/>
  <c r="K113" i="2" s="1"/>
  <c r="H114" i="2"/>
  <c r="G114" i="2"/>
  <c r="I114" i="2" s="1"/>
  <c r="K114" i="2" s="1"/>
  <c r="G94" i="2"/>
  <c r="I94" i="2" s="1"/>
  <c r="K94" i="2" s="1"/>
  <c r="H94" i="2"/>
  <c r="H90" i="2"/>
  <c r="G90" i="2"/>
  <c r="I90" i="2" s="1"/>
  <c r="K90" i="2" s="1"/>
  <c r="H91" i="2"/>
  <c r="G91" i="2"/>
  <c r="I91" i="2" s="1"/>
  <c r="K91" i="2" s="1"/>
  <c r="G92" i="2"/>
  <c r="I92" i="2" s="1"/>
  <c r="K92" i="2" s="1"/>
  <c r="H92" i="2"/>
  <c r="H93" i="2"/>
  <c r="G93" i="2"/>
  <c r="I93" i="2" s="1"/>
  <c r="K93" i="2" s="1"/>
  <c r="H95" i="2"/>
  <c r="G95" i="2"/>
  <c r="I95" i="2" s="1"/>
  <c r="K95" i="2" s="1"/>
  <c r="P31" i="4"/>
  <c r="X31" i="4"/>
  <c r="O31" i="4"/>
  <c r="N30" i="4"/>
  <c r="N32" i="4" s="1"/>
  <c r="Q31" i="4"/>
  <c r="Y31" i="4"/>
  <c r="AB31" i="4"/>
  <c r="R31" i="4"/>
  <c r="V31" i="4"/>
  <c r="Z31" i="4"/>
  <c r="AC31" i="4"/>
  <c r="D31" i="4"/>
  <c r="M31" i="4"/>
  <c r="S31" i="4"/>
  <c r="W31" i="4"/>
  <c r="AA31" i="4"/>
  <c r="N31" i="4"/>
  <c r="L31" i="4"/>
  <c r="K31" i="4"/>
  <c r="J31" i="4"/>
  <c r="F31" i="4"/>
  <c r="E31" i="4"/>
  <c r="Q30" i="4"/>
  <c r="Q32" i="4" s="1"/>
  <c r="N29" i="4"/>
  <c r="N34" i="4" s="1"/>
  <c r="M30" i="4"/>
  <c r="M32" i="4" s="1"/>
  <c r="R30" i="4"/>
  <c r="R32" i="4" s="1"/>
  <c r="F30" i="4"/>
  <c r="F32" i="4" s="1"/>
  <c r="G126" i="2"/>
  <c r="I126" i="2" s="1"/>
  <c r="K126" i="2" s="1"/>
  <c r="H126" i="2"/>
  <c r="S30" i="4"/>
  <c r="S32" i="4" s="1"/>
  <c r="H129" i="2"/>
  <c r="G129" i="2"/>
  <c r="I129" i="2" s="1"/>
  <c r="K129" i="2" s="1"/>
  <c r="H127" i="2"/>
  <c r="G127" i="2"/>
  <c r="I127" i="2" s="1"/>
  <c r="K127" i="2" s="1"/>
  <c r="H125" i="2"/>
  <c r="G125" i="2"/>
  <c r="D131" i="2"/>
  <c r="H128" i="2"/>
  <c r="G128" i="2"/>
  <c r="I128" i="2" s="1"/>
  <c r="K128" i="2" s="1"/>
  <c r="E131" i="2"/>
  <c r="H130" i="2"/>
  <c r="G130" i="2"/>
  <c r="I130" i="2" s="1"/>
  <c r="K130" i="2" s="1"/>
  <c r="H14" i="2"/>
  <c r="G14" i="2"/>
  <c r="I14" i="2" s="1"/>
  <c r="K14" i="2" s="1"/>
  <c r="G13" i="2"/>
  <c r="I13" i="2" s="1"/>
  <c r="K13" i="2" s="1"/>
  <c r="H13" i="2"/>
  <c r="G17" i="2"/>
  <c r="I17" i="2" s="1"/>
  <c r="K17" i="2" s="1"/>
  <c r="H17" i="2"/>
  <c r="G16" i="2"/>
  <c r="I16" i="2" s="1"/>
  <c r="K16" i="2" s="1"/>
  <c r="H16" i="2"/>
  <c r="H15" i="2"/>
  <c r="G15" i="2"/>
  <c r="I15" i="2" s="1"/>
  <c r="K15" i="2" s="1"/>
  <c r="H18" i="2"/>
  <c r="G18" i="2"/>
  <c r="I18" i="2" s="1"/>
  <c r="K18" i="2" s="1"/>
  <c r="E68" i="2"/>
  <c r="D68" i="2"/>
  <c r="D5" i="2"/>
  <c r="D12" i="2" s="1"/>
  <c r="E34" i="2"/>
  <c r="E40" i="2" s="1"/>
  <c r="M41" i="3"/>
  <c r="E48" i="2"/>
  <c r="E54" i="2" s="1"/>
  <c r="Q41" i="3"/>
  <c r="D69" i="2"/>
  <c r="D75" i="2" s="1"/>
  <c r="V41" i="3"/>
  <c r="D117" i="2"/>
  <c r="AH41" i="3"/>
  <c r="AY41" i="3"/>
  <c r="T41" i="3"/>
  <c r="E83" i="2"/>
  <c r="E89" i="2" s="1"/>
  <c r="AA41" i="3"/>
  <c r="AV41" i="3"/>
  <c r="E12" i="2"/>
  <c r="D41" i="2"/>
  <c r="N41" i="3"/>
  <c r="E69" i="2"/>
  <c r="E75" i="2" s="1"/>
  <c r="W41" i="3"/>
  <c r="E117" i="2"/>
  <c r="AI41" i="3"/>
  <c r="E153" i="2"/>
  <c r="E159" i="2" s="1"/>
  <c r="AU41" i="3"/>
  <c r="D145" i="2"/>
  <c r="AP41" i="3"/>
  <c r="AB41" i="3"/>
  <c r="D19" i="2"/>
  <c r="F41" i="3"/>
  <c r="D33" i="2"/>
  <c r="J41" i="3"/>
  <c r="E41" i="2"/>
  <c r="E47" i="2" s="1"/>
  <c r="O41" i="3"/>
  <c r="E55" i="2"/>
  <c r="G55" i="2" s="1"/>
  <c r="S41" i="3"/>
  <c r="D76" i="2"/>
  <c r="D82" i="2" s="1"/>
  <c r="X41" i="3"/>
  <c r="D104" i="2"/>
  <c r="D110" i="2" s="1"/>
  <c r="AF41" i="3"/>
  <c r="AJ41" i="3"/>
  <c r="E145" i="2"/>
  <c r="AQ41" i="3"/>
  <c r="AW41" i="3"/>
  <c r="AC41" i="3"/>
  <c r="E132" i="2"/>
  <c r="E138" i="2" s="1"/>
  <c r="AO41" i="3"/>
  <c r="H41" i="3"/>
  <c r="D103" i="2"/>
  <c r="AD41" i="3"/>
  <c r="AL41" i="3"/>
  <c r="E152" i="2"/>
  <c r="AS41" i="3"/>
  <c r="D155" i="2"/>
  <c r="H228" i="2" s="1"/>
  <c r="AT41" i="3"/>
  <c r="E20" i="2"/>
  <c r="E26" i="2" s="1"/>
  <c r="I41" i="3"/>
  <c r="AE41" i="3"/>
  <c r="AM41" i="3"/>
  <c r="D34" i="2"/>
  <c r="L41" i="3"/>
  <c r="E19" i="2"/>
  <c r="G41" i="3"/>
  <c r="E27" i="2"/>
  <c r="E33" i="2" s="1"/>
  <c r="K41" i="3"/>
  <c r="D48" i="2"/>
  <c r="P41" i="3"/>
  <c r="U41" i="3"/>
  <c r="E76" i="2"/>
  <c r="E82" i="2" s="1"/>
  <c r="Y41" i="3"/>
  <c r="E110" i="2"/>
  <c r="AG41" i="3"/>
  <c r="AK41" i="3"/>
  <c r="AR41" i="3"/>
  <c r="D173" i="2"/>
  <c r="AX41" i="3"/>
  <c r="D83" i="2"/>
  <c r="D89" i="2" s="1"/>
  <c r="Z41" i="3"/>
  <c r="D132" i="2"/>
  <c r="D138" i="2" s="1"/>
  <c r="AN41" i="3"/>
  <c r="K30" i="4"/>
  <c r="K32" i="4" s="1"/>
  <c r="K29" i="4"/>
  <c r="K34" i="4" s="1"/>
  <c r="K28" i="4"/>
  <c r="E201" i="2"/>
  <c r="BG41" i="3"/>
  <c r="BF41" i="3"/>
  <c r="BD41" i="3"/>
  <c r="BE41" i="3"/>
  <c r="D181" i="2"/>
  <c r="BB41" i="3"/>
  <c r="E181" i="2"/>
  <c r="BC41" i="3"/>
  <c r="AZ41" i="3"/>
  <c r="BA41" i="3"/>
  <c r="H230" i="2"/>
  <c r="X32" i="4"/>
  <c r="X29" i="4"/>
  <c r="I230" i="2"/>
  <c r="I227" i="2"/>
  <c r="I228" i="2"/>
  <c r="I229" i="2"/>
  <c r="H231" i="2"/>
  <c r="H229" i="2"/>
  <c r="H227" i="2"/>
  <c r="I231" i="2"/>
  <c r="U32" i="4"/>
  <c r="AD5" i="4"/>
  <c r="AD6" i="4"/>
  <c r="AD7" i="4"/>
  <c r="AD8" i="4"/>
  <c r="AD14" i="4"/>
  <c r="AD16" i="4"/>
  <c r="AD17" i="4"/>
  <c r="AD18" i="4"/>
  <c r="W30" i="4"/>
  <c r="P30" i="4"/>
  <c r="H24" i="2"/>
  <c r="L24" i="2" s="1"/>
  <c r="G24" i="2"/>
  <c r="I24" i="2" s="1"/>
  <c r="K24" i="2" s="1"/>
  <c r="H21" i="2"/>
  <c r="L21" i="2" s="1"/>
  <c r="G21" i="2"/>
  <c r="I21" i="2" s="1"/>
  <c r="K21" i="2" s="1"/>
  <c r="G23" i="2"/>
  <c r="I23" i="2" s="1"/>
  <c r="K23" i="2" s="1"/>
  <c r="H23" i="2"/>
  <c r="L23" i="2" s="1"/>
  <c r="H22" i="2"/>
  <c r="L22" i="2" s="1"/>
  <c r="G22" i="2"/>
  <c r="I22" i="2" s="1"/>
  <c r="K22" i="2" s="1"/>
  <c r="G25" i="2"/>
  <c r="I25" i="2" s="1"/>
  <c r="K25" i="2" s="1"/>
  <c r="H25" i="2"/>
  <c r="L25" i="2" s="1"/>
  <c r="H59" i="2"/>
  <c r="L59" i="2" s="1"/>
  <c r="G59" i="2"/>
  <c r="I59" i="2" s="1"/>
  <c r="K59" i="2" s="1"/>
  <c r="H57" i="2"/>
  <c r="L57" i="2" s="1"/>
  <c r="G57" i="2"/>
  <c r="I57" i="2" s="1"/>
  <c r="K57" i="2" s="1"/>
  <c r="H60" i="2"/>
  <c r="L60" i="2" s="1"/>
  <c r="G60" i="2"/>
  <c r="I60" i="2" s="1"/>
  <c r="K60" i="2" s="1"/>
  <c r="H56" i="2"/>
  <c r="L56" i="2" s="1"/>
  <c r="G56" i="2"/>
  <c r="I56" i="2" s="1"/>
  <c r="V56" i="2" s="1"/>
  <c r="H58" i="2"/>
  <c r="L58" i="2" s="1"/>
  <c r="G58" i="2"/>
  <c r="I58" i="2" s="1"/>
  <c r="K58" i="2" s="1"/>
  <c r="O30" i="4"/>
  <c r="E30" i="4"/>
  <c r="E32" i="4" s="1"/>
  <c r="AB32" i="4"/>
  <c r="AC30" i="4"/>
  <c r="Y30" i="4"/>
  <c r="G42" i="2"/>
  <c r="I42" i="2" s="1"/>
  <c r="V42" i="2" s="1"/>
  <c r="H42" i="2"/>
  <c r="L42" i="2" s="1"/>
  <c r="G43" i="2"/>
  <c r="I43" i="2" s="1"/>
  <c r="K43" i="2" s="1"/>
  <c r="H43" i="2"/>
  <c r="L43" i="2" s="1"/>
  <c r="G46" i="2"/>
  <c r="I46" i="2" s="1"/>
  <c r="K46" i="2" s="1"/>
  <c r="H46" i="2"/>
  <c r="L46" i="2" s="1"/>
  <c r="G45" i="2"/>
  <c r="I45" i="2" s="1"/>
  <c r="K45" i="2" s="1"/>
  <c r="H45" i="2"/>
  <c r="L45" i="2" s="1"/>
  <c r="H44" i="2"/>
  <c r="L44" i="2" s="1"/>
  <c r="G44" i="2"/>
  <c r="I44" i="2" s="1"/>
  <c r="K44" i="2" s="1"/>
  <c r="G39" i="2"/>
  <c r="I39" i="2" s="1"/>
  <c r="K39" i="2" s="1"/>
  <c r="H39" i="2"/>
  <c r="L39" i="2" s="1"/>
  <c r="H38" i="2"/>
  <c r="L38" i="2" s="1"/>
  <c r="G38" i="2"/>
  <c r="I38" i="2" s="1"/>
  <c r="K38" i="2" s="1"/>
  <c r="D16" i="4"/>
  <c r="D17" i="4"/>
  <c r="G65" i="2"/>
  <c r="I65" i="2" s="1"/>
  <c r="K65" i="2" s="1"/>
  <c r="H65" i="2"/>
  <c r="L65" i="2" s="1"/>
  <c r="G64" i="2"/>
  <c r="I64" i="2" s="1"/>
  <c r="K64" i="2" s="1"/>
  <c r="H64" i="2"/>
  <c r="L64" i="2" s="1"/>
  <c r="G63" i="2"/>
  <c r="H63" i="2"/>
  <c r="L63" i="2" s="1"/>
  <c r="G66" i="2"/>
  <c r="I66" i="2" s="1"/>
  <c r="K66" i="2" s="1"/>
  <c r="H66" i="2"/>
  <c r="L66" i="2" s="1"/>
  <c r="I5" i="4"/>
  <c r="I6" i="4"/>
  <c r="I7" i="4"/>
  <c r="I8" i="4"/>
  <c r="I10" i="4"/>
  <c r="I14" i="4"/>
  <c r="I29" i="4" s="1"/>
  <c r="I34" i="4" s="1"/>
  <c r="H67" i="2"/>
  <c r="L67" i="2" s="1"/>
  <c r="AB29" i="4"/>
  <c r="AB34" i="4" s="1"/>
  <c r="AC29" i="4"/>
  <c r="AC34" i="4" s="1"/>
  <c r="O29" i="4"/>
  <c r="U29" i="4"/>
  <c r="U34" i="4" s="1"/>
  <c r="W29" i="4"/>
  <c r="W34" i="4" s="1"/>
  <c r="Y29" i="4"/>
  <c r="Y34" i="4" s="1"/>
  <c r="AA30" i="4"/>
  <c r="AA32" i="4" s="1"/>
  <c r="AA29" i="4"/>
  <c r="AA34" i="4" s="1"/>
  <c r="L29" i="4"/>
  <c r="L34" i="4" s="1"/>
  <c r="Q29" i="4"/>
  <c r="Q34" i="4" s="1"/>
  <c r="S29" i="4"/>
  <c r="S34" i="4" s="1"/>
  <c r="F29" i="4"/>
  <c r="F34" i="4" s="1"/>
  <c r="T32" i="4"/>
  <c r="T29" i="4"/>
  <c r="T34" i="4" s="1"/>
  <c r="V29" i="4"/>
  <c r="V34" i="4" s="1"/>
  <c r="Z29" i="4"/>
  <c r="Z34" i="4" s="1"/>
  <c r="M29" i="4"/>
  <c r="M34" i="4" s="1"/>
  <c r="P29" i="4"/>
  <c r="P34" i="4" s="1"/>
  <c r="R29" i="4"/>
  <c r="E29" i="4"/>
  <c r="E34" i="4" s="1"/>
  <c r="J29" i="4"/>
  <c r="J34" i="4" s="1"/>
  <c r="H106" i="2"/>
  <c r="L106" i="2" s="1"/>
  <c r="G106" i="2"/>
  <c r="I106" i="2" s="1"/>
  <c r="K106" i="2" s="1"/>
  <c r="H107" i="2"/>
  <c r="L107" i="2" s="1"/>
  <c r="G107" i="2"/>
  <c r="I107" i="2" s="1"/>
  <c r="K107" i="2" s="1"/>
  <c r="H109" i="2"/>
  <c r="L109" i="2" s="1"/>
  <c r="G109" i="2"/>
  <c r="I109" i="2" s="1"/>
  <c r="K109" i="2" s="1"/>
  <c r="H105" i="2"/>
  <c r="L105" i="2" s="1"/>
  <c r="G105" i="2"/>
  <c r="I105" i="2" s="1"/>
  <c r="K105" i="2" s="1"/>
  <c r="H108" i="2"/>
  <c r="L108" i="2" s="1"/>
  <c r="G108" i="2"/>
  <c r="I108" i="2" s="1"/>
  <c r="K108" i="2" s="1"/>
  <c r="A48" i="2"/>
  <c r="A55" i="2" s="1"/>
  <c r="A62" i="2" s="1"/>
  <c r="A69" i="2" s="1"/>
  <c r="A76" i="2" s="1"/>
  <c r="A83" i="2" s="1"/>
  <c r="A90" i="2" s="1"/>
  <c r="A97" i="2" s="1"/>
  <c r="A104" i="2" s="1"/>
  <c r="A111" i="2" s="1"/>
  <c r="A118" i="2" s="1"/>
  <c r="A125" i="2" s="1"/>
  <c r="V98" i="2"/>
  <c r="H49" i="2"/>
  <c r="L49" i="2" s="1"/>
  <c r="G49" i="2"/>
  <c r="I49" i="2" s="1"/>
  <c r="H30" i="2"/>
  <c r="L30" i="2" s="1"/>
  <c r="G30" i="2"/>
  <c r="I30" i="2" s="1"/>
  <c r="K30" i="2" s="1"/>
  <c r="G29" i="2"/>
  <c r="I29" i="2" s="1"/>
  <c r="K29" i="2" s="1"/>
  <c r="H29" i="2"/>
  <c r="L29" i="2" s="1"/>
  <c r="G32" i="2"/>
  <c r="I32" i="2" s="1"/>
  <c r="K32" i="2" s="1"/>
  <c r="H32" i="2"/>
  <c r="L32" i="2" s="1"/>
  <c r="H28" i="2"/>
  <c r="L28" i="2" s="1"/>
  <c r="G28" i="2"/>
  <c r="I28" i="2" s="1"/>
  <c r="V28" i="2" s="1"/>
  <c r="H31" i="2"/>
  <c r="L31" i="2" s="1"/>
  <c r="G31" i="2"/>
  <c r="I31" i="2" s="1"/>
  <c r="K31" i="2" s="1"/>
  <c r="H5" i="4"/>
  <c r="H6" i="4"/>
  <c r="H7" i="4"/>
  <c r="H8" i="4"/>
  <c r="H10" i="4"/>
  <c r="H14" i="4"/>
  <c r="G6" i="4"/>
  <c r="G7" i="4"/>
  <c r="G8" i="4"/>
  <c r="G10" i="4"/>
  <c r="G14" i="4"/>
  <c r="G5" i="4"/>
  <c r="D240" i="2"/>
  <c r="G72" i="2"/>
  <c r="I72" i="2" s="1"/>
  <c r="K72" i="2" s="1"/>
  <c r="D231" i="2"/>
  <c r="E231" i="2" s="1"/>
  <c r="H71" i="2"/>
  <c r="G185" i="2"/>
  <c r="I185" i="2" s="1"/>
  <c r="H9" i="2"/>
  <c r="D28" i="4"/>
  <c r="G86" i="2"/>
  <c r="I86" i="2" s="1"/>
  <c r="K86" i="2" s="1"/>
  <c r="H72" i="2"/>
  <c r="H11" i="2"/>
  <c r="H81" i="2"/>
  <c r="L81" i="2" s="1"/>
  <c r="G74" i="2"/>
  <c r="I74" i="2" s="1"/>
  <c r="K74" i="2" s="1"/>
  <c r="H74" i="2"/>
  <c r="M28" i="4"/>
  <c r="H77" i="2"/>
  <c r="G184" i="2"/>
  <c r="I184" i="2" s="1"/>
  <c r="F231" i="2"/>
  <c r="G231" i="2" s="1"/>
  <c r="D227" i="2"/>
  <c r="E227" i="2" s="1"/>
  <c r="P28" i="4"/>
  <c r="G77" i="2"/>
  <c r="I77" i="2" s="1"/>
  <c r="G81" i="2"/>
  <c r="I81" i="2" s="1"/>
  <c r="K81" i="2" s="1"/>
  <c r="G9" i="2"/>
  <c r="I9" i="2" s="1"/>
  <c r="K9" i="2" s="1"/>
  <c r="G8" i="2"/>
  <c r="I8" i="2" s="1"/>
  <c r="K8" i="2" s="1"/>
  <c r="D228" i="2"/>
  <c r="E228" i="2" s="1"/>
  <c r="N28" i="4"/>
  <c r="E28" i="4"/>
  <c r="H84" i="2"/>
  <c r="L84" i="2" s="1"/>
  <c r="G84" i="2"/>
  <c r="I84" i="2" s="1"/>
  <c r="H78" i="2"/>
  <c r="L78" i="2" s="1"/>
  <c r="G78" i="2"/>
  <c r="I78" i="2" s="1"/>
  <c r="K78" i="2" s="1"/>
  <c r="F28" i="4"/>
  <c r="G11" i="2"/>
  <c r="I11" i="2" s="1"/>
  <c r="K11" i="2" s="1"/>
  <c r="H70" i="2"/>
  <c r="L70" i="2" s="1"/>
  <c r="G73" i="2"/>
  <c r="I73" i="2" s="1"/>
  <c r="K73" i="2" s="1"/>
  <c r="L28" i="4"/>
  <c r="G71" i="2"/>
  <c r="I71" i="2" s="1"/>
  <c r="K71" i="2" s="1"/>
  <c r="H156" i="2"/>
  <c r="L156" i="2" s="1"/>
  <c r="G156" i="2"/>
  <c r="I156" i="2" s="1"/>
  <c r="H154" i="2"/>
  <c r="L154" i="2" s="1"/>
  <c r="G154" i="2"/>
  <c r="I154" i="2" s="1"/>
  <c r="V154" i="2" s="1"/>
  <c r="H158" i="2"/>
  <c r="L158" i="2" s="1"/>
  <c r="G158" i="2"/>
  <c r="I158" i="2" s="1"/>
  <c r="H157" i="2"/>
  <c r="L157" i="2" s="1"/>
  <c r="G157" i="2"/>
  <c r="I157" i="2" s="1"/>
  <c r="D226" i="2"/>
  <c r="E226" i="2" s="1"/>
  <c r="F227" i="2"/>
  <c r="G227" i="2" s="1"/>
  <c r="G228" i="2"/>
  <c r="H186" i="2"/>
  <c r="L186" i="2" s="1"/>
  <c r="G186" i="2"/>
  <c r="I186" i="2" s="1"/>
  <c r="G10" i="2"/>
  <c r="I10" i="2" s="1"/>
  <c r="K10" i="2" s="1"/>
  <c r="H10" i="2"/>
  <c r="L10" i="2" s="1"/>
  <c r="H87" i="2"/>
  <c r="L87" i="2" s="1"/>
  <c r="G87" i="2"/>
  <c r="I87" i="2" s="1"/>
  <c r="K87" i="2" s="1"/>
  <c r="G70" i="2"/>
  <c r="I70" i="2" s="1"/>
  <c r="H8" i="2"/>
  <c r="L8" i="2" s="1"/>
  <c r="H80" i="2"/>
  <c r="L80" i="2" s="1"/>
  <c r="G80" i="2"/>
  <c r="I80" i="2" s="1"/>
  <c r="K80" i="2" s="1"/>
  <c r="H73" i="2"/>
  <c r="L73" i="2" s="1"/>
  <c r="J28" i="4"/>
  <c r="H182" i="2"/>
  <c r="L182" i="2" s="1"/>
  <c r="G182" i="2"/>
  <c r="I182" i="2" s="1"/>
  <c r="V182" i="2" s="1"/>
  <c r="H184" i="2"/>
  <c r="L184" i="2" s="1"/>
  <c r="H85" i="2"/>
  <c r="L85" i="2" s="1"/>
  <c r="G85" i="2"/>
  <c r="I85" i="2" s="1"/>
  <c r="K85" i="2" s="1"/>
  <c r="O28" i="4"/>
  <c r="H88" i="2"/>
  <c r="L88" i="2" s="1"/>
  <c r="G88" i="2"/>
  <c r="I88" i="2" s="1"/>
  <c r="K88" i="2" s="1"/>
  <c r="V196" i="2"/>
  <c r="H86" i="2"/>
  <c r="L86" i="2" s="1"/>
  <c r="AC28" i="4"/>
  <c r="B21" i="13"/>
  <c r="M194" i="2"/>
  <c r="B28" i="13"/>
  <c r="M89" i="2"/>
  <c r="B14" i="13" s="1"/>
  <c r="M82" i="2"/>
  <c r="B13" i="13" s="1"/>
  <c r="Y28" i="4"/>
  <c r="W28" i="4"/>
  <c r="V28" i="4"/>
  <c r="Z28" i="4"/>
  <c r="X28" i="4"/>
  <c r="AB28" i="4"/>
  <c r="AA28" i="4"/>
  <c r="H185" i="2"/>
  <c r="L185" i="2" s="1"/>
  <c r="M145" i="2"/>
  <c r="B22" i="13" s="1"/>
  <c r="F226" i="2"/>
  <c r="G226" i="2" s="1"/>
  <c r="F230" i="2"/>
  <c r="G229" i="2"/>
  <c r="D229" i="2"/>
  <c r="E229" i="2" s="1"/>
  <c r="D230" i="2"/>
  <c r="H135" i="2"/>
  <c r="L135" i="2" s="1"/>
  <c r="G135" i="2"/>
  <c r="U28" i="4"/>
  <c r="G133" i="2"/>
  <c r="H133" i="2"/>
  <c r="L133" i="2" s="1"/>
  <c r="G134" i="2"/>
  <c r="H134" i="2"/>
  <c r="L134" i="2" s="1"/>
  <c r="G136" i="2"/>
  <c r="I136" i="2" s="1"/>
  <c r="K136" i="2" s="1"/>
  <c r="H136" i="2"/>
  <c r="L136" i="2" s="1"/>
  <c r="T28" i="4"/>
  <c r="S28" i="4"/>
  <c r="R28" i="4"/>
  <c r="Q28" i="4"/>
  <c r="J199" i="2" l="1"/>
  <c r="L199" i="2"/>
  <c r="L200" i="2"/>
  <c r="J200" i="2"/>
  <c r="J196" i="2"/>
  <c r="L196" i="2"/>
  <c r="L197" i="2"/>
  <c r="J197" i="2"/>
  <c r="J195" i="2"/>
  <c r="L195" i="2"/>
  <c r="L198" i="2"/>
  <c r="J198" i="2"/>
  <c r="J148" i="2"/>
  <c r="L148" i="2"/>
  <c r="J139" i="2"/>
  <c r="L139" i="2"/>
  <c r="L144" i="2"/>
  <c r="J144" i="2"/>
  <c r="L163" i="2"/>
  <c r="J163" i="2"/>
  <c r="L150" i="2"/>
  <c r="J150" i="2"/>
  <c r="L151" i="2"/>
  <c r="J151" i="2"/>
  <c r="L149" i="2"/>
  <c r="J149" i="2"/>
  <c r="L140" i="2"/>
  <c r="J140" i="2"/>
  <c r="L160" i="2"/>
  <c r="J160" i="2"/>
  <c r="L147" i="2"/>
  <c r="J147" i="2"/>
  <c r="L141" i="2"/>
  <c r="J141" i="2"/>
  <c r="L162" i="2"/>
  <c r="J162" i="2"/>
  <c r="L143" i="2"/>
  <c r="J143" i="2"/>
  <c r="J146" i="2"/>
  <c r="L146" i="2"/>
  <c r="J161" i="2"/>
  <c r="L161" i="2"/>
  <c r="L164" i="2"/>
  <c r="J164" i="2"/>
  <c r="L142" i="2"/>
  <c r="J142" i="2"/>
  <c r="J165" i="2"/>
  <c r="L165" i="2"/>
  <c r="J118" i="2"/>
  <c r="L118" i="2"/>
  <c r="J120" i="2"/>
  <c r="L120" i="2"/>
  <c r="L119" i="2"/>
  <c r="J119" i="2"/>
  <c r="L122" i="2"/>
  <c r="J122" i="2"/>
  <c r="L121" i="2"/>
  <c r="J121" i="2"/>
  <c r="J123" i="2"/>
  <c r="L123" i="2"/>
  <c r="J114" i="2"/>
  <c r="L114" i="2"/>
  <c r="L113" i="2"/>
  <c r="J113" i="2"/>
  <c r="J112" i="2"/>
  <c r="L112" i="2"/>
  <c r="J111" i="2"/>
  <c r="L111" i="2"/>
  <c r="L115" i="2"/>
  <c r="J115" i="2"/>
  <c r="L116" i="2"/>
  <c r="J116" i="2"/>
  <c r="L95" i="2"/>
  <c r="J95" i="2"/>
  <c r="J93" i="2"/>
  <c r="L93" i="2"/>
  <c r="J92" i="2"/>
  <c r="L92" i="2"/>
  <c r="J91" i="2"/>
  <c r="L91" i="2"/>
  <c r="L90" i="2"/>
  <c r="J90" i="2"/>
  <c r="J94" i="2"/>
  <c r="L94" i="2"/>
  <c r="K56" i="2"/>
  <c r="V140" i="2"/>
  <c r="AD31" i="4"/>
  <c r="H31" i="4"/>
  <c r="G31" i="4"/>
  <c r="I31" i="4"/>
  <c r="L229" i="2"/>
  <c r="L228" i="2"/>
  <c r="V143" i="2"/>
  <c r="O32" i="4"/>
  <c r="J128" i="2"/>
  <c r="L128" i="2"/>
  <c r="G131" i="2"/>
  <c r="I125" i="2"/>
  <c r="L125" i="2"/>
  <c r="J125" i="2"/>
  <c r="H131" i="2"/>
  <c r="L127" i="2"/>
  <c r="J127" i="2"/>
  <c r="L129" i="2"/>
  <c r="J129" i="2"/>
  <c r="L130" i="2"/>
  <c r="J130" i="2"/>
  <c r="L126" i="2"/>
  <c r="J126" i="2"/>
  <c r="L13" i="2"/>
  <c r="J13" i="2"/>
  <c r="L18" i="2"/>
  <c r="J18" i="2"/>
  <c r="L16" i="2"/>
  <c r="J16" i="2"/>
  <c r="J17" i="2"/>
  <c r="L17" i="2"/>
  <c r="J15" i="2"/>
  <c r="L15" i="2"/>
  <c r="L14" i="2"/>
  <c r="J14" i="2"/>
  <c r="G41" i="2"/>
  <c r="I41" i="2" s="1"/>
  <c r="V160" i="2"/>
  <c r="H48" i="2"/>
  <c r="L48" i="2" s="1"/>
  <c r="H132" i="2"/>
  <c r="L132" i="2" s="1"/>
  <c r="H83" i="2"/>
  <c r="I63" i="2"/>
  <c r="V63" i="2" s="1"/>
  <c r="V188" i="2"/>
  <c r="G48" i="2"/>
  <c r="I48" i="2" s="1"/>
  <c r="V48" i="2" s="1"/>
  <c r="G132" i="2"/>
  <c r="I132" i="2" s="1"/>
  <c r="V132" i="2" s="1"/>
  <c r="G76" i="2"/>
  <c r="I76" i="2" s="1"/>
  <c r="H76" i="2"/>
  <c r="L76" i="2" s="1"/>
  <c r="G181" i="2"/>
  <c r="I181" i="2" s="1"/>
  <c r="V181" i="2" s="1"/>
  <c r="H41" i="2"/>
  <c r="L41" i="2" s="1"/>
  <c r="D47" i="2"/>
  <c r="H8" i="13" s="1"/>
  <c r="H20" i="2"/>
  <c r="L20" i="2" s="1"/>
  <c r="G153" i="2"/>
  <c r="I153" i="2" s="1"/>
  <c r="V153" i="2" s="1"/>
  <c r="H104" i="2"/>
  <c r="L104" i="2" s="1"/>
  <c r="G27" i="2"/>
  <c r="I27" i="2" s="1"/>
  <c r="E173" i="2"/>
  <c r="H26" i="13" s="1"/>
  <c r="H14" i="13"/>
  <c r="V146" i="2"/>
  <c r="H153" i="2"/>
  <c r="L153" i="2" s="1"/>
  <c r="H27" i="2"/>
  <c r="L27" i="2" s="1"/>
  <c r="G83" i="2"/>
  <c r="G89" i="2" s="1"/>
  <c r="H155" i="2"/>
  <c r="L155" i="2" s="1"/>
  <c r="G104" i="2"/>
  <c r="I104" i="2" s="1"/>
  <c r="D159" i="2"/>
  <c r="H24" i="13" s="1"/>
  <c r="D26" i="2"/>
  <c r="H5" i="13" s="1"/>
  <c r="H55" i="2"/>
  <c r="L55" i="2" s="1"/>
  <c r="G20" i="2"/>
  <c r="I20" i="2" s="1"/>
  <c r="K20" i="2" s="1"/>
  <c r="G155" i="2"/>
  <c r="I155" i="2" s="1"/>
  <c r="V155" i="2" s="1"/>
  <c r="E61" i="2"/>
  <c r="V195" i="2"/>
  <c r="I226" i="2"/>
  <c r="I235" i="2" s="1"/>
  <c r="D201" i="2"/>
  <c r="H30" i="13" s="1"/>
  <c r="H181" i="2"/>
  <c r="L181" i="2" s="1"/>
  <c r="C32" i="4"/>
  <c r="E187" i="2"/>
  <c r="E180" i="2"/>
  <c r="V174" i="2"/>
  <c r="V151" i="2"/>
  <c r="V189" i="2"/>
  <c r="V177" i="2"/>
  <c r="P35" i="4"/>
  <c r="K16" i="13" s="1"/>
  <c r="P32" i="4"/>
  <c r="V128" i="2"/>
  <c r="V169" i="2"/>
  <c r="V150" i="2"/>
  <c r="V92" i="2"/>
  <c r="K182" i="2"/>
  <c r="V158" i="2"/>
  <c r="K158" i="2"/>
  <c r="V156" i="2"/>
  <c r="K156" i="2"/>
  <c r="V199" i="2"/>
  <c r="V95" i="2"/>
  <c r="V178" i="2"/>
  <c r="V179" i="2"/>
  <c r="V77" i="2"/>
  <c r="K77" i="2"/>
  <c r="J74" i="2"/>
  <c r="L74" i="2"/>
  <c r="J9" i="2"/>
  <c r="L9" i="2"/>
  <c r="J71" i="2"/>
  <c r="L71" i="2"/>
  <c r="V141" i="2"/>
  <c r="V144" i="2"/>
  <c r="Z35" i="4"/>
  <c r="K26" i="13" s="1"/>
  <c r="Z32" i="4"/>
  <c r="Y33" i="4"/>
  <c r="Y32" i="4"/>
  <c r="V129" i="2"/>
  <c r="V127" i="2"/>
  <c r="V191" i="2"/>
  <c r="V130" i="2"/>
  <c r="V94" i="2"/>
  <c r="V193" i="2"/>
  <c r="J77" i="2"/>
  <c r="L77" i="2"/>
  <c r="J72" i="2"/>
  <c r="L72" i="2"/>
  <c r="J33" i="4"/>
  <c r="J32" i="4"/>
  <c r="W33" i="4"/>
  <c r="W32" i="4"/>
  <c r="V91" i="2"/>
  <c r="V84" i="2"/>
  <c r="K84" i="2"/>
  <c r="V165" i="2"/>
  <c r="K28" i="2"/>
  <c r="V192" i="2"/>
  <c r="V149" i="2"/>
  <c r="V147" i="2"/>
  <c r="V93" i="2"/>
  <c r="V70" i="2"/>
  <c r="K70" i="2"/>
  <c r="V186" i="2"/>
  <c r="K186" i="2"/>
  <c r="V157" i="2"/>
  <c r="K157" i="2"/>
  <c r="K154" i="2"/>
  <c r="V200" i="2"/>
  <c r="V184" i="2"/>
  <c r="K184" i="2"/>
  <c r="J11" i="2"/>
  <c r="L11" i="2"/>
  <c r="V185" i="2"/>
  <c r="K185" i="2"/>
  <c r="V142" i="2"/>
  <c r="V49" i="2"/>
  <c r="K49" i="2"/>
  <c r="V33" i="4"/>
  <c r="V32" i="4"/>
  <c r="K42" i="2"/>
  <c r="AC35" i="4"/>
  <c r="K29" i="13" s="1"/>
  <c r="AC32" i="4"/>
  <c r="E230" i="2"/>
  <c r="E235" i="2" s="1"/>
  <c r="D8" i="11" s="1"/>
  <c r="D235" i="2"/>
  <c r="D6" i="11" s="1"/>
  <c r="G230" i="2"/>
  <c r="G235" i="2" s="1"/>
  <c r="H240" i="2" s="1"/>
  <c r="F235" i="2"/>
  <c r="X34" i="4"/>
  <c r="X35" i="4"/>
  <c r="O34" i="4"/>
  <c r="AD30" i="4"/>
  <c r="AD28" i="4"/>
  <c r="AD29" i="4"/>
  <c r="AD34" i="4" s="1"/>
  <c r="D215" i="2"/>
  <c r="H32" i="13" s="1"/>
  <c r="B29" i="13"/>
  <c r="V25" i="2"/>
  <c r="J25" i="2"/>
  <c r="J23" i="2"/>
  <c r="V21" i="2"/>
  <c r="J21" i="2"/>
  <c r="V22" i="2"/>
  <c r="V24" i="2"/>
  <c r="V23" i="2"/>
  <c r="J22" i="2"/>
  <c r="J24" i="2"/>
  <c r="I134" i="2"/>
  <c r="I133" i="2"/>
  <c r="K133" i="2" s="1"/>
  <c r="I135" i="2"/>
  <c r="K135" i="2" s="1"/>
  <c r="J59" i="2"/>
  <c r="I55" i="2"/>
  <c r="V55" i="2" s="1"/>
  <c r="G61" i="2"/>
  <c r="J60" i="2"/>
  <c r="J58" i="2"/>
  <c r="J56" i="2"/>
  <c r="J57" i="2"/>
  <c r="D30" i="4"/>
  <c r="D32" i="4" s="1"/>
  <c r="G29" i="4"/>
  <c r="G34" i="4" s="1"/>
  <c r="G30" i="4"/>
  <c r="V105" i="2"/>
  <c r="V119" i="2"/>
  <c r="V112" i="2"/>
  <c r="V45" i="2"/>
  <c r="A132" i="2"/>
  <c r="A139" i="2" s="1"/>
  <c r="A146" i="2" s="1"/>
  <c r="A153" i="2" s="1"/>
  <c r="A160" i="2" s="1"/>
  <c r="A167" i="2" s="1"/>
  <c r="J46" i="2"/>
  <c r="J42" i="2"/>
  <c r="J44" i="2"/>
  <c r="J45" i="2"/>
  <c r="J43" i="2"/>
  <c r="J38" i="2"/>
  <c r="J39" i="2"/>
  <c r="D29" i="4"/>
  <c r="D34" i="4" s="1"/>
  <c r="H36" i="2"/>
  <c r="L36" i="2" s="1"/>
  <c r="G36" i="2"/>
  <c r="I36" i="2" s="1"/>
  <c r="K36" i="2" s="1"/>
  <c r="H35" i="2"/>
  <c r="L35" i="2" s="1"/>
  <c r="G35" i="2"/>
  <c r="I35" i="2" s="1"/>
  <c r="K35" i="2" s="1"/>
  <c r="H37" i="2"/>
  <c r="L37" i="2" s="1"/>
  <c r="G37" i="2"/>
  <c r="I37" i="2" s="1"/>
  <c r="K37" i="2" s="1"/>
  <c r="H34" i="2"/>
  <c r="L34" i="2" s="1"/>
  <c r="D40" i="2"/>
  <c r="H7" i="13" s="1"/>
  <c r="G34" i="2"/>
  <c r="I28" i="4"/>
  <c r="J63" i="2"/>
  <c r="J64" i="2"/>
  <c r="J66" i="2"/>
  <c r="J65" i="2"/>
  <c r="I30" i="4"/>
  <c r="H11" i="13"/>
  <c r="H62" i="2"/>
  <c r="H68" i="2" s="1"/>
  <c r="G62" i="2"/>
  <c r="I62" i="2" s="1"/>
  <c r="V62" i="2" s="1"/>
  <c r="D61" i="2"/>
  <c r="J67" i="2"/>
  <c r="G67" i="2"/>
  <c r="I67" i="2" s="1"/>
  <c r="K67" i="2" s="1"/>
  <c r="H30" i="4"/>
  <c r="H29" i="4"/>
  <c r="H34" i="4" s="1"/>
  <c r="J107" i="2"/>
  <c r="J106" i="2"/>
  <c r="J109" i="2"/>
  <c r="J108" i="2"/>
  <c r="J105" i="2"/>
  <c r="L231" i="2"/>
  <c r="M231" i="2" s="1"/>
  <c r="M103" i="2"/>
  <c r="B16" i="13" s="1"/>
  <c r="V136" i="2"/>
  <c r="C237" i="2"/>
  <c r="D5" i="11" s="1"/>
  <c r="V78" i="2"/>
  <c r="V64" i="2"/>
  <c r="V39" i="2"/>
  <c r="V29" i="2"/>
  <c r="V115" i="2"/>
  <c r="V116" i="2"/>
  <c r="V88" i="2"/>
  <c r="V65" i="2"/>
  <c r="V80" i="2"/>
  <c r="V109" i="2"/>
  <c r="V74" i="2"/>
  <c r="V31" i="2"/>
  <c r="V32" i="2"/>
  <c r="V38" i="2"/>
  <c r="V99" i="2"/>
  <c r="V113" i="2"/>
  <c r="V66" i="2"/>
  <c r="V71" i="2"/>
  <c r="V73" i="2"/>
  <c r="V106" i="2"/>
  <c r="V30" i="2"/>
  <c r="V114" i="2"/>
  <c r="V108" i="2"/>
  <c r="V85" i="2"/>
  <c r="V87" i="2"/>
  <c r="V81" i="2"/>
  <c r="V86" i="2"/>
  <c r="V72" i="2"/>
  <c r="V101" i="2"/>
  <c r="V100" i="2"/>
  <c r="V102" i="2"/>
  <c r="V17" i="2"/>
  <c r="V15" i="2"/>
  <c r="V18" i="2"/>
  <c r="V16" i="2"/>
  <c r="V10" i="2"/>
  <c r="V9" i="2"/>
  <c r="V11" i="2"/>
  <c r="V8" i="2"/>
  <c r="H28" i="4"/>
  <c r="J28" i="2"/>
  <c r="J29" i="2"/>
  <c r="J30" i="2"/>
  <c r="J31" i="2"/>
  <c r="J32" i="2"/>
  <c r="J49" i="2"/>
  <c r="H53" i="2"/>
  <c r="L53" i="2" s="1"/>
  <c r="G53" i="2"/>
  <c r="I53" i="2" s="1"/>
  <c r="K53" i="2" s="1"/>
  <c r="H51" i="2"/>
  <c r="L51" i="2" s="1"/>
  <c r="G51" i="2"/>
  <c r="I51" i="2" s="1"/>
  <c r="K51" i="2" s="1"/>
  <c r="H52" i="2"/>
  <c r="L52" i="2" s="1"/>
  <c r="G52" i="2"/>
  <c r="I52" i="2" s="1"/>
  <c r="K52" i="2" s="1"/>
  <c r="H50" i="2"/>
  <c r="L50" i="2" s="1"/>
  <c r="G50" i="2"/>
  <c r="D54" i="2"/>
  <c r="H9" i="13" s="1"/>
  <c r="H13" i="13"/>
  <c r="G28" i="4"/>
  <c r="H21" i="13"/>
  <c r="H22" i="13"/>
  <c r="H12" i="13"/>
  <c r="H4" i="13"/>
  <c r="C34" i="4"/>
  <c r="C33" i="4"/>
  <c r="D124" i="2"/>
  <c r="C35" i="4"/>
  <c r="G79" i="2"/>
  <c r="I79" i="2" s="1"/>
  <c r="K79" i="2" s="1"/>
  <c r="H18" i="13"/>
  <c r="E166" i="2"/>
  <c r="H79" i="2"/>
  <c r="L79" i="2" s="1"/>
  <c r="D180" i="2"/>
  <c r="D96" i="2"/>
  <c r="P33" i="4"/>
  <c r="D194" i="2"/>
  <c r="J81" i="2"/>
  <c r="G7" i="2"/>
  <c r="I7" i="2" s="1"/>
  <c r="R35" i="4"/>
  <c r="K18" i="13" s="1"/>
  <c r="R33" i="4"/>
  <c r="Q33" i="4"/>
  <c r="Q35" i="4"/>
  <c r="K17" i="13" s="1"/>
  <c r="N33" i="4"/>
  <c r="N35" i="4"/>
  <c r="K14" i="13" s="1"/>
  <c r="M35" i="4"/>
  <c r="K13" i="13" s="1"/>
  <c r="M33" i="4"/>
  <c r="E124" i="2"/>
  <c r="D166" i="2"/>
  <c r="J70" i="2"/>
  <c r="K33" i="4"/>
  <c r="K35" i="4"/>
  <c r="K11" i="13" s="1"/>
  <c r="J35" i="4"/>
  <c r="K10" i="13" s="1"/>
  <c r="Z33" i="4"/>
  <c r="J78" i="2"/>
  <c r="J84" i="2"/>
  <c r="H137" i="2"/>
  <c r="H69" i="2"/>
  <c r="L69" i="2" s="1"/>
  <c r="E35" i="4"/>
  <c r="K5" i="13" s="1"/>
  <c r="E33" i="4"/>
  <c r="J158" i="2"/>
  <c r="J154" i="2"/>
  <c r="X33" i="4"/>
  <c r="J157" i="2"/>
  <c r="J156" i="2"/>
  <c r="L35" i="4"/>
  <c r="K12" i="13" s="1"/>
  <c r="L33" i="4"/>
  <c r="J73" i="2"/>
  <c r="J88" i="2"/>
  <c r="H7" i="2"/>
  <c r="L7" i="2" s="1"/>
  <c r="J186" i="2"/>
  <c r="Y35" i="4"/>
  <c r="K25" i="13" s="1"/>
  <c r="E96" i="2"/>
  <c r="F35" i="4"/>
  <c r="K6" i="13" s="1"/>
  <c r="F33" i="4"/>
  <c r="J10" i="2"/>
  <c r="E103" i="2"/>
  <c r="H16" i="13" s="1"/>
  <c r="H6" i="13"/>
  <c r="O35" i="4"/>
  <c r="O33" i="4"/>
  <c r="J182" i="2"/>
  <c r="G5" i="2"/>
  <c r="H5" i="2"/>
  <c r="L5" i="2" s="1"/>
  <c r="J8" i="2"/>
  <c r="G137" i="2"/>
  <c r="J86" i="2"/>
  <c r="J85" i="2"/>
  <c r="J184" i="2"/>
  <c r="J80" i="2"/>
  <c r="G69" i="2"/>
  <c r="J87" i="2"/>
  <c r="W35" i="4"/>
  <c r="K23" i="13" s="1"/>
  <c r="V35" i="4"/>
  <c r="K22" i="13" s="1"/>
  <c r="AC33" i="4"/>
  <c r="AB35" i="4"/>
  <c r="K28" i="13" s="1"/>
  <c r="AB33" i="4"/>
  <c r="D152" i="2"/>
  <c r="H23" i="13" s="1"/>
  <c r="E194" i="2"/>
  <c r="D187" i="2"/>
  <c r="G183" i="2"/>
  <c r="H183" i="2"/>
  <c r="L183" i="2" s="1"/>
  <c r="AA35" i="4"/>
  <c r="K27" i="13" s="1"/>
  <c r="AA33" i="4"/>
  <c r="J185" i="2"/>
  <c r="C3" i="13"/>
  <c r="U35" i="4"/>
  <c r="K21" i="13" s="1"/>
  <c r="U33" i="4"/>
  <c r="J134" i="2"/>
  <c r="J133" i="2"/>
  <c r="J136" i="2"/>
  <c r="J135" i="2"/>
  <c r="H20" i="13"/>
  <c r="T35" i="4"/>
  <c r="K20" i="13" s="1"/>
  <c r="T33" i="4"/>
  <c r="S35" i="4"/>
  <c r="K19" i="13" s="1"/>
  <c r="S33" i="4"/>
  <c r="R34" i="4"/>
  <c r="K181" i="2" l="1"/>
  <c r="K132" i="2"/>
  <c r="K55" i="2"/>
  <c r="K61" i="2" s="1"/>
  <c r="B34" i="13"/>
  <c r="L83" i="2"/>
  <c r="L89" i="2" s="1"/>
  <c r="H89" i="2"/>
  <c r="B30" i="4"/>
  <c r="I103" i="2"/>
  <c r="V97" i="2"/>
  <c r="V103" i="2" s="1"/>
  <c r="D16" i="13" s="1"/>
  <c r="B31" i="4"/>
  <c r="B28" i="4"/>
  <c r="K124" i="2"/>
  <c r="V118" i="2"/>
  <c r="B29" i="4"/>
  <c r="B34" i="4"/>
  <c r="K125" i="2"/>
  <c r="K131" i="2" s="1"/>
  <c r="I131" i="2"/>
  <c r="J131" i="2"/>
  <c r="H47" i="2"/>
  <c r="L131" i="2"/>
  <c r="J117" i="2"/>
  <c r="K48" i="2"/>
  <c r="J48" i="2"/>
  <c r="G47" i="2"/>
  <c r="H166" i="2"/>
  <c r="I83" i="2"/>
  <c r="I89" i="2" s="1"/>
  <c r="G110" i="2"/>
  <c r="J55" i="2"/>
  <c r="J61" i="2" s="1"/>
  <c r="J76" i="2"/>
  <c r="J173" i="2"/>
  <c r="H27" i="13"/>
  <c r="I124" i="2"/>
  <c r="J83" i="2"/>
  <c r="J89" i="2" s="1"/>
  <c r="J132" i="2"/>
  <c r="G117" i="2"/>
  <c r="J166" i="2"/>
  <c r="G124" i="2"/>
  <c r="G145" i="2"/>
  <c r="H173" i="2"/>
  <c r="J41" i="2"/>
  <c r="J47" i="2" s="1"/>
  <c r="H61" i="2"/>
  <c r="G194" i="2"/>
  <c r="G33" i="2"/>
  <c r="J20" i="2"/>
  <c r="J26" i="2" s="1"/>
  <c r="K63" i="2"/>
  <c r="H33" i="2"/>
  <c r="G68" i="2"/>
  <c r="V20" i="2"/>
  <c r="V26" i="2" s="1"/>
  <c r="H117" i="2"/>
  <c r="J153" i="2"/>
  <c r="K103" i="2"/>
  <c r="G173" i="2"/>
  <c r="H110" i="2"/>
  <c r="J104" i="2"/>
  <c r="J110" i="2" s="1"/>
  <c r="H10" i="13"/>
  <c r="L159" i="2"/>
  <c r="K155" i="2"/>
  <c r="J145" i="2"/>
  <c r="H159" i="2"/>
  <c r="G159" i="2"/>
  <c r="H145" i="2"/>
  <c r="J27" i="2"/>
  <c r="J33" i="2" s="1"/>
  <c r="J155" i="2"/>
  <c r="H28" i="13"/>
  <c r="J181" i="2"/>
  <c r="G180" i="2"/>
  <c r="V190" i="2"/>
  <c r="V194" i="2" s="1"/>
  <c r="D29" i="13" s="1"/>
  <c r="K153" i="2"/>
  <c r="V159" i="2"/>
  <c r="V163" i="2"/>
  <c r="V162" i="2"/>
  <c r="V175" i="2"/>
  <c r="V104" i="2"/>
  <c r="K104" i="2"/>
  <c r="K110" i="2" s="1"/>
  <c r="L62" i="2"/>
  <c r="L68" i="2" s="1"/>
  <c r="G35" i="4"/>
  <c r="K7" i="13" s="1"/>
  <c r="G32" i="4"/>
  <c r="V197" i="2"/>
  <c r="V7" i="2"/>
  <c r="K7" i="2"/>
  <c r="V125" i="2"/>
  <c r="V13" i="2"/>
  <c r="H201" i="2"/>
  <c r="H180" i="2"/>
  <c r="L180" i="2"/>
  <c r="V139" i="2"/>
  <c r="V145" i="2" s="1"/>
  <c r="D22" i="13" s="1"/>
  <c r="K145" i="2"/>
  <c r="V170" i="2"/>
  <c r="V171" i="2"/>
  <c r="I33" i="4"/>
  <c r="I32" i="4"/>
  <c r="V41" i="2"/>
  <c r="K41" i="2"/>
  <c r="K47" i="2" s="1"/>
  <c r="V134" i="2"/>
  <c r="K134" i="2"/>
  <c r="V126" i="2"/>
  <c r="V161" i="2"/>
  <c r="V172" i="2"/>
  <c r="AD33" i="4"/>
  <c r="AD32" i="4"/>
  <c r="V176" i="2"/>
  <c r="V76" i="2"/>
  <c r="K76" i="2"/>
  <c r="V14" i="2"/>
  <c r="V90" i="2"/>
  <c r="V96" i="2" s="1"/>
  <c r="D15" i="13" s="1"/>
  <c r="H138" i="2"/>
  <c r="L137" i="2"/>
  <c r="L138" i="2" s="1"/>
  <c r="V198" i="2"/>
  <c r="V164" i="2"/>
  <c r="V27" i="2"/>
  <c r="V33" i="2" s="1"/>
  <c r="K27" i="2"/>
  <c r="K33" i="2" s="1"/>
  <c r="V168" i="2"/>
  <c r="H35" i="4"/>
  <c r="K8" i="13" s="1"/>
  <c r="H32" i="4"/>
  <c r="V111" i="2"/>
  <c r="V117" i="2" s="1"/>
  <c r="D18" i="13" s="1"/>
  <c r="K117" i="2"/>
  <c r="I159" i="2"/>
  <c r="K24" i="13"/>
  <c r="K15" i="13"/>
  <c r="G208" i="2"/>
  <c r="AD35" i="4"/>
  <c r="K30" i="13" s="1"/>
  <c r="H208" i="2"/>
  <c r="G215" i="2"/>
  <c r="V207" i="2"/>
  <c r="V206" i="2"/>
  <c r="V205" i="2"/>
  <c r="H215" i="2"/>
  <c r="V214" i="2"/>
  <c r="C4" i="13"/>
  <c r="A174" i="2"/>
  <c r="A181" i="2" s="1"/>
  <c r="A188" i="2" s="1"/>
  <c r="A195" i="2" s="1"/>
  <c r="A202" i="2" s="1"/>
  <c r="A209" i="2" s="1"/>
  <c r="A216" i="2" s="1"/>
  <c r="V123" i="2"/>
  <c r="V120" i="2"/>
  <c r="V121" i="2"/>
  <c r="I137" i="2"/>
  <c r="V135" i="2"/>
  <c r="V133" i="2"/>
  <c r="V122" i="2"/>
  <c r="D35" i="4"/>
  <c r="K4" i="13" s="1"/>
  <c r="I61" i="2"/>
  <c r="L61" i="2"/>
  <c r="V35" i="2"/>
  <c r="I96" i="2"/>
  <c r="D33" i="4"/>
  <c r="I117" i="2"/>
  <c r="L117" i="2"/>
  <c r="V58" i="2"/>
  <c r="L47" i="2"/>
  <c r="I47" i="2"/>
  <c r="V59" i="2"/>
  <c r="V37" i="2"/>
  <c r="H40" i="2"/>
  <c r="J34" i="2"/>
  <c r="J35" i="2"/>
  <c r="G40" i="2"/>
  <c r="I34" i="2"/>
  <c r="J37" i="2"/>
  <c r="J36" i="2"/>
  <c r="V36" i="2"/>
  <c r="I35" i="4"/>
  <c r="K9" i="13" s="1"/>
  <c r="V67" i="2"/>
  <c r="J62" i="2"/>
  <c r="J68" i="2" s="1"/>
  <c r="H33" i="4"/>
  <c r="L110" i="2"/>
  <c r="I110" i="2"/>
  <c r="G33" i="4"/>
  <c r="I173" i="2"/>
  <c r="H29" i="13"/>
  <c r="M229" i="2"/>
  <c r="I145" i="2"/>
  <c r="V107" i="2"/>
  <c r="V46" i="2"/>
  <c r="V52" i="2"/>
  <c r="V79" i="2"/>
  <c r="V51" i="2"/>
  <c r="V60" i="2"/>
  <c r="V44" i="2"/>
  <c r="V53" i="2"/>
  <c r="K26" i="2"/>
  <c r="I33" i="2"/>
  <c r="L33" i="2"/>
  <c r="H54" i="2"/>
  <c r="J50" i="2"/>
  <c r="J53" i="2"/>
  <c r="J52" i="2"/>
  <c r="I50" i="2"/>
  <c r="K50" i="2" s="1"/>
  <c r="G54" i="2"/>
  <c r="J51" i="2"/>
  <c r="B241" i="2"/>
  <c r="C241" i="2"/>
  <c r="H25" i="13"/>
  <c r="H15" i="13"/>
  <c r="H19" i="13"/>
  <c r="H17" i="13"/>
  <c r="H3" i="13"/>
  <c r="K3" i="13"/>
  <c r="H82" i="2"/>
  <c r="J79" i="2"/>
  <c r="H124" i="2"/>
  <c r="L124" i="2"/>
  <c r="G103" i="2"/>
  <c r="G82" i="2"/>
  <c r="G201" i="2"/>
  <c r="H75" i="2"/>
  <c r="H194" i="2"/>
  <c r="J230" i="2"/>
  <c r="I26" i="2"/>
  <c r="J229" i="2"/>
  <c r="K229" i="2" s="1"/>
  <c r="H26" i="2"/>
  <c r="L26" i="2"/>
  <c r="J137" i="2"/>
  <c r="L230" i="2"/>
  <c r="G26" i="2"/>
  <c r="M228" i="2"/>
  <c r="J69" i="2"/>
  <c r="J75" i="2" s="1"/>
  <c r="G166" i="2"/>
  <c r="J231" i="2"/>
  <c r="K231" i="2" s="1"/>
  <c r="G138" i="2"/>
  <c r="J201" i="2"/>
  <c r="G19" i="2"/>
  <c r="D9" i="11"/>
  <c r="F240" i="2"/>
  <c r="I82" i="2"/>
  <c r="J7" i="2"/>
  <c r="G75" i="2"/>
  <c r="I69" i="2"/>
  <c r="I5" i="2"/>
  <c r="V5" i="2" s="1"/>
  <c r="G12" i="2"/>
  <c r="H103" i="2"/>
  <c r="L145" i="2" s="1"/>
  <c r="L19" i="2"/>
  <c r="J19" i="2"/>
  <c r="J227" i="2"/>
  <c r="K227" i="2" s="1"/>
  <c r="L82" i="2"/>
  <c r="H96" i="2"/>
  <c r="L75" i="2"/>
  <c r="J5" i="2"/>
  <c r="H12" i="2"/>
  <c r="L166" i="2"/>
  <c r="I19" i="2"/>
  <c r="G96" i="2"/>
  <c r="H19" i="2"/>
  <c r="L227" i="2"/>
  <c r="M227" i="2" s="1"/>
  <c r="I194" i="2"/>
  <c r="J183" i="2"/>
  <c r="H187" i="2"/>
  <c r="L187" i="2"/>
  <c r="J228" i="2"/>
  <c r="K228" i="2" s="1"/>
  <c r="I180" i="2"/>
  <c r="I166" i="2"/>
  <c r="L173" i="2"/>
  <c r="G152" i="2"/>
  <c r="I201" i="2"/>
  <c r="G187" i="2"/>
  <c r="I183" i="2"/>
  <c r="H152" i="2"/>
  <c r="L152" i="2"/>
  <c r="D7" i="11"/>
  <c r="G240" i="2"/>
  <c r="H34" i="13" l="1"/>
  <c r="K34" i="13"/>
  <c r="V82" i="2"/>
  <c r="D13" i="13" s="1"/>
  <c r="K83" i="2"/>
  <c r="K89" i="2" s="1"/>
  <c r="B33" i="4"/>
  <c r="B32" i="4"/>
  <c r="B35" i="4"/>
  <c r="L201" i="2"/>
  <c r="J82" i="2"/>
  <c r="J138" i="2"/>
  <c r="V83" i="2"/>
  <c r="C5" i="13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C34" i="13" s="1"/>
  <c r="J152" i="2"/>
  <c r="K194" i="2"/>
  <c r="J159" i="2"/>
  <c r="K62" i="2"/>
  <c r="K68" i="2" s="1"/>
  <c r="I68" i="2"/>
  <c r="K159" i="2"/>
  <c r="N194" i="2"/>
  <c r="F29" i="13" s="1"/>
  <c r="J187" i="2"/>
  <c r="J96" i="2"/>
  <c r="V19" i="2"/>
  <c r="N19" i="2" s="1"/>
  <c r="F4" i="13" s="1"/>
  <c r="J180" i="2"/>
  <c r="V201" i="2"/>
  <c r="D30" i="13" s="1"/>
  <c r="J194" i="2"/>
  <c r="V166" i="2"/>
  <c r="N166" i="2" s="1"/>
  <c r="F25" i="13" s="1"/>
  <c r="V131" i="2"/>
  <c r="V173" i="2"/>
  <c r="N173" i="2" s="1"/>
  <c r="F26" i="13" s="1"/>
  <c r="V180" i="2"/>
  <c r="D27" i="13" s="1"/>
  <c r="V183" i="2"/>
  <c r="V187" i="2" s="1"/>
  <c r="D28" i="13" s="1"/>
  <c r="K183" i="2"/>
  <c r="K187" i="2" s="1"/>
  <c r="V69" i="2"/>
  <c r="V75" i="2" s="1"/>
  <c r="D12" i="13" s="1"/>
  <c r="K69" i="2"/>
  <c r="K75" i="2" s="1"/>
  <c r="I138" i="2"/>
  <c r="K137" i="2"/>
  <c r="K138" i="2" s="1"/>
  <c r="V12" i="2"/>
  <c r="K5" i="2"/>
  <c r="K12" i="2" s="1"/>
  <c r="V34" i="2"/>
  <c r="V40" i="2" s="1"/>
  <c r="D7" i="13" s="1"/>
  <c r="K34" i="2"/>
  <c r="K40" i="2" s="1"/>
  <c r="I208" i="2"/>
  <c r="K208" i="2"/>
  <c r="I152" i="2"/>
  <c r="K152" i="2"/>
  <c r="M230" i="2"/>
  <c r="K230" i="2"/>
  <c r="L215" i="2"/>
  <c r="J215" i="2"/>
  <c r="L208" i="2"/>
  <c r="V204" i="2"/>
  <c r="K215" i="2"/>
  <c r="I215" i="2"/>
  <c r="V209" i="2"/>
  <c r="V215" i="2" s="1"/>
  <c r="J208" i="2"/>
  <c r="D24" i="13"/>
  <c r="N159" i="2"/>
  <c r="F24" i="13" s="1"/>
  <c r="D6" i="13"/>
  <c r="D5" i="13"/>
  <c r="V137" i="2"/>
  <c r="V138" i="2" s="1"/>
  <c r="D21" i="13" s="1"/>
  <c r="V124" i="2"/>
  <c r="N103" i="2"/>
  <c r="F16" i="13" s="1"/>
  <c r="L40" i="2"/>
  <c r="I40" i="2"/>
  <c r="J40" i="2"/>
  <c r="V57" i="2"/>
  <c r="V61" i="2" s="1"/>
  <c r="N117" i="2"/>
  <c r="F18" i="13" s="1"/>
  <c r="N33" i="2"/>
  <c r="F6" i="13" s="1"/>
  <c r="K180" i="2"/>
  <c r="N145" i="2"/>
  <c r="F22" i="13" s="1"/>
  <c r="K166" i="2"/>
  <c r="K173" i="2"/>
  <c r="I75" i="2"/>
  <c r="V50" i="2"/>
  <c r="V54" i="2" s="1"/>
  <c r="D9" i="13" s="1"/>
  <c r="I54" i="2"/>
  <c r="V43" i="2"/>
  <c r="V47" i="2" s="1"/>
  <c r="D8" i="13" s="1"/>
  <c r="K19" i="2"/>
  <c r="V110" i="2"/>
  <c r="D17" i="13" s="1"/>
  <c r="N26" i="2"/>
  <c r="F5" i="13" s="1"/>
  <c r="K201" i="2"/>
  <c r="K82" i="2"/>
  <c r="V148" i="2"/>
  <c r="I187" i="2"/>
  <c r="L54" i="2"/>
  <c r="K54" i="2"/>
  <c r="J54" i="2"/>
  <c r="L194" i="2"/>
  <c r="L96" i="2"/>
  <c r="J124" i="2"/>
  <c r="J12" i="2"/>
  <c r="J103" i="2"/>
  <c r="L103" i="2"/>
  <c r="L12" i="2"/>
  <c r="D241" i="2"/>
  <c r="I12" i="2"/>
  <c r="V89" i="2" l="1"/>
  <c r="D14" i="13" s="1"/>
  <c r="D20" i="13"/>
  <c r="N131" i="2"/>
  <c r="F20" i="13" s="1"/>
  <c r="N82" i="2"/>
  <c r="F13" i="13" s="1"/>
  <c r="V68" i="2"/>
  <c r="N68" i="2" s="1"/>
  <c r="F11" i="13" s="1"/>
  <c r="D4" i="13"/>
  <c r="N201" i="2"/>
  <c r="F30" i="13" s="1"/>
  <c r="D25" i="13"/>
  <c r="D26" i="13"/>
  <c r="N187" i="2"/>
  <c r="F28" i="13" s="1"/>
  <c r="N180" i="2"/>
  <c r="F27" i="13" s="1"/>
  <c r="N215" i="2"/>
  <c r="F32" i="13" s="1"/>
  <c r="D32" i="13"/>
  <c r="D3" i="13"/>
  <c r="V208" i="2"/>
  <c r="D19" i="13"/>
  <c r="N124" i="2"/>
  <c r="F19" i="13" s="1"/>
  <c r="N40" i="2"/>
  <c r="F7" i="13" s="1"/>
  <c r="N138" i="2"/>
  <c r="F21" i="13" s="1"/>
  <c r="N47" i="2"/>
  <c r="F8" i="13" s="1"/>
  <c r="D10" i="13"/>
  <c r="N110" i="2"/>
  <c r="F17" i="13" s="1"/>
  <c r="V152" i="2"/>
  <c r="N75" i="2"/>
  <c r="F12" i="13" s="1"/>
  <c r="N12" i="2"/>
  <c r="F3" i="13" s="1"/>
  <c r="N54" i="2"/>
  <c r="F9" i="13" s="1"/>
  <c r="G241" i="2"/>
  <c r="F241" i="2"/>
  <c r="H241" i="2"/>
  <c r="N89" i="2" l="1"/>
  <c r="F14" i="13" s="1"/>
  <c r="D11" i="13"/>
  <c r="N208" i="2"/>
  <c r="F31" i="13" s="1"/>
  <c r="D31" i="13"/>
  <c r="D23" i="13"/>
  <c r="N152" i="2"/>
  <c r="F23" i="13" s="1"/>
  <c r="N61" i="2"/>
  <c r="F10" i="13" s="1"/>
  <c r="E3" i="13"/>
  <c r="K96" i="2"/>
  <c r="N96" i="2"/>
  <c r="E4" i="13" l="1"/>
  <c r="E5" i="13" s="1"/>
  <c r="E6" i="13" s="1"/>
  <c r="E7" i="13" s="1"/>
  <c r="E8" i="13" s="1"/>
  <c r="E9" i="13" s="1"/>
  <c r="E10" i="13" s="1"/>
  <c r="E11" i="13" s="1"/>
  <c r="F15" i="13"/>
  <c r="E12" i="13" l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H226" i="2" l="1"/>
  <c r="H235" i="2" s="1"/>
  <c r="I242" i="2" l="1"/>
  <c r="C5" i="11" s="1"/>
  <c r="B5" i="11" s="1"/>
  <c r="G237" i="2"/>
  <c r="J226" i="2"/>
  <c r="L226" i="2"/>
  <c r="K226" i="2" l="1"/>
  <c r="K235" i="2" s="1"/>
  <c r="C8" i="11" s="1"/>
  <c r="B8" i="11" s="1"/>
  <c r="J235" i="2"/>
  <c r="C6" i="11" s="1"/>
  <c r="B6" i="11" s="1"/>
  <c r="M226" i="2"/>
  <c r="M235" i="2" s="1"/>
  <c r="C9" i="11" s="1"/>
  <c r="B9" i="11" s="1"/>
  <c r="L235" i="2"/>
  <c r="C7" i="11" s="1"/>
  <c r="B7" i="11" s="1"/>
  <c r="V222" i="2"/>
  <c r="V226" i="2" s="1"/>
  <c r="D33" i="13" l="1"/>
  <c r="N222" i="2"/>
  <c r="F33" i="13" s="1"/>
  <c r="F34" i="13" s="1"/>
  <c r="D34" i="13" l="1"/>
  <c r="E33" i="13"/>
  <c r="E34" i="13" s="1"/>
</calcChain>
</file>

<file path=xl/comments1.xml><?xml version="1.0" encoding="utf-8"?>
<comments xmlns="http://schemas.openxmlformats.org/spreadsheetml/2006/main">
  <authors>
    <author>Autor</author>
  </authors>
  <commentList>
    <comment ref="S1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76</t>
        </r>
      </text>
    </comment>
    <comment ref="S2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64 e Incidente 858 </t>
        </r>
      </text>
    </comment>
    <comment ref="S2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</t>
        </r>
      </text>
    </comment>
    <comment ref="S3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137 Estación El Belloto, anden 2. Servicio 660 XT-21-25 (viaje 75), 661 XT 24-07 (viaje 77), 662 XT 13-10 (viaje 79), 663. XT 27-23 (viaje 81) son acoplados.
E incidente 859 
</t>
        </r>
      </text>
    </comment>
    <comment ref="S5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254</t>
        </r>
      </text>
    </comment>
    <comment ref="S5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253 e Incidente 860
</t>
        </r>
      </text>
    </comment>
    <comment ref="S6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336
</t>
        </r>
      </text>
    </comment>
    <comment ref="N6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UMR se ve afectado por el aumento de movimiento de equipo vacío.</t>
        </r>
      </text>
    </comment>
    <comment ref="S7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346
Incidente 368</t>
        </r>
      </text>
    </comment>
    <comment ref="S7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406
Incidente 407</t>
        </r>
      </text>
    </comment>
    <comment ref="S8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454
Estación El Belloto, anden 2. Servicio 651 XT-17-02 (viaje 5), servicio 653 XT-19-25 (viaje 89), 655 XT-11-01 (viaje 93) y 656 XT 14-24 (viaje 95) son acoplados para cumplir con oferta de equipos en unidad múltiple.</t>
        </r>
      </text>
    </comment>
    <comment ref="P10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556
Estación El Belloto, anden 1. Servicio 658 XT-19 (viaje 50), servicio 660 XT-11 (viaje 54), 651 XT-08 (viaje 66) y 654 XT 17 (viaje 70) son acoplados para cumplir con oferta de equipos en unidad múltiple.</t>
        </r>
      </text>
    </comment>
    <comment ref="A10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Notificacion de actualización de planilla 
17-01-2024</t>
        </r>
      </text>
    </comment>
    <comment ref="S10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575 
Estación El Belloto, anden 2. Servicio 661 XT-21-06 (viaje 103) es acoplado para cumplir con oferta de equipos en unidad múltiple.</t>
        </r>
      </text>
    </comment>
    <comment ref="S11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 861 </t>
        </r>
      </text>
    </comment>
    <comment ref="S11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677 Estación El Belloto, anden 2. Servicio 661 XT-30-28 (viaje 103), servicio 663 XT-08-11 (viaje 107) y 658 XT-07-26 (viaje 123) son acoplados para cumplir con oferta de equipos en unidad múltiple.
Incidente 658
Estación El Belloto, anden 2. Servicio 601 XT-20 - 02 (viaje 05) es acoplado para cumplir con oferta de equipos en unidad múltiple.</t>
        </r>
      </text>
    </comment>
    <comment ref="S126" authorId="0" shapeId="0">
      <text>
        <r>
          <rPr>
            <b/>
            <sz val="9"/>
            <color indexed="81"/>
            <rFont val="Tahoma"/>
            <family val="2"/>
          </rPr>
          <t xml:space="preserve">Ricardo Vinet Montealegre:Incidente 716   692 </t>
        </r>
      </text>
    </comment>
    <comment ref="S13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737
</t>
        </r>
      </text>
    </comment>
    <comment ref="S13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727
</t>
        </r>
      </text>
    </comment>
    <comment ref="A15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Notificacion de actualización de planilla 
17-01-2024</t>
        </r>
      </text>
    </comment>
    <comment ref="S15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Inicidente 813</t>
        </r>
      </text>
    </comment>
    <comment ref="N15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UMR se ve afectado por el aumento de movimiento de equipo vacío</t>
        </r>
      </text>
    </comment>
    <comment ref="S16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841</t>
        </r>
      </text>
    </comment>
    <comment ref="S16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882</t>
        </r>
      </text>
    </comment>
    <comment ref="S16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881</t>
        </r>
      </text>
    </comment>
    <comment ref="S17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919</t>
        </r>
      </text>
    </comment>
    <comment ref="V18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*Viaje 12, llega hasta ES, evacúa pasajeros. KMs a descontar 31,42*2=62,84 (ES-LI).
*Viaje 16, inicia desde QU: KM a descontar 21,43*2=42,86 (PU-QU)
TOTAL= 105,7 KMs.</t>
        </r>
      </text>
    </comment>
    <comment ref="S18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924</t>
        </r>
      </text>
    </comment>
    <comment ref="V18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*Viaje 13, llega hasta PH, impacto con roca. KMs a descontar 16*2=32 (PH-PU).
*Viaje 15, llega hasta QU, evacúa pasajeros. KMs a descontar 21,43*2=42,86 (QU-PU).
*Viaje 16, inicia servicio desde ES. KMs a descontar 31,42*2=62,84 (LI-ES).
TOTAL= 137,7 KMs.</t>
        </r>
      </text>
    </comment>
    <comment ref="S203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1048</t>
        </r>
      </text>
    </comment>
    <comment ref="S210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1081</t>
        </r>
      </text>
    </comment>
    <comment ref="S216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1124
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F1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UMR se ve afectado por el aumento de movimiento de equipo vacío.</t>
        </r>
      </text>
    </comment>
    <comment ref="F2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UMR se ve afectado por el aumento de movimiento de equipo vacío</t>
        </r>
      </text>
    </comment>
  </commentList>
</comments>
</file>

<file path=xl/sharedStrings.xml><?xml version="1.0" encoding="utf-8"?>
<sst xmlns="http://schemas.openxmlformats.org/spreadsheetml/2006/main" count="708" uniqueCount="179">
  <si>
    <t>Control Contador Kilometraje de Trenes</t>
  </si>
  <si>
    <t>Contador</t>
  </si>
  <si>
    <t>Tren</t>
  </si>
  <si>
    <t>Odómetro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</si>
  <si>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</si>
  <si>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</si>
  <si>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</si>
  <si>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</si>
  <si>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</si>
  <si>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</si>
  <si>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</si>
  <si>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</si>
  <si>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</si>
  <si>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</si>
  <si>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</si>
  <si>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</si>
  <si>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</si>
  <si>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</si>
  <si>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</si>
  <si>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</si>
  <si>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</si>
  <si>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</si>
  <si>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</si>
  <si>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</si>
  <si>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</si>
  <si>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</si>
  <si>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</si>
  <si>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</si>
  <si>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</si>
  <si>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</si>
  <si>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</si>
  <si>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Kilometraje Diario Recorrido</t>
  </si>
  <si>
    <t>Kilometraje</t>
  </si>
  <si>
    <t>Diario</t>
  </si>
  <si>
    <t>Kilometraje Diario</t>
  </si>
  <si>
    <t>EB-PU</t>
  </si>
  <si>
    <t>PU-SA</t>
  </si>
  <si>
    <t>CANTIDAD DE SERVICIOS</t>
  </si>
  <si>
    <t>PU-LI</t>
  </si>
  <si>
    <t>PROGRAMADOS</t>
  </si>
  <si>
    <t>REALIZADOS</t>
  </si>
  <si>
    <t>Origen-Destino</t>
  </si>
  <si>
    <t>Total Trenes</t>
  </si>
  <si>
    <t>Total Servicios</t>
  </si>
  <si>
    <t>Kms.xTrenes</t>
  </si>
  <si>
    <t>Kmsxservicios.</t>
  </si>
  <si>
    <t>Asientos x Kms.</t>
  </si>
  <si>
    <t>Disp x Km.</t>
  </si>
  <si>
    <t>Total Odómetro</t>
  </si>
  <si>
    <t>% Uso Trenes</t>
  </si>
  <si>
    <t>Simples</t>
  </si>
  <si>
    <t>Dobles</t>
  </si>
  <si>
    <t>LI-PU</t>
  </si>
  <si>
    <t>SA-PU</t>
  </si>
  <si>
    <t>Total</t>
  </si>
  <si>
    <t>SERVICIOS</t>
  </si>
  <si>
    <t>Programados</t>
  </si>
  <si>
    <t>Realizados</t>
  </si>
  <si>
    <t>simples</t>
  </si>
  <si>
    <t>multiples</t>
  </si>
  <si>
    <t>totales</t>
  </si>
  <si>
    <t>km-servicio</t>
  </si>
  <si>
    <t>tren-km</t>
  </si>
  <si>
    <t>asiento-km</t>
  </si>
  <si>
    <t>servicio km-programado</t>
  </si>
  <si>
    <t>Trenes</t>
  </si>
  <si>
    <t>Tren-km</t>
  </si>
  <si>
    <t>Asiento-km</t>
  </si>
  <si>
    <t>dobles</t>
  </si>
  <si>
    <t>programados</t>
  </si>
  <si>
    <t>realizados</t>
  </si>
  <si>
    <t>S</t>
  </si>
  <si>
    <t>M</t>
  </si>
  <si>
    <t>Servicios PU-SA</t>
  </si>
  <si>
    <t>Servicios PU-LI</t>
  </si>
  <si>
    <t>Servicios SA-PU</t>
  </si>
  <si>
    <t>Servicios EB-PU</t>
  </si>
  <si>
    <t>Servicios LI-PU</t>
  </si>
  <si>
    <t>Km Servicio</t>
  </si>
  <si>
    <t>PU - LI</t>
  </si>
  <si>
    <t>LI - PU</t>
  </si>
  <si>
    <t>PU - SA</t>
  </si>
  <si>
    <t>SA - PU</t>
  </si>
  <si>
    <t>total</t>
  </si>
  <si>
    <t>Servicios</t>
  </si>
  <si>
    <t>HÁBIL</t>
  </si>
  <si>
    <t>km</t>
  </si>
  <si>
    <t>Trenes PU-LI</t>
  </si>
  <si>
    <t>Trenes LI-PU</t>
  </si>
  <si>
    <t>Trenes PU-SA</t>
  </si>
  <si>
    <t>Trenes SA-PU</t>
  </si>
  <si>
    <t>Trenes EB-PU</t>
  </si>
  <si>
    <t>Trenes KM</t>
  </si>
  <si>
    <t>Servicios KM</t>
  </si>
  <si>
    <t>Asientos KM</t>
  </si>
  <si>
    <t>Coches KM</t>
  </si>
  <si>
    <t>Capacidad Total</t>
  </si>
  <si>
    <t>Ton Km Brutas</t>
  </si>
  <si>
    <t>VARIABLES OPERACIONALES</t>
  </si>
  <si>
    <t>VARIABLE</t>
  </si>
  <si>
    <t>Promedio diario</t>
  </si>
  <si>
    <t>Programado</t>
  </si>
  <si>
    <t>Nº trenes</t>
  </si>
  <si>
    <t>Nº servicios</t>
  </si>
  <si>
    <t>Km-serv</t>
  </si>
  <si>
    <t>Asientos km</t>
  </si>
  <si>
    <t>UMR %</t>
  </si>
  <si>
    <t>Energía kwh</t>
  </si>
  <si>
    <t>Pax</t>
  </si>
  <si>
    <t>TIEMPO DE VIAJE (PU-LI)</t>
  </si>
  <si>
    <t>MI-LI / LI-MI</t>
  </si>
  <si>
    <t>XM28</t>
  </si>
  <si>
    <t>XM29</t>
  </si>
  <si>
    <t>XM30</t>
  </si>
  <si>
    <t>XM31</t>
  </si>
  <si>
    <t>XM32</t>
  </si>
  <si>
    <t>XM33</t>
  </si>
  <si>
    <t>XM34</t>
  </si>
  <si>
    <t>XM35</t>
  </si>
  <si>
    <t>QU-LI / LI-QU</t>
  </si>
  <si>
    <t>v</t>
  </si>
  <si>
    <t>PO-SA</t>
  </si>
  <si>
    <t>PU-EB</t>
  </si>
  <si>
    <t>Servicios PU-EB</t>
  </si>
  <si>
    <t>Trenes PU-EB</t>
  </si>
  <si>
    <t>SA-MI</t>
  </si>
  <si>
    <t>Fecha</t>
  </si>
  <si>
    <t>Odómetro acum.</t>
  </si>
  <si>
    <t>Tren-Km</t>
  </si>
  <si>
    <t>Tren-Km Acum.</t>
  </si>
  <si>
    <t>UMR Diario</t>
  </si>
  <si>
    <t>Viajes Programados</t>
  </si>
  <si>
    <t>Viajes Realizados</t>
  </si>
  <si>
    <t>IR</t>
  </si>
  <si>
    <t>Indice Regularidad (QU-via 2) 7:10am a 8:10am</t>
  </si>
  <si>
    <t>TKB (no TKBC)</t>
  </si>
  <si>
    <t>Tipo Dia</t>
  </si>
  <si>
    <t>Comentarios</t>
  </si>
  <si>
    <t>TOTAL</t>
  </si>
  <si>
    <t>Dgo-Festivo</t>
  </si>
  <si>
    <t>Laboral</t>
  </si>
  <si>
    <t>Sábado</t>
  </si>
  <si>
    <t xml:space="preserve">Cortes </t>
  </si>
  <si>
    <t>EB</t>
  </si>
  <si>
    <t>SA</t>
  </si>
  <si>
    <t>Acoples</t>
  </si>
  <si>
    <t>KmTren R</t>
  </si>
  <si>
    <t xml:space="preserve"> </t>
  </si>
  <si>
    <t>-</t>
  </si>
  <si>
    <t>PE</t>
  </si>
  <si>
    <t>PU-PE</t>
  </si>
  <si>
    <t>EB (400)</t>
  </si>
  <si>
    <t>Corte EB (600)</t>
  </si>
  <si>
    <t>Acople EB (600)</t>
  </si>
  <si>
    <t>Corte EB (400)</t>
  </si>
  <si>
    <t>Acople/Corte SA (600)</t>
  </si>
  <si>
    <t>HO-LI/LI-HO</t>
  </si>
  <si>
    <t>MI-LI</t>
  </si>
  <si>
    <t>LI-MI</t>
  </si>
  <si>
    <t>Trenes MI-LI</t>
  </si>
  <si>
    <t>Trenes LI-MI</t>
  </si>
  <si>
    <t>Servicios MI-LI</t>
  </si>
  <si>
    <t>Servicios LI-MI</t>
  </si>
  <si>
    <t>VM-PU</t>
  </si>
  <si>
    <t>VM-LI</t>
  </si>
  <si>
    <t>Oferta Enero 2024</t>
  </si>
  <si>
    <t>Enero 2024</t>
  </si>
  <si>
    <t xml:space="preserve">Cambio distribucion simple por doble 10:30 a 11:30 </t>
  </si>
  <si>
    <t>1 servicio suprimido por indisponibilidad de equipo</t>
  </si>
  <si>
    <t>PU-MI</t>
  </si>
  <si>
    <t>TREN ESPECIAL DOBLE (MI-LI) AÑO NUEVO MADRUGADA</t>
  </si>
  <si>
    <t xml:space="preserve">Nueva Prog. 2da Semana Disminucion de dobles </t>
  </si>
  <si>
    <t xml:space="preserve">Planilla Circulacion Laboral v5 . 3ra Semana Disminucion de dobles </t>
  </si>
  <si>
    <t xml:space="preserve">Planilla Circulacion Laboral v6  4ta Semana Disminucion de dobles </t>
  </si>
  <si>
    <t>Acople EB (600) vía 1</t>
  </si>
  <si>
    <t>Planilla 25 min por contigencia ROCA</t>
  </si>
  <si>
    <t>Planilla 30 min por contigencia ROCA</t>
  </si>
  <si>
    <t>Incidente 921 (impacto roca con tren sector PH) se suprimen 79 servicios. PLANILLA VALENCIA  24 min ver1 2024 Contigencia ROCA</t>
  </si>
  <si>
    <t>Planilla de circulacion 8 min (prueba)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</si>
</sst>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.00_-;\-* #,##0.00_-;_-* &quot;-&quot;??_-;_-@_-"/>
    <numFmt numFmtId="165" formatCode="d/mmm/yy"/>
    <numFmt numFmtId="166" formatCode="d/m/yy;@"/>
    <numFmt numFmtId="167" formatCode="0.0"/>
    <numFmt numFmtId="168" formatCode="dd/mm/yy;@"/>
    <numFmt numFmtId="169" formatCode="_-* #,##0\ _€_-;\-* #,##0\ _€_-;_-* &quot;-&quot;??\ _€_-;_-@_-"/>
  </numFmts>
  <fonts count="6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0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b/>
      <i/>
      <sz val="11"/>
      <color indexed="8"/>
      <name val="Arial"/>
      <family val="2"/>
    </font>
    <font>
      <b/>
      <i/>
      <sz val="9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4"/>
      <name val="Arial Black"/>
      <family val="2"/>
    </font>
    <font>
      <b/>
      <sz val="10"/>
      <color indexed="12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color indexed="9"/>
      <name val="Arial"/>
      <family val="2"/>
    </font>
    <font>
      <sz val="11"/>
      <color indexed="17"/>
      <name val="Arial"/>
      <family val="2"/>
    </font>
    <font>
      <b/>
      <sz val="11"/>
      <color indexed="9"/>
      <name val="Arial"/>
      <family val="2"/>
    </font>
    <font>
      <sz val="11"/>
      <color indexed="52"/>
      <name val="Arial"/>
      <family val="2"/>
    </font>
    <font>
      <b/>
      <sz val="11"/>
      <color indexed="52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20"/>
      <name val="Arial"/>
      <family val="2"/>
    </font>
    <font>
      <sz val="11"/>
      <color indexed="60"/>
      <name val="Arial"/>
      <family val="2"/>
    </font>
    <font>
      <b/>
      <sz val="11"/>
      <color indexed="63"/>
      <name val="Arial"/>
      <family val="2"/>
    </font>
    <font>
      <sz val="11"/>
      <color indexed="10"/>
      <name val="Arial"/>
      <family val="2"/>
    </font>
    <font>
      <i/>
      <sz val="11"/>
      <color indexed="23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36"/>
      <color theme="1"/>
      <name val="Arial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9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b/>
      <sz val="10"/>
      <color rgb="FF6E6B7B"/>
      <name val="Helvetica"/>
      <family val="2"/>
    </font>
    <font>
      <b/>
      <sz val="14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7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48"/>
        <bgColor indexed="30"/>
      </patternFill>
    </fill>
    <fill>
      <patternFill patternType="solid">
        <fgColor indexed="40"/>
        <bgColor indexed="49"/>
      </patternFill>
    </fill>
    <fill>
      <patternFill patternType="solid">
        <fgColor rgb="FFFFC000"/>
        <bgColor indexed="41"/>
      </patternFill>
    </fill>
    <fill>
      <patternFill patternType="solid">
        <fgColor indexed="22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44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41"/>
        <bgColor indexed="41"/>
      </patternFill>
    </fill>
    <fill>
      <patternFill patternType="solid">
        <fgColor indexed="51"/>
        <bgColor indexed="13"/>
      </patternFill>
    </fill>
    <fill>
      <patternFill patternType="solid">
        <fgColor indexed="42"/>
        <bgColor indexed="27"/>
      </patternFill>
    </fill>
    <fill>
      <patternFill patternType="solid">
        <fgColor rgb="FFFFC000"/>
        <bgColor indexed="49"/>
      </patternFill>
    </fill>
    <fill>
      <patternFill patternType="solid">
        <fgColor indexed="41"/>
        <bgColor indexed="49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41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41"/>
      </patternFill>
    </fill>
    <fill>
      <patternFill patternType="solid">
        <fgColor rgb="FFFFC000"/>
        <bgColor indexed="64"/>
      </patternFill>
    </fill>
    <fill>
      <patternFill patternType="solid">
        <fgColor rgb="FFCCECFF"/>
        <bgColor indexed="49"/>
      </patternFill>
    </fill>
    <fill>
      <patternFill patternType="solid">
        <fgColor rgb="FFFF0000"/>
        <bgColor indexed="41"/>
      </patternFill>
    </fill>
    <fill>
      <patternFill patternType="solid">
        <fgColor rgb="FFCCE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4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66CCFF"/>
        <bgColor indexed="31"/>
      </patternFill>
    </fill>
    <fill>
      <patternFill patternType="solid">
        <fgColor rgb="FF00B0F0"/>
        <bgColor indexed="49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31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ECFF"/>
        <bgColor indexed="31"/>
      </patternFill>
    </fill>
    <fill>
      <patternFill patternType="solid">
        <fgColor rgb="FFFFC000"/>
        <bgColor indexed="31"/>
      </patternFill>
    </fill>
    <fill>
      <patternFill patternType="solid">
        <fgColor rgb="FFFFFF00"/>
        <bgColor indexed="31"/>
      </patternFill>
    </fill>
    <fill>
      <patternFill patternType="solid">
        <fgColor rgb="FFFFFFFF"/>
        <bgColor indexed="64"/>
      </patternFill>
    </fill>
    <fill>
      <patternFill patternType="solid">
        <fgColor rgb="FFB9F5C3"/>
        <bgColor indexed="64"/>
      </patternFill>
    </fill>
    <fill>
      <patternFill patternType="solid">
        <fgColor rgb="FFFDFDFD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66CCFF"/>
        <bgColor indexed="60"/>
      </patternFill>
    </fill>
  </fills>
  <borders count="8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/>
      <diagonal/>
    </border>
    <border>
      <left style="medium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/>
      <diagonal/>
    </border>
    <border>
      <left style="medium">
        <color indexed="64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64"/>
      </right>
      <top style="thin">
        <color indexed="59"/>
      </top>
      <bottom/>
      <diagonal/>
    </border>
    <border>
      <left/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/>
      <right/>
      <top style="medium">
        <color indexed="59"/>
      </top>
      <bottom/>
      <diagonal/>
    </border>
    <border>
      <left style="thin">
        <color indexed="59"/>
      </left>
      <right/>
      <top style="medium">
        <color indexed="59"/>
      </top>
      <bottom style="thin">
        <color indexed="59"/>
      </bottom>
      <diagonal/>
    </border>
    <border>
      <left/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 style="medium">
        <color indexed="59"/>
      </right>
      <top style="thin">
        <color indexed="59"/>
      </top>
      <bottom style="thin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59"/>
      </left>
      <right style="thin">
        <color indexed="59"/>
      </right>
      <top style="medium">
        <color indexed="59"/>
      </top>
      <bottom style="medium">
        <color indexed="59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59"/>
      </right>
      <top/>
      <bottom style="thin">
        <color indexed="5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EBE9F1"/>
      </left>
      <right style="medium">
        <color rgb="FFEBE9F1"/>
      </right>
      <top style="medium">
        <color rgb="FFEBE9F1"/>
      </top>
      <bottom style="medium">
        <color rgb="FFEBE9F1"/>
      </bottom>
      <diagonal/>
    </border>
    <border>
      <left/>
      <right style="medium">
        <color rgb="FFEBE9F1"/>
      </right>
      <top/>
      <bottom style="medium">
        <color rgb="FFEBE9F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84">
    <xf numFmtId="0" fontId="0" fillId="0" borderId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16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12" borderId="0" applyNumberFormat="0" applyBorder="0" applyAlignment="0" applyProtection="0"/>
    <xf numFmtId="0" fontId="15" fillId="26" borderId="0" applyNumberFormat="0" applyBorder="0" applyAlignment="0" applyProtection="0"/>
    <xf numFmtId="0" fontId="15" fillId="11" borderId="0" applyNumberFormat="0" applyBorder="0" applyAlignment="0" applyProtection="0"/>
    <xf numFmtId="0" fontId="15" fillId="23" borderId="0" applyNumberFormat="0" applyBorder="0" applyAlignment="0" applyProtection="0"/>
    <xf numFmtId="0" fontId="15" fillId="12" borderId="0" applyNumberFormat="0" applyBorder="0" applyAlignment="0" applyProtection="0"/>
    <xf numFmtId="0" fontId="15" fillId="15" borderId="0" applyNumberFormat="0" applyBorder="0" applyAlignment="0" applyProtection="0"/>
    <xf numFmtId="0" fontId="27" fillId="27" borderId="0" applyNumberFormat="0" applyBorder="0" applyAlignment="0" applyProtection="0"/>
    <xf numFmtId="0" fontId="27" fillId="26" borderId="0" applyNumberFormat="0" applyBorder="0" applyAlignment="0" applyProtection="0"/>
    <xf numFmtId="0" fontId="27" fillId="11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27" fillId="30" borderId="0" applyNumberFormat="0" applyBorder="0" applyAlignment="0" applyProtection="0"/>
    <xf numFmtId="0" fontId="28" fillId="16" borderId="0" applyNumberFormat="0" applyBorder="0" applyAlignment="0" applyProtection="0"/>
    <xf numFmtId="0" fontId="31" fillId="10" borderId="51" applyNumberFormat="0" applyAlignment="0" applyProtection="0"/>
    <xf numFmtId="0" fontId="29" fillId="31" borderId="52" applyNumberFormat="0" applyAlignment="0" applyProtection="0"/>
    <xf numFmtId="0" fontId="30" fillId="0" borderId="53" applyNumberFormat="0" applyFill="0" applyAlignment="0" applyProtection="0"/>
    <xf numFmtId="0" fontId="32" fillId="0" borderId="0" applyNumberFormat="0" applyFill="0" applyBorder="0" applyAlignment="0" applyProtection="0"/>
    <xf numFmtId="0" fontId="27" fillId="32" borderId="0" applyNumberFormat="0" applyBorder="0" applyAlignment="0" applyProtection="0"/>
    <xf numFmtId="0" fontId="27" fillId="6" borderId="0" applyNumberFormat="0" applyBorder="0" applyAlignment="0" applyProtection="0"/>
    <xf numFmtId="0" fontId="27" fillId="33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27" fillId="34" borderId="0" applyNumberFormat="0" applyBorder="0" applyAlignment="0" applyProtection="0"/>
    <xf numFmtId="0" fontId="33" fillId="25" borderId="51" applyNumberFormat="0" applyAlignment="0" applyProtection="0"/>
    <xf numFmtId="0" fontId="34" fillId="22" borderId="0" applyNumberFormat="0" applyBorder="0" applyAlignment="0" applyProtection="0"/>
    <xf numFmtId="0" fontId="35" fillId="35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15" fillId="36" borderId="54" applyNumberFormat="0" applyAlignment="0" applyProtection="0"/>
    <xf numFmtId="0" fontId="36" fillId="10" borderId="55" applyNumberFormat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56" applyNumberFormat="0" applyFill="0" applyAlignment="0" applyProtection="0"/>
    <xf numFmtId="0" fontId="41" fillId="0" borderId="57" applyNumberFormat="0" applyFill="0" applyAlignment="0" applyProtection="0"/>
    <xf numFmtId="0" fontId="32" fillId="0" borderId="58" applyNumberFormat="0" applyFill="0" applyAlignment="0" applyProtection="0"/>
    <xf numFmtId="0" fontId="14" fillId="0" borderId="59" applyNumberFormat="0" applyFill="0" applyAlignment="0" applyProtection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49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50" fillId="0" borderId="0"/>
    <xf numFmtId="0" fontId="51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</cellStyleXfs>
  <cellXfs count="370">
    <xf numFmtId="0" fontId="0" fillId="0" borderId="0" xfId="0"/>
    <xf numFmtId="17" fontId="7" fillId="0" borderId="0" xfId="2" applyNumberFormat="1"/>
    <xf numFmtId="0" fontId="7" fillId="0" borderId="0" xfId="2"/>
    <xf numFmtId="0" fontId="9" fillId="2" borderId="0" xfId="2" applyFont="1" applyFill="1" applyAlignment="1">
      <alignment horizontal="center"/>
    </xf>
    <xf numFmtId="0" fontId="9" fillId="0" borderId="0" xfId="2" applyFont="1" applyFill="1" applyAlignment="1">
      <alignment horizontal="center"/>
    </xf>
    <xf numFmtId="3" fontId="9" fillId="3" borderId="1" xfId="2" applyNumberFormat="1" applyFont="1" applyFill="1" applyBorder="1" applyAlignment="1">
      <alignment horizontal="center" wrapText="1"/>
    </xf>
    <xf numFmtId="3" fontId="10" fillId="3" borderId="1" xfId="2" applyNumberFormat="1" applyFont="1" applyFill="1" applyBorder="1" applyAlignment="1">
      <alignment horizontal="center" wrapText="1"/>
    </xf>
    <xf numFmtId="3" fontId="9" fillId="3" borderId="3" xfId="2" applyNumberFormat="1" applyFont="1" applyFill="1" applyBorder="1" applyAlignment="1">
      <alignment horizontal="center" wrapText="1"/>
    </xf>
    <xf numFmtId="0" fontId="0" fillId="0" borderId="0" xfId="0" applyFill="1"/>
    <xf numFmtId="0" fontId="13" fillId="0" borderId="0" xfId="4" applyFont="1"/>
    <xf numFmtId="0" fontId="7" fillId="4" borderId="0" xfId="4" applyFont="1" applyFill="1" applyAlignment="1">
      <alignment horizontal="center"/>
    </xf>
    <xf numFmtId="3" fontId="7" fillId="5" borderId="2" xfId="4" applyNumberFormat="1" applyFont="1" applyFill="1" applyBorder="1" applyAlignment="1">
      <alignment horizontal="center" wrapText="1"/>
    </xf>
    <xf numFmtId="3" fontId="0" fillId="0" borderId="2" xfId="0" applyNumberFormat="1" applyBorder="1" applyAlignment="1">
      <alignment horizontal="center"/>
    </xf>
    <xf numFmtId="3" fontId="11" fillId="5" borderId="2" xfId="4" applyNumberFormat="1" applyFont="1" applyFill="1" applyBorder="1" applyAlignment="1">
      <alignment horizontal="center" wrapText="1"/>
    </xf>
    <xf numFmtId="0" fontId="7" fillId="0" borderId="0" xfId="4" applyFont="1"/>
    <xf numFmtId="0" fontId="7" fillId="0" borderId="2" xfId="4" applyFont="1" applyBorder="1" applyAlignment="1">
      <alignment horizontal="center"/>
    </xf>
    <xf numFmtId="3" fontId="0" fillId="0" borderId="4" xfId="0" applyNumberFormat="1" applyBorder="1" applyAlignment="1" applyProtection="1">
      <alignment horizontal="center" wrapText="1"/>
    </xf>
    <xf numFmtId="0" fontId="9" fillId="0" borderId="0" xfId="2" applyFont="1"/>
    <xf numFmtId="0" fontId="9" fillId="0" borderId="0" xfId="2" applyFont="1" applyBorder="1"/>
    <xf numFmtId="0" fontId="9" fillId="0" borderId="0" xfId="0" applyFont="1" applyAlignment="1">
      <alignment horizontal="center"/>
    </xf>
    <xf numFmtId="0" fontId="18" fillId="12" borderId="8" xfId="2" applyFont="1" applyFill="1" applyBorder="1" applyAlignment="1">
      <alignment horizontal="center"/>
    </xf>
    <xf numFmtId="167" fontId="9" fillId="13" borderId="0" xfId="2" applyNumberFormat="1" applyFont="1" applyFill="1" applyAlignment="1">
      <alignment horizontal="center"/>
    </xf>
    <xf numFmtId="0" fontId="19" fillId="0" borderId="2" xfId="0" applyFont="1" applyBorder="1"/>
    <xf numFmtId="0" fontId="20" fillId="14" borderId="2" xfId="0" applyFont="1" applyFill="1" applyBorder="1" applyAlignment="1">
      <alignment horizontal="center"/>
    </xf>
    <xf numFmtId="0" fontId="0" fillId="0" borderId="17" xfId="0" applyBorder="1"/>
    <xf numFmtId="0" fontId="0" fillId="0" borderId="13" xfId="0" applyBorder="1"/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" xfId="0" applyBorder="1"/>
    <xf numFmtId="0" fontId="0" fillId="0" borderId="1" xfId="0" applyBorder="1"/>
    <xf numFmtId="0" fontId="0" fillId="0" borderId="16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3" fontId="0" fillId="0" borderId="2" xfId="0" applyNumberFormat="1" applyBorder="1"/>
    <xf numFmtId="3" fontId="0" fillId="0" borderId="21" xfId="0" applyNumberFormat="1" applyBorder="1"/>
    <xf numFmtId="0" fontId="0" fillId="0" borderId="24" xfId="0" applyBorder="1"/>
    <xf numFmtId="3" fontId="0" fillId="0" borderId="25" xfId="0" applyNumberFormat="1" applyBorder="1"/>
    <xf numFmtId="3" fontId="0" fillId="0" borderId="26" xfId="0" applyNumberFormat="1" applyBorder="1"/>
    <xf numFmtId="0" fontId="18" fillId="0" borderId="0" xfId="2" applyFont="1" applyBorder="1"/>
    <xf numFmtId="0" fontId="17" fillId="7" borderId="5" xfId="2" applyFont="1" applyFill="1" applyBorder="1" applyAlignment="1">
      <alignment horizontal="center" vertical="center"/>
    </xf>
    <xf numFmtId="0" fontId="17" fillId="6" borderId="6" xfId="2" applyFont="1" applyFill="1" applyBorder="1" applyAlignment="1">
      <alignment horizontal="center" vertical="center"/>
    </xf>
    <xf numFmtId="0" fontId="0" fillId="0" borderId="0" xfId="0" applyFill="1" applyBorder="1"/>
    <xf numFmtId="0" fontId="11" fillId="0" borderId="28" xfId="0" applyFont="1" applyFill="1" applyBorder="1" applyAlignment="1" applyProtection="1">
      <alignment horizontal="center"/>
      <protection locked="0"/>
    </xf>
    <xf numFmtId="0" fontId="11" fillId="0" borderId="29" xfId="0" applyFont="1" applyFill="1" applyBorder="1" applyAlignment="1" applyProtection="1">
      <alignment horizontal="center"/>
      <protection locked="0"/>
    </xf>
    <xf numFmtId="0" fontId="11" fillId="0" borderId="30" xfId="0" applyFont="1" applyFill="1" applyBorder="1" applyAlignment="1" applyProtection="1">
      <alignment horizontal="center"/>
      <protection locked="0"/>
    </xf>
    <xf numFmtId="0" fontId="11" fillId="0" borderId="31" xfId="0" applyFont="1" applyFill="1" applyBorder="1" applyAlignment="1" applyProtection="1">
      <alignment horizontal="center"/>
      <protection locked="0"/>
    </xf>
    <xf numFmtId="0" fontId="11" fillId="0" borderId="32" xfId="0" applyFont="1" applyFill="1" applyBorder="1" applyAlignment="1" applyProtection="1">
      <alignment horizontal="center"/>
      <protection locked="0"/>
    </xf>
    <xf numFmtId="0" fontId="11" fillId="0" borderId="33" xfId="0" applyFont="1" applyFill="1" applyBorder="1" applyAlignment="1" applyProtection="1">
      <alignment horizontal="center"/>
      <protection locked="0"/>
    </xf>
    <xf numFmtId="0" fontId="11" fillId="0" borderId="34" xfId="0" applyFont="1" applyFill="1" applyBorder="1" applyAlignment="1" applyProtection="1">
      <alignment horizontal="center"/>
      <protection locked="0"/>
    </xf>
    <xf numFmtId="0" fontId="11" fillId="0" borderId="35" xfId="0" applyFont="1" applyFill="1" applyBorder="1" applyAlignment="1" applyProtection="1">
      <alignment horizontal="center"/>
      <protection locked="0"/>
    </xf>
    <xf numFmtId="0" fontId="11" fillId="0" borderId="36" xfId="0" applyFont="1" applyFill="1" applyBorder="1" applyAlignment="1" applyProtection="1">
      <alignment horizontal="center"/>
      <protection locked="0"/>
    </xf>
    <xf numFmtId="0" fontId="11" fillId="0" borderId="0" xfId="0" applyFont="1" applyFill="1" applyBorder="1" applyAlignment="1" applyProtection="1">
      <alignment horizontal="center"/>
      <protection locked="0"/>
    </xf>
    <xf numFmtId="0" fontId="11" fillId="0" borderId="37" xfId="0" applyFont="1" applyFill="1" applyBorder="1" applyAlignment="1"/>
    <xf numFmtId="167" fontId="7" fillId="0" borderId="0" xfId="0" applyNumberFormat="1" applyFont="1" applyFill="1" applyAlignment="1">
      <alignment horizontal="center"/>
    </xf>
    <xf numFmtId="0" fontId="22" fillId="0" borderId="0" xfId="0" applyFont="1" applyFill="1"/>
    <xf numFmtId="0" fontId="0" fillId="12" borderId="0" xfId="0" applyFont="1" applyFill="1"/>
    <xf numFmtId="0" fontId="0" fillId="0" borderId="0" xfId="0" applyAlignment="1">
      <alignment horizontal="center"/>
    </xf>
    <xf numFmtId="167" fontId="7" fillId="12" borderId="0" xfId="0" applyNumberFormat="1" applyFont="1" applyFill="1" applyAlignment="1">
      <alignment horizontal="center"/>
    </xf>
    <xf numFmtId="0" fontId="0" fillId="12" borderId="0" xfId="0" applyFill="1" applyAlignment="1">
      <alignment horizontal="center"/>
    </xf>
    <xf numFmtId="168" fontId="17" fillId="6" borderId="7" xfId="2" applyNumberFormat="1" applyFont="1" applyFill="1" applyBorder="1" applyAlignment="1" applyProtection="1">
      <alignment horizontal="center"/>
      <protection locked="0"/>
    </xf>
    <xf numFmtId="165" fontId="9" fillId="2" borderId="0" xfId="2" applyNumberFormat="1" applyFont="1" applyFill="1" applyAlignment="1" applyProtection="1">
      <alignment horizontal="center"/>
      <protection locked="0"/>
    </xf>
    <xf numFmtId="14" fontId="7" fillId="4" borderId="0" xfId="4" applyNumberFormat="1" applyFont="1" applyFill="1" applyAlignment="1" applyProtection="1">
      <alignment horizontal="center"/>
      <protection locked="0"/>
    </xf>
    <xf numFmtId="0" fontId="11" fillId="17" borderId="45" xfId="0" applyFont="1" applyFill="1" applyBorder="1" applyAlignment="1" applyProtection="1">
      <alignment horizontal="center"/>
    </xf>
    <xf numFmtId="0" fontId="11" fillId="18" borderId="45" xfId="0" applyFont="1" applyFill="1" applyBorder="1" applyAlignment="1" applyProtection="1">
      <alignment horizontal="center"/>
    </xf>
    <xf numFmtId="0" fontId="11" fillId="15" borderId="38" xfId="0" applyFont="1" applyFill="1" applyBorder="1" applyAlignment="1" applyProtection="1"/>
    <xf numFmtId="0" fontId="11" fillId="15" borderId="39" xfId="0" applyFont="1" applyFill="1" applyBorder="1" applyAlignment="1" applyProtection="1"/>
    <xf numFmtId="0" fontId="11" fillId="15" borderId="40" xfId="0" applyFont="1" applyFill="1" applyBorder="1" applyAlignment="1" applyProtection="1"/>
    <xf numFmtId="0" fontId="11" fillId="15" borderId="41" xfId="0" applyFont="1" applyFill="1" applyBorder="1" applyAlignment="1" applyProtection="1"/>
    <xf numFmtId="0" fontId="11" fillId="15" borderId="42" xfId="0" applyFont="1" applyFill="1" applyBorder="1" applyAlignment="1" applyProtection="1">
      <alignment horizontal="left"/>
    </xf>
    <xf numFmtId="0" fontId="11" fillId="16" borderId="40" xfId="0" applyFont="1" applyFill="1" applyBorder="1" applyAlignment="1" applyProtection="1"/>
    <xf numFmtId="0" fontId="11" fillId="16" borderId="41" xfId="0" applyFont="1" applyFill="1" applyBorder="1" applyAlignment="1" applyProtection="1"/>
    <xf numFmtId="0" fontId="11" fillId="16" borderId="43" xfId="0" applyFont="1" applyFill="1" applyBorder="1" applyAlignment="1" applyProtection="1">
      <alignment horizontal="left"/>
    </xf>
    <xf numFmtId="0" fontId="11" fillId="16" borderId="29" xfId="0" applyFont="1" applyFill="1" applyBorder="1" applyAlignment="1" applyProtection="1">
      <alignment horizontal="left"/>
    </xf>
    <xf numFmtId="0" fontId="11" fillId="16" borderId="36" xfId="0" applyFont="1" applyFill="1" applyBorder="1" applyAlignment="1" applyProtection="1">
      <alignment horizontal="left"/>
    </xf>
    <xf numFmtId="0" fontId="11" fillId="16" borderId="31" xfId="0" applyFont="1" applyFill="1" applyBorder="1" applyAlignment="1" applyProtection="1">
      <alignment horizontal="left"/>
    </xf>
    <xf numFmtId="0" fontId="11" fillId="16" borderId="44" xfId="0" applyFont="1" applyFill="1" applyBorder="1" applyAlignment="1" applyProtection="1">
      <alignment horizontal="left"/>
    </xf>
    <xf numFmtId="0" fontId="11" fillId="15" borderId="0" xfId="0" applyFont="1" applyFill="1" applyBorder="1" applyAlignment="1" applyProtection="1">
      <alignment horizontal="left"/>
    </xf>
    <xf numFmtId="0" fontId="23" fillId="0" borderId="0" xfId="0" applyFont="1" applyAlignment="1"/>
    <xf numFmtId="1" fontId="7" fillId="0" borderId="0" xfId="0" applyNumberFormat="1" applyFont="1"/>
    <xf numFmtId="1" fontId="16" fillId="0" borderId="0" xfId="0" applyNumberFormat="1" applyFont="1"/>
    <xf numFmtId="1" fontId="16" fillId="0" borderId="0" xfId="0" applyNumberFormat="1" applyFont="1" applyAlignment="1">
      <alignment horizontal="center"/>
    </xf>
    <xf numFmtId="1" fontId="7" fillId="10" borderId="43" xfId="0" applyNumberFormat="1" applyFont="1" applyFill="1" applyBorder="1" applyAlignment="1">
      <alignment horizontal="left"/>
    </xf>
    <xf numFmtId="167" fontId="7" fillId="0" borderId="0" xfId="0" applyNumberFormat="1" applyFont="1" applyAlignment="1">
      <alignment horizontal="center"/>
    </xf>
    <xf numFmtId="0" fontId="12" fillId="0" borderId="0" xfId="2" applyFont="1" applyFill="1" applyBorder="1" applyAlignment="1">
      <alignment horizontal="center"/>
    </xf>
    <xf numFmtId="0" fontId="7" fillId="0" borderId="0" xfId="2" applyFont="1" applyFill="1" applyBorder="1" applyAlignment="1">
      <alignment horizontal="center"/>
    </xf>
    <xf numFmtId="0" fontId="12" fillId="0" borderId="0" xfId="0" applyFont="1"/>
    <xf numFmtId="1" fontId="7" fillId="12" borderId="43" xfId="0" applyNumberFormat="1" applyFont="1" applyFill="1" applyBorder="1" applyAlignment="1">
      <alignment horizontal="left"/>
    </xf>
    <xf numFmtId="1" fontId="7" fillId="0" borderId="0" xfId="0" applyNumberFormat="1" applyFont="1" applyFill="1"/>
    <xf numFmtId="1" fontId="16" fillId="10" borderId="43" xfId="0" applyNumberFormat="1" applyFont="1" applyFill="1" applyBorder="1"/>
    <xf numFmtId="3" fontId="24" fillId="0" borderId="0" xfId="0" applyNumberFormat="1" applyFont="1" applyAlignment="1">
      <alignment horizontal="right"/>
    </xf>
    <xf numFmtId="3" fontId="16" fillId="10" borderId="43" xfId="0" applyNumberFormat="1" applyFont="1" applyFill="1" applyBorder="1" applyAlignment="1">
      <alignment horizontal="left"/>
    </xf>
    <xf numFmtId="3" fontId="7" fillId="0" borderId="0" xfId="0" applyNumberFormat="1" applyFont="1" applyFill="1"/>
    <xf numFmtId="1" fontId="16" fillId="10" borderId="43" xfId="0" applyNumberFormat="1" applyFont="1" applyFill="1" applyBorder="1" applyAlignment="1">
      <alignment horizontal="left"/>
    </xf>
    <xf numFmtId="14" fontId="7" fillId="10" borderId="43" xfId="0" applyNumberFormat="1" applyFont="1" applyFill="1" applyBorder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0" fontId="12" fillId="0" borderId="0" xfId="2" applyFont="1" applyFill="1" applyBorder="1" applyAlignment="1" applyProtection="1">
      <alignment horizontal="center"/>
      <protection locked="0"/>
    </xf>
    <xf numFmtId="0" fontId="25" fillId="0" borderId="23" xfId="0" applyFont="1" applyBorder="1" applyAlignment="1">
      <alignment horizontal="center"/>
    </xf>
    <xf numFmtId="17" fontId="25" fillId="0" borderId="16" xfId="0" applyNumberFormat="1" applyFont="1" applyBorder="1" applyAlignment="1">
      <alignment horizontal="center"/>
    </xf>
    <xf numFmtId="17" fontId="25" fillId="0" borderId="46" xfId="0" applyNumberFormat="1" applyFont="1" applyBorder="1" applyAlignment="1">
      <alignment horizontal="center"/>
    </xf>
    <xf numFmtId="169" fontId="0" fillId="0" borderId="0" xfId="0" applyNumberFormat="1"/>
    <xf numFmtId="21" fontId="0" fillId="0" borderId="0" xfId="0" applyNumberFormat="1" applyAlignment="1">
      <alignment horizontal="center"/>
    </xf>
    <xf numFmtId="21" fontId="0" fillId="0" borderId="0" xfId="0" applyNumberFormat="1"/>
    <xf numFmtId="17" fontId="25" fillId="0" borderId="23" xfId="0" applyNumberFormat="1" applyFont="1" applyBorder="1" applyAlignment="1">
      <alignment horizontal="center"/>
    </xf>
    <xf numFmtId="21" fontId="14" fillId="0" borderId="0" xfId="0" applyNumberFormat="1" applyFont="1" applyAlignment="1">
      <alignment horizontal="center"/>
    </xf>
    <xf numFmtId="21" fontId="15" fillId="0" borderId="0" xfId="0" applyNumberFormat="1" applyFont="1" applyAlignment="1">
      <alignment horizontal="center"/>
    </xf>
    <xf numFmtId="0" fontId="25" fillId="0" borderId="22" xfId="0" applyFont="1" applyBorder="1" applyAlignment="1">
      <alignment horizontal="center"/>
    </xf>
    <xf numFmtId="21" fontId="0" fillId="0" borderId="2" xfId="0" applyNumberFormat="1" applyBorder="1" applyAlignment="1">
      <alignment horizontal="center"/>
    </xf>
    <xf numFmtId="0" fontId="0" fillId="0" borderId="47" xfId="0" applyBorder="1"/>
    <xf numFmtId="21" fontId="0" fillId="0" borderId="48" xfId="0" applyNumberFormat="1" applyBorder="1" applyAlignment="1">
      <alignment horizontal="center"/>
    </xf>
    <xf numFmtId="21" fontId="0" fillId="0" borderId="2" xfId="0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25" fillId="0" borderId="48" xfId="0" applyFont="1" applyBorder="1" applyAlignment="1">
      <alignment horizontal="center"/>
    </xf>
    <xf numFmtId="0" fontId="0" fillId="0" borderId="49" xfId="0" applyBorder="1"/>
    <xf numFmtId="0" fontId="14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9" fillId="37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9" fillId="12" borderId="60" xfId="2" applyFont="1" applyFill="1" applyBorder="1" applyAlignment="1">
      <alignment horizontal="center"/>
    </xf>
    <xf numFmtId="0" fontId="9" fillId="12" borderId="11" xfId="2" applyFont="1" applyFill="1" applyBorder="1" applyAlignment="1">
      <alignment horizontal="center"/>
    </xf>
    <xf numFmtId="2" fontId="9" fillId="12" borderId="12" xfId="2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8" fontId="17" fillId="6" borderId="8" xfId="2" applyNumberFormat="1" applyFont="1" applyFill="1" applyBorder="1" applyAlignment="1" applyProtection="1">
      <alignment horizontal="center"/>
      <protection locked="0"/>
    </xf>
    <xf numFmtId="0" fontId="18" fillId="12" borderId="10" xfId="2" applyFont="1" applyFill="1" applyBorder="1" applyAlignment="1">
      <alignment horizontal="center"/>
    </xf>
    <xf numFmtId="3" fontId="9" fillId="12" borderId="12" xfId="2" applyNumberFormat="1" applyFont="1" applyFill="1" applyBorder="1" applyAlignment="1">
      <alignment horizontal="center"/>
    </xf>
    <xf numFmtId="0" fontId="0" fillId="0" borderId="0" xfId="0"/>
    <xf numFmtId="0" fontId="9" fillId="39" borderId="0" xfId="0" applyFont="1" applyFill="1" applyBorder="1" applyAlignment="1">
      <alignment horizontal="center"/>
    </xf>
    <xf numFmtId="0" fontId="9" fillId="39" borderId="2" xfId="0" applyFont="1" applyFill="1" applyBorder="1" applyAlignment="1">
      <alignment horizontal="center"/>
    </xf>
    <xf numFmtId="0" fontId="44" fillId="0" borderId="0" xfId="0" applyFont="1"/>
    <xf numFmtId="21" fontId="26" fillId="0" borderId="2" xfId="0" applyNumberFormat="1" applyFont="1" applyBorder="1" applyAlignment="1">
      <alignment horizontal="center"/>
    </xf>
    <xf numFmtId="169" fontId="26" fillId="0" borderId="2" xfId="1" applyNumberFormat="1" applyFont="1" applyBorder="1" applyAlignment="1">
      <alignment horizontal="center"/>
    </xf>
    <xf numFmtId="3" fontId="6" fillId="0" borderId="21" xfId="0" applyNumberFormat="1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169" fontId="26" fillId="0" borderId="21" xfId="1" applyNumberFormat="1" applyFont="1" applyBorder="1" applyAlignment="1">
      <alignment horizontal="center"/>
    </xf>
    <xf numFmtId="0" fontId="43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7" fillId="38" borderId="2" xfId="6" applyFill="1" applyBorder="1" applyAlignment="1" applyProtection="1">
      <alignment horizontal="center"/>
      <protection locked="0"/>
    </xf>
    <xf numFmtId="0" fontId="7" fillId="40" borderId="2" xfId="6" applyFill="1" applyBorder="1" applyAlignment="1" applyProtection="1">
      <alignment horizontal="center"/>
      <protection locked="0"/>
    </xf>
    <xf numFmtId="0" fontId="11" fillId="41" borderId="45" xfId="0" applyFont="1" applyFill="1" applyBorder="1" applyAlignment="1" applyProtection="1">
      <alignment horizontal="center"/>
    </xf>
    <xf numFmtId="0" fontId="9" fillId="9" borderId="2" xfId="0" applyFont="1" applyFill="1" applyBorder="1" applyAlignment="1">
      <alignment horizontal="center"/>
    </xf>
    <xf numFmtId="0" fontId="19" fillId="0" borderId="2" xfId="0" applyFont="1" applyBorder="1" applyAlignment="1">
      <alignment horizontal="center"/>
    </xf>
    <xf numFmtId="3" fontId="19" fillId="0" borderId="2" xfId="0" applyNumberFormat="1" applyFont="1" applyBorder="1" applyAlignment="1">
      <alignment horizontal="center"/>
    </xf>
    <xf numFmtId="21" fontId="0" fillId="0" borderId="0" xfId="0" applyNumberFormat="1" applyFill="1" applyBorder="1" applyAlignment="1">
      <alignment horizontal="center"/>
    </xf>
    <xf numFmtId="21" fontId="0" fillId="0" borderId="0" xfId="0" applyNumberFormat="1" applyFill="1" applyBorder="1"/>
    <xf numFmtId="21" fontId="14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horizontal="center"/>
    </xf>
    <xf numFmtId="0" fontId="9" fillId="37" borderId="2" xfId="0" applyFont="1" applyFill="1" applyBorder="1" applyAlignment="1">
      <alignment horizontal="center"/>
    </xf>
    <xf numFmtId="0" fontId="9" fillId="12" borderId="0" xfId="2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9" fillId="12" borderId="44" xfId="2" applyFont="1" applyFill="1" applyBorder="1" applyAlignment="1">
      <alignment horizontal="center"/>
    </xf>
    <xf numFmtId="0" fontId="9" fillId="12" borderId="64" xfId="2" applyFont="1" applyFill="1" applyBorder="1" applyAlignment="1" applyProtection="1">
      <alignment horizontal="center"/>
    </xf>
    <xf numFmtId="0" fontId="9" fillId="42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1" fillId="15" borderId="68" xfId="0" applyFont="1" applyFill="1" applyBorder="1" applyAlignment="1" applyProtection="1"/>
    <xf numFmtId="0" fontId="7" fillId="43" borderId="2" xfId="6" applyFill="1" applyBorder="1" applyAlignment="1" applyProtection="1">
      <alignment horizontal="center"/>
      <protection locked="0"/>
    </xf>
    <xf numFmtId="0" fontId="17" fillId="6" borderId="5" xfId="2" applyFont="1" applyFill="1" applyBorder="1" applyAlignment="1">
      <alignment horizontal="center"/>
    </xf>
    <xf numFmtId="0" fontId="47" fillId="45" borderId="15" xfId="0" applyFont="1" applyFill="1" applyBorder="1" applyAlignment="1">
      <alignment horizontal="center" vertical="center"/>
    </xf>
    <xf numFmtId="0" fontId="47" fillId="45" borderId="2" xfId="0" applyFont="1" applyFill="1" applyBorder="1" applyAlignment="1">
      <alignment horizontal="center" vertical="center"/>
    </xf>
    <xf numFmtId="14" fontId="0" fillId="0" borderId="2" xfId="0" applyNumberFormat="1" applyBorder="1"/>
    <xf numFmtId="0" fontId="48" fillId="0" borderId="2" xfId="0" applyFont="1" applyBorder="1" applyAlignment="1">
      <alignment horizontal="center" vertical="center"/>
    </xf>
    <xf numFmtId="167" fontId="0" fillId="0" borderId="0" xfId="0" applyNumberFormat="1"/>
    <xf numFmtId="167" fontId="0" fillId="0" borderId="0" xfId="0" applyNumberFormat="1" applyBorder="1"/>
    <xf numFmtId="0" fontId="45" fillId="0" borderId="2" xfId="0" applyFont="1" applyBorder="1" applyAlignment="1">
      <alignment horizontal="center"/>
    </xf>
    <xf numFmtId="3" fontId="9" fillId="0" borderId="0" xfId="0" applyNumberFormat="1" applyFont="1" applyAlignment="1">
      <alignment horizontal="center"/>
    </xf>
    <xf numFmtId="167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4" fontId="43" fillId="0" borderId="2" xfId="0" applyNumberFormat="1" applyFont="1" applyBorder="1" applyAlignment="1">
      <alignment horizontal="center" vertical="center"/>
    </xf>
    <xf numFmtId="3" fontId="43" fillId="0" borderId="2" xfId="0" applyNumberFormat="1" applyFont="1" applyBorder="1" applyAlignment="1">
      <alignment horizontal="center" vertical="center"/>
    </xf>
    <xf numFmtId="167" fontId="43" fillId="0" borderId="2" xfId="0" applyNumberFormat="1" applyFont="1" applyBorder="1" applyAlignment="1">
      <alignment horizontal="center" vertical="center"/>
    </xf>
    <xf numFmtId="167" fontId="0" fillId="0" borderId="2" xfId="0" applyNumberFormat="1" applyFill="1" applyBorder="1" applyAlignment="1">
      <alignment horizontal="center"/>
    </xf>
    <xf numFmtId="3" fontId="0" fillId="0" borderId="0" xfId="0" applyNumberFormat="1"/>
    <xf numFmtId="0" fontId="11" fillId="46" borderId="45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wrapText="1"/>
    </xf>
    <xf numFmtId="0" fontId="45" fillId="0" borderId="2" xfId="0" applyFont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20" fillId="14" borderId="2" xfId="0" applyFont="1" applyFill="1" applyBorder="1" applyAlignment="1">
      <alignment horizontal="center" vertical="center"/>
    </xf>
    <xf numFmtId="3" fontId="19" fillId="0" borderId="2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9" fillId="0" borderId="0" xfId="2" applyFont="1" applyFill="1" applyAlignment="1">
      <alignment vertical="center"/>
    </xf>
    <xf numFmtId="3" fontId="9" fillId="12" borderId="47" xfId="2" applyNumberFormat="1" applyFont="1" applyFill="1" applyBorder="1" applyAlignment="1">
      <alignment horizontal="center"/>
    </xf>
    <xf numFmtId="0" fontId="0" fillId="49" borderId="0" xfId="0" applyFill="1"/>
    <xf numFmtId="0" fontId="0" fillId="43" borderId="0" xfId="0" applyFill="1" applyAlignment="1">
      <alignment horizontal="center"/>
    </xf>
    <xf numFmtId="0" fontId="0" fillId="0" borderId="70" xfId="0" applyBorder="1" applyAlignment="1">
      <alignment horizontal="center"/>
    </xf>
    <xf numFmtId="0" fontId="0" fillId="0" borderId="70" xfId="0" applyBorder="1"/>
    <xf numFmtId="0" fontId="0" fillId="0" borderId="74" xfId="0" applyBorder="1"/>
    <xf numFmtId="0" fontId="0" fillId="43" borderId="72" xfId="0" applyFill="1" applyBorder="1" applyAlignment="1">
      <alignment horizontal="center"/>
    </xf>
    <xf numFmtId="0" fontId="0" fillId="0" borderId="75" xfId="0" applyBorder="1"/>
    <xf numFmtId="0" fontId="0" fillId="48" borderId="71" xfId="0" applyFill="1" applyBorder="1" applyAlignment="1">
      <alignment horizontal="center"/>
    </xf>
    <xf numFmtId="0" fontId="0" fillId="48" borderId="72" xfId="0" applyFill="1" applyBorder="1"/>
    <xf numFmtId="0" fontId="0" fillId="48" borderId="71" xfId="0" applyFill="1" applyBorder="1"/>
    <xf numFmtId="0" fontId="0" fillId="48" borderId="0" xfId="0" applyFill="1"/>
    <xf numFmtId="0" fontId="0" fillId="48" borderId="72" xfId="0" applyFill="1" applyBorder="1" applyAlignment="1">
      <alignment horizontal="center"/>
    </xf>
    <xf numFmtId="0" fontId="0" fillId="48" borderId="73" xfId="0" applyFill="1" applyBorder="1" applyAlignment="1">
      <alignment horizontal="center"/>
    </xf>
    <xf numFmtId="0" fontId="0" fillId="49" borderId="0" xfId="0" applyFill="1" applyAlignment="1">
      <alignment vertical="center" wrapText="1"/>
    </xf>
    <xf numFmtId="3" fontId="9" fillId="50" borderId="2" xfId="2" applyNumberFormat="1" applyFont="1" applyFill="1" applyBorder="1" applyAlignment="1">
      <alignment horizontal="center"/>
    </xf>
    <xf numFmtId="0" fontId="9" fillId="51" borderId="24" xfId="2" applyFont="1" applyFill="1" applyBorder="1" applyAlignment="1">
      <alignment horizontal="center" vertical="center" wrapText="1"/>
    </xf>
    <xf numFmtId="0" fontId="9" fillId="51" borderId="25" xfId="2" applyFont="1" applyFill="1" applyBorder="1" applyAlignment="1">
      <alignment horizontal="center" vertical="center" wrapText="1"/>
    </xf>
    <xf numFmtId="0" fontId="0" fillId="52" borderId="25" xfId="0" applyFont="1" applyFill="1" applyBorder="1" applyAlignment="1">
      <alignment horizontal="center" vertical="center"/>
    </xf>
    <xf numFmtId="0" fontId="0" fillId="52" borderId="26" xfId="0" applyFont="1" applyFill="1" applyBorder="1" applyAlignment="1">
      <alignment horizontal="center" vertical="center"/>
    </xf>
    <xf numFmtId="2" fontId="0" fillId="0" borderId="0" xfId="0" applyNumberFormat="1"/>
    <xf numFmtId="3" fontId="0" fillId="0" borderId="0" xfId="0" applyNumberFormat="1" applyFont="1" applyAlignment="1">
      <alignment horizontal="center"/>
    </xf>
    <xf numFmtId="0" fontId="18" fillId="12" borderId="8" xfId="2" applyFont="1" applyFill="1" applyBorder="1" applyAlignment="1">
      <alignment horizontal="center" vertical="center" wrapText="1"/>
    </xf>
    <xf numFmtId="0" fontId="18" fillId="12" borderId="8" xfId="2" applyFont="1" applyFill="1" applyBorder="1" applyAlignment="1">
      <alignment horizontal="center" wrapText="1"/>
    </xf>
    <xf numFmtId="0" fontId="18" fillId="0" borderId="0" xfId="2" applyFont="1" applyFill="1" applyAlignment="1">
      <alignment vertical="center" wrapText="1"/>
    </xf>
    <xf numFmtId="0" fontId="0" fillId="0" borderId="72" xfId="0" applyFill="1" applyBorder="1" applyAlignment="1">
      <alignment horizontal="center"/>
    </xf>
    <xf numFmtId="0" fontId="48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6" fontId="17" fillId="53" borderId="7" xfId="2" applyNumberFormat="1" applyFont="1" applyFill="1" applyBorder="1" applyAlignment="1" applyProtection="1">
      <alignment horizontal="center"/>
      <protection locked="0"/>
    </xf>
    <xf numFmtId="0" fontId="0" fillId="0" borderId="74" xfId="0" applyBorder="1" applyAlignment="1">
      <alignment horizontal="center"/>
    </xf>
    <xf numFmtId="0" fontId="17" fillId="6" borderId="5" xfId="2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48" borderId="0" xfId="0" applyFill="1" applyBorder="1"/>
    <xf numFmtId="0" fontId="0" fillId="38" borderId="0" xfId="0" applyFill="1"/>
    <xf numFmtId="0" fontId="0" fillId="54" borderId="0" xfId="0" applyFill="1"/>
    <xf numFmtId="1" fontId="7" fillId="12" borderId="0" xfId="0" applyNumberFormat="1" applyFont="1" applyFill="1" applyBorder="1" applyAlignment="1">
      <alignment horizontal="left"/>
    </xf>
    <xf numFmtId="1" fontId="7" fillId="55" borderId="43" xfId="0" applyNumberFormat="1" applyFont="1" applyFill="1" applyBorder="1" applyAlignment="1">
      <alignment horizontal="left"/>
    </xf>
    <xf numFmtId="0" fontId="8" fillId="0" borderId="0" xfId="2" applyFont="1" applyFill="1" applyAlignment="1"/>
    <xf numFmtId="0" fontId="9" fillId="51" borderId="61" xfId="2" applyFont="1" applyFill="1" applyBorder="1" applyAlignment="1">
      <alignment horizontal="center" vertical="center" wrapText="1"/>
    </xf>
    <xf numFmtId="0" fontId="9" fillId="51" borderId="2" xfId="2" applyFont="1" applyFill="1" applyBorder="1" applyAlignment="1">
      <alignment vertical="center" wrapText="1"/>
    </xf>
    <xf numFmtId="0" fontId="0" fillId="52" borderId="2" xfId="0" applyFill="1" applyBorder="1" applyAlignment="1">
      <alignment horizontal="center" vertical="center" wrapText="1"/>
    </xf>
    <xf numFmtId="1" fontId="7" fillId="12" borderId="2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9" fillId="0" borderId="0" xfId="2" applyFont="1" applyFill="1" applyAlignment="1">
      <alignment vertical="center" wrapText="1"/>
    </xf>
    <xf numFmtId="0" fontId="0" fillId="0" borderId="73" xfId="0" applyFill="1" applyBorder="1" applyAlignment="1">
      <alignment horizontal="center"/>
    </xf>
    <xf numFmtId="0" fontId="0" fillId="0" borderId="71" xfId="0" applyFill="1" applyBorder="1" applyAlignment="1">
      <alignment horizontal="center"/>
    </xf>
    <xf numFmtId="0" fontId="9" fillId="12" borderId="11" xfId="2" applyFont="1" applyFill="1" applyBorder="1" applyAlignment="1" applyProtection="1">
      <alignment horizontal="center"/>
    </xf>
    <xf numFmtId="0" fontId="9" fillId="9" borderId="0" xfId="0" applyFont="1" applyFill="1" applyBorder="1" applyAlignment="1">
      <alignment horizontal="center"/>
    </xf>
    <xf numFmtId="0" fontId="19" fillId="56" borderId="2" xfId="0" applyFont="1" applyFill="1" applyBorder="1" applyAlignment="1">
      <alignment horizontal="center" vertical="center"/>
    </xf>
    <xf numFmtId="3" fontId="19" fillId="56" borderId="2" xfId="0" applyNumberFormat="1" applyFont="1" applyFill="1" applyBorder="1" applyAlignment="1">
      <alignment horizontal="center" vertical="center"/>
    </xf>
    <xf numFmtId="0" fontId="0" fillId="56" borderId="0" xfId="0" applyFill="1"/>
    <xf numFmtId="0" fontId="9" fillId="39" borderId="66" xfId="0" applyFont="1" applyFill="1" applyBorder="1" applyAlignment="1">
      <alignment horizontal="center"/>
    </xf>
    <xf numFmtId="0" fontId="9" fillId="39" borderId="17" xfId="0" applyFont="1" applyFill="1" applyBorder="1" applyAlignment="1">
      <alignment horizontal="center"/>
    </xf>
    <xf numFmtId="0" fontId="9" fillId="39" borderId="65" xfId="0" applyFont="1" applyFill="1" applyBorder="1" applyAlignment="1">
      <alignment horizontal="center"/>
    </xf>
    <xf numFmtId="0" fontId="9" fillId="39" borderId="9" xfId="0" applyFont="1" applyFill="1" applyBorder="1" applyAlignment="1">
      <alignment horizontal="center"/>
    </xf>
    <xf numFmtId="0" fontId="9" fillId="39" borderId="67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9" fillId="58" borderId="2" xfId="0" applyFont="1" applyFill="1" applyBorder="1" applyAlignment="1">
      <alignment horizontal="center" vertical="center"/>
    </xf>
    <xf numFmtId="0" fontId="19" fillId="38" borderId="2" xfId="0" applyFont="1" applyFill="1" applyBorder="1" applyAlignment="1">
      <alignment horizontal="center" vertical="center"/>
    </xf>
    <xf numFmtId="3" fontId="24" fillId="58" borderId="0" xfId="0" applyNumberFormat="1" applyFont="1" applyFill="1" applyAlignment="1">
      <alignment horizontal="right"/>
    </xf>
    <xf numFmtId="0" fontId="0" fillId="52" borderId="77" xfId="0" applyFont="1" applyFill="1" applyBorder="1" applyAlignment="1">
      <alignment horizontal="center" vertical="center"/>
    </xf>
    <xf numFmtId="0" fontId="0" fillId="48" borderId="0" xfId="0" applyFill="1" applyBorder="1" applyAlignment="1">
      <alignment horizontal="center"/>
    </xf>
    <xf numFmtId="0" fontId="0" fillId="0" borderId="72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7" fillId="6" borderId="5" xfId="2" applyFont="1" applyFill="1" applyBorder="1" applyAlignment="1">
      <alignment horizontal="center"/>
    </xf>
    <xf numFmtId="3" fontId="42" fillId="54" borderId="0" xfId="0" applyNumberFormat="1" applyFont="1" applyFill="1"/>
    <xf numFmtId="0" fontId="52" fillId="57" borderId="2" xfId="0" applyFont="1" applyFill="1" applyBorder="1"/>
    <xf numFmtId="0" fontId="0" fillId="0" borderId="0" xfId="0" applyAlignment="1">
      <alignment horizontal="center"/>
    </xf>
    <xf numFmtId="2" fontId="7" fillId="0" borderId="0" xfId="0" applyNumberFormat="1" applyFont="1" applyAlignment="1">
      <alignment horizontal="center"/>
    </xf>
    <xf numFmtId="0" fontId="0" fillId="52" borderId="61" xfId="0" applyFont="1" applyFill="1" applyBorder="1" applyAlignment="1">
      <alignment horizontal="center" vertical="center"/>
    </xf>
    <xf numFmtId="0" fontId="0" fillId="5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3" fontId="0" fillId="0" borderId="0" xfId="0" applyNumberFormat="1" applyFill="1"/>
    <xf numFmtId="0" fontId="0" fillId="0" borderId="0" xfId="0" applyAlignment="1">
      <alignment horizontal="center"/>
    </xf>
    <xf numFmtId="0" fontId="0" fillId="0" borderId="70" xfId="0" applyFill="1" applyBorder="1" applyAlignment="1">
      <alignment horizontal="center"/>
    </xf>
    <xf numFmtId="0" fontId="0" fillId="54" borderId="72" xfId="0" applyFill="1" applyBorder="1"/>
    <xf numFmtId="0" fontId="0" fillId="0" borderId="72" xfId="0" applyFill="1" applyBorder="1" applyAlignment="1">
      <alignment horizontal="right"/>
    </xf>
    <xf numFmtId="0" fontId="7" fillId="0" borderId="0" xfId="4" applyFont="1" applyBorder="1" applyAlignment="1">
      <alignment horizontal="center"/>
    </xf>
    <xf numFmtId="3" fontId="0" fillId="0" borderId="0" xfId="0" applyNumberFormat="1" applyBorder="1" applyAlignment="1" applyProtection="1">
      <alignment horizontal="center" wrapText="1"/>
    </xf>
    <xf numFmtId="0" fontId="11" fillId="59" borderId="0" xfId="0" applyFont="1" applyFill="1" applyBorder="1" applyAlignment="1" applyProtection="1">
      <alignment horizontal="center"/>
      <protection locked="0"/>
    </xf>
    <xf numFmtId="0" fontId="0" fillId="0" borderId="0" xfId="0" applyFill="1" applyAlignment="1">
      <alignment horizontal="center" vertical="center" wrapText="1"/>
    </xf>
    <xf numFmtId="4" fontId="42" fillId="54" borderId="0" xfId="0" applyNumberFormat="1" applyFont="1" applyFill="1"/>
    <xf numFmtId="0" fontId="0" fillId="0" borderId="75" xfId="0" applyBorder="1" applyAlignment="1">
      <alignment horizontal="center"/>
    </xf>
    <xf numFmtId="0" fontId="0" fillId="0" borderId="0" xfId="0" applyBorder="1"/>
    <xf numFmtId="3" fontId="0" fillId="0" borderId="0" xfId="0" applyNumberForma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45" fillId="0" borderId="0" xfId="0" applyFont="1" applyBorder="1" applyAlignment="1">
      <alignment horizontal="center"/>
    </xf>
    <xf numFmtId="3" fontId="4" fillId="0" borderId="2" xfId="0" applyNumberFormat="1" applyFont="1" applyBorder="1" applyAlignment="1">
      <alignment horizontal="center" vertical="center" wrapText="1"/>
    </xf>
    <xf numFmtId="0" fontId="17" fillId="6" borderId="5" xfId="2" applyFont="1" applyFill="1" applyBorder="1" applyAlignment="1">
      <alignment horizontal="center"/>
    </xf>
    <xf numFmtId="0" fontId="7" fillId="43" borderId="0" xfId="6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11" fillId="59" borderId="2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48" borderId="0" xfId="0" applyFill="1" applyAlignment="1">
      <alignment horizontal="center"/>
    </xf>
    <xf numFmtId="0" fontId="0" fillId="49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1" fillId="60" borderId="2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3" fontId="3" fillId="0" borderId="2" xfId="0" applyNumberFormat="1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0" fontId="53" fillId="0" borderId="0" xfId="2" applyFont="1" applyFill="1" applyAlignment="1">
      <alignment vertical="center" wrapText="1"/>
    </xf>
    <xf numFmtId="3" fontId="1" fillId="0" borderId="2" xfId="0" applyNumberFormat="1" applyFont="1" applyBorder="1" applyAlignment="1">
      <alignment horizontal="center" vertical="center" wrapText="1"/>
    </xf>
    <xf numFmtId="0" fontId="9" fillId="43" borderId="2" xfId="0" applyFont="1" applyFill="1" applyBorder="1" applyAlignment="1">
      <alignment horizontal="center"/>
    </xf>
    <xf numFmtId="0" fontId="9" fillId="9" borderId="66" xfId="0" applyFont="1" applyFill="1" applyBorder="1" applyAlignment="1">
      <alignment horizontal="center"/>
    </xf>
    <xf numFmtId="0" fontId="9" fillId="9" borderId="17" xfId="0" applyFont="1" applyFill="1" applyBorder="1" applyAlignment="1">
      <alignment horizontal="center"/>
    </xf>
    <xf numFmtId="0" fontId="9" fillId="9" borderId="65" xfId="0" applyFont="1" applyFill="1" applyBorder="1" applyAlignment="1">
      <alignment horizontal="center"/>
    </xf>
    <xf numFmtId="0" fontId="9" fillId="9" borderId="9" xfId="0" applyFont="1" applyFill="1" applyBorder="1" applyAlignment="1">
      <alignment horizontal="center"/>
    </xf>
    <xf numFmtId="0" fontId="9" fillId="9" borderId="6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1" fillId="61" borderId="2" xfId="0" applyFont="1" applyFill="1" applyBorder="1" applyAlignment="1" applyProtection="1">
      <alignment horizontal="center"/>
      <protection locked="0"/>
    </xf>
    <xf numFmtId="0" fontId="0" fillId="0" borderId="0" xfId="0" applyAlignment="1"/>
    <xf numFmtId="0" fontId="17" fillId="6" borderId="5" xfId="2" applyFont="1" applyFill="1" applyBorder="1" applyAlignment="1">
      <alignment horizontal="center"/>
    </xf>
    <xf numFmtId="0" fontId="56" fillId="0" borderId="0" xfId="2" applyFont="1" applyFill="1" applyAlignment="1">
      <alignment vertical="center" wrapText="1"/>
    </xf>
    <xf numFmtId="0" fontId="0" fillId="0" borderId="0" xfId="0" applyAlignment="1">
      <alignment horizontal="center"/>
    </xf>
    <xf numFmtId="0" fontId="57" fillId="62" borderId="85" xfId="0" applyFont="1" applyFill="1" applyBorder="1" applyAlignment="1">
      <alignment horizontal="center" vertical="top" wrapText="1"/>
    </xf>
    <xf numFmtId="0" fontId="57" fillId="63" borderId="85" xfId="0" applyFont="1" applyFill="1" applyBorder="1" applyAlignment="1">
      <alignment horizontal="center" vertical="top" wrapText="1"/>
    </xf>
    <xf numFmtId="0" fontId="0" fillId="62" borderId="86" xfId="0" applyFill="1" applyBorder="1"/>
    <xf numFmtId="0" fontId="0" fillId="0" borderId="0" xfId="0" applyAlignment="1">
      <alignment horizontal="center"/>
    </xf>
    <xf numFmtId="0" fontId="18" fillId="54" borderId="0" xfId="2" applyFont="1" applyFill="1" applyAlignment="1">
      <alignment vertical="center" wrapText="1"/>
    </xf>
    <xf numFmtId="0" fontId="0" fillId="0" borderId="0" xfId="0" applyAlignment="1">
      <alignment horizontal="center"/>
    </xf>
    <xf numFmtId="0" fontId="0" fillId="64" borderId="87" xfId="0" applyFill="1" applyBorder="1" applyAlignment="1">
      <alignment vertical="center" wrapText="1"/>
    </xf>
    <xf numFmtId="0" fontId="0" fillId="65" borderId="87" xfId="0" applyFill="1" applyBorder="1" applyAlignment="1">
      <alignment vertical="center" wrapText="1"/>
    </xf>
    <xf numFmtId="0" fontId="0" fillId="0" borderId="71" xfId="0" applyBorder="1" applyAlignment="1">
      <alignment horizontal="center"/>
    </xf>
    <xf numFmtId="0" fontId="0" fillId="0" borderId="0" xfId="0" applyBorder="1" applyAlignment="1">
      <alignment horizontal="center"/>
    </xf>
    <xf numFmtId="166" fontId="17" fillId="66" borderId="0" xfId="2" applyNumberFormat="1" applyFont="1" applyFill="1" applyBorder="1" applyAlignment="1" applyProtection="1">
      <alignment horizontal="center" wrapText="1"/>
      <protection locked="0"/>
    </xf>
    <xf numFmtId="0" fontId="11" fillId="16" borderId="0" xfId="0" applyFont="1" applyFill="1" applyBorder="1" applyAlignment="1" applyProtection="1">
      <alignment horizontal="left"/>
    </xf>
    <xf numFmtId="0" fontId="8" fillId="0" borderId="0" xfId="2" applyFont="1" applyFill="1" applyAlignment="1">
      <alignment horizontal="center"/>
    </xf>
    <xf numFmtId="0" fontId="58" fillId="56" borderId="0" xfId="2" applyFont="1" applyFill="1" applyAlignment="1">
      <alignment horizontal="center" vertical="center" wrapText="1"/>
    </xf>
    <xf numFmtId="0" fontId="43" fillId="52" borderId="83" xfId="0" applyFont="1" applyFill="1" applyBorder="1" applyAlignment="1">
      <alignment horizontal="center"/>
    </xf>
    <xf numFmtId="0" fontId="43" fillId="52" borderId="84" xfId="0" applyFont="1" applyFill="1" applyBorder="1" applyAlignment="1">
      <alignment horizontal="center"/>
    </xf>
    <xf numFmtId="0" fontId="43" fillId="52" borderId="50" xfId="0" applyFont="1" applyFill="1" applyBorder="1" applyAlignment="1">
      <alignment horizontal="center"/>
    </xf>
    <xf numFmtId="0" fontId="16" fillId="38" borderId="0" xfId="2" applyFont="1" applyFill="1" applyAlignment="1">
      <alignment horizontal="center" vertical="center" wrapText="1"/>
    </xf>
    <xf numFmtId="0" fontId="18" fillId="51" borderId="0" xfId="2" applyFont="1" applyFill="1" applyBorder="1" applyAlignment="1">
      <alignment horizontal="center" vertical="top"/>
    </xf>
    <xf numFmtId="0" fontId="18" fillId="51" borderId="17" xfId="2" applyFont="1" applyFill="1" applyBorder="1" applyAlignment="1">
      <alignment horizontal="center" vertical="top"/>
    </xf>
    <xf numFmtId="0" fontId="13" fillId="38" borderId="0" xfId="2" applyFont="1" applyFill="1" applyAlignment="1">
      <alignment horizontal="center" vertical="center" wrapText="1"/>
    </xf>
    <xf numFmtId="0" fontId="18" fillId="49" borderId="0" xfId="2" applyFont="1" applyFill="1" applyAlignment="1">
      <alignment horizontal="center" vertical="center" wrapText="1"/>
    </xf>
    <xf numFmtId="0" fontId="18" fillId="40" borderId="0" xfId="2" applyFont="1" applyFill="1" applyAlignment="1">
      <alignment horizontal="center" vertical="center" wrapText="1"/>
    </xf>
    <xf numFmtId="0" fontId="18" fillId="38" borderId="0" xfId="2" applyFont="1" applyFill="1" applyAlignment="1">
      <alignment horizontal="center" vertical="center" wrapText="1"/>
    </xf>
    <xf numFmtId="0" fontId="58" fillId="38" borderId="0" xfId="2" applyFont="1" applyFill="1" applyAlignment="1">
      <alignment horizontal="center" vertical="center" wrapText="1"/>
    </xf>
    <xf numFmtId="0" fontId="17" fillId="7" borderId="5" xfId="2" applyFont="1" applyFill="1" applyBorder="1" applyAlignment="1">
      <alignment horizontal="center"/>
    </xf>
    <xf numFmtId="0" fontId="17" fillId="6" borderId="5" xfId="2" applyFont="1" applyFill="1" applyBorder="1" applyAlignment="1">
      <alignment horizontal="center"/>
    </xf>
    <xf numFmtId="0" fontId="17" fillId="7" borderId="5" xfId="2" applyFont="1" applyFill="1" applyBorder="1" applyAlignment="1">
      <alignment horizontal="center" vertical="center"/>
    </xf>
    <xf numFmtId="0" fontId="17" fillId="7" borderId="6" xfId="2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82" xfId="0" applyBorder="1" applyAlignment="1">
      <alignment horizontal="center"/>
    </xf>
    <xf numFmtId="0" fontId="14" fillId="47" borderId="10" xfId="0" applyFont="1" applyFill="1" applyBorder="1" applyAlignment="1">
      <alignment horizontal="center"/>
    </xf>
    <xf numFmtId="0" fontId="14" fillId="47" borderId="11" xfId="0" applyFont="1" applyFill="1" applyBorder="1" applyAlignment="1">
      <alignment horizontal="center"/>
    </xf>
    <xf numFmtId="0" fontId="14" fillId="47" borderId="12" xfId="0" applyFont="1" applyFill="1" applyBorder="1" applyAlignment="1">
      <alignment horizontal="center"/>
    </xf>
    <xf numFmtId="0" fontId="0" fillId="52" borderId="78" xfId="0" applyFill="1" applyBorder="1" applyAlignment="1">
      <alignment horizontal="center" vertical="center" wrapText="1"/>
    </xf>
    <xf numFmtId="0" fontId="0" fillId="52" borderId="79" xfId="0" applyFill="1" applyBorder="1" applyAlignment="1">
      <alignment horizontal="center" vertical="center" wrapText="1"/>
    </xf>
    <xf numFmtId="0" fontId="0" fillId="52" borderId="50" xfId="0" applyFill="1" applyBorder="1" applyAlignment="1">
      <alignment horizontal="center" vertical="center" wrapText="1"/>
    </xf>
    <xf numFmtId="0" fontId="0" fillId="52" borderId="77" xfId="0" applyFill="1" applyBorder="1" applyAlignment="1">
      <alignment horizontal="center" vertical="center" wrapText="1"/>
    </xf>
    <xf numFmtId="0" fontId="18" fillId="8" borderId="76" xfId="2" applyFont="1" applyFill="1" applyBorder="1" applyAlignment="1">
      <alignment horizontal="center" vertical="center" wrapText="1"/>
    </xf>
    <xf numFmtId="0" fontId="18" fillId="8" borderId="5" xfId="2" applyFont="1" applyFill="1" applyBorder="1" applyAlignment="1">
      <alignment horizontal="center" vertical="center" wrapText="1"/>
    </xf>
    <xf numFmtId="0" fontId="18" fillId="51" borderId="80" xfId="2" applyFont="1" applyFill="1" applyBorder="1" applyAlignment="1">
      <alignment horizontal="center" vertical="top"/>
    </xf>
    <xf numFmtId="0" fontId="18" fillId="51" borderId="81" xfId="2" applyFont="1" applyFill="1" applyBorder="1" applyAlignment="1">
      <alignment horizontal="center" vertical="top"/>
    </xf>
    <xf numFmtId="0" fontId="18" fillId="51" borderId="82" xfId="2" applyFont="1" applyFill="1" applyBorder="1" applyAlignment="1">
      <alignment horizontal="center" vertical="top"/>
    </xf>
    <xf numFmtId="14" fontId="21" fillId="0" borderId="27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46" fillId="44" borderId="69" xfId="0" applyNumberFormat="1" applyFont="1" applyFill="1" applyBorder="1" applyAlignment="1">
      <alignment horizontal="center" vertical="center"/>
    </xf>
    <xf numFmtId="49" fontId="46" fillId="44" borderId="67" xfId="0" applyNumberFormat="1" applyFont="1" applyFill="1" applyBorder="1" applyAlignment="1">
      <alignment horizontal="center" vertical="center"/>
    </xf>
    <xf numFmtId="17" fontId="25" fillId="19" borderId="10" xfId="0" applyNumberFormat="1" applyFont="1" applyFill="1" applyBorder="1" applyAlignment="1">
      <alignment horizontal="center"/>
    </xf>
    <xf numFmtId="17" fontId="25" fillId="19" borderId="11" xfId="0" applyNumberFormat="1" applyFont="1" applyFill="1" applyBorder="1" applyAlignment="1">
      <alignment horizontal="center"/>
    </xf>
    <xf numFmtId="17" fontId="25" fillId="19" borderId="12" xfId="0" applyNumberFormat="1" applyFont="1" applyFill="1" applyBorder="1" applyAlignment="1">
      <alignment horizontal="center"/>
    </xf>
    <xf numFmtId="17" fontId="25" fillId="20" borderId="10" xfId="0" applyNumberFormat="1" applyFont="1" applyFill="1" applyBorder="1" applyAlignment="1">
      <alignment horizontal="center"/>
    </xf>
    <xf numFmtId="17" fontId="25" fillId="20" borderId="11" xfId="0" applyNumberFormat="1" applyFont="1" applyFill="1" applyBorder="1" applyAlignment="1">
      <alignment horizontal="center"/>
    </xf>
    <xf numFmtId="17" fontId="25" fillId="20" borderId="12" xfId="0" applyNumberFormat="1" applyFont="1" applyFill="1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</cellXfs>
  <cellStyles count="84">
    <cellStyle name="20% - Énfasis1 2" xfId="9"/>
    <cellStyle name="20% - Énfasis2 2" xfId="10"/>
    <cellStyle name="20% - Énfasis3 2" xfId="11"/>
    <cellStyle name="20% - Énfasis4 2" xfId="12"/>
    <cellStyle name="20% - Énfasis5 2" xfId="13"/>
    <cellStyle name="20% - Énfasis6 2" xfId="14"/>
    <cellStyle name="40% - Énfasis1 2" xfId="15"/>
    <cellStyle name="40% - Énfasis2 2" xfId="16"/>
    <cellStyle name="40% - Énfasis3 2" xfId="17"/>
    <cellStyle name="40% - Énfasis4 2" xfId="18"/>
    <cellStyle name="40% - Énfasis5 2" xfId="19"/>
    <cellStyle name="40% - Énfasis6 2" xfId="20"/>
    <cellStyle name="60% - Énfasis1 2" xfId="21"/>
    <cellStyle name="60% - Énfasis2 2" xfId="22"/>
    <cellStyle name="60% - Énfasis3 2" xfId="23"/>
    <cellStyle name="60% - Énfasis4 2" xfId="24"/>
    <cellStyle name="60% - Énfasis5 2" xfId="25"/>
    <cellStyle name="60% - Énfasis6 2" xfId="26"/>
    <cellStyle name="Buena 2" xfId="27"/>
    <cellStyle name="Cálculo 2" xfId="28"/>
    <cellStyle name="Celda de comprobación 2" xfId="29"/>
    <cellStyle name="Celda vinculada 2" xfId="30"/>
    <cellStyle name="Encabezado 4 2" xfId="31"/>
    <cellStyle name="Énfasis1 2" xfId="32"/>
    <cellStyle name="Énfasis2 2" xfId="33"/>
    <cellStyle name="Énfasis3 2" xfId="34"/>
    <cellStyle name="Énfasis4 2" xfId="35"/>
    <cellStyle name="Énfasis5 2" xfId="36"/>
    <cellStyle name="Énfasis6 2" xfId="37"/>
    <cellStyle name="Entrada 2" xfId="38"/>
    <cellStyle name="Incorrecto 2" xfId="39"/>
    <cellStyle name="Millares" xfId="1" builtinId="3"/>
    <cellStyle name="Millares 2" xfId="53"/>
    <cellStyle name="Millares 2 2" xfId="56"/>
    <cellStyle name="Millares 2 2 2" xfId="60"/>
    <cellStyle name="Millares 2 2 2 2" xfId="75"/>
    <cellStyle name="Millares 2 2 3" xfId="71"/>
    <cellStyle name="Millares 2 3" xfId="59"/>
    <cellStyle name="Millares 2 3 2" xfId="74"/>
    <cellStyle name="Millares 2 4" xfId="63"/>
    <cellStyle name="Millares 2 4 2" xfId="78"/>
    <cellStyle name="Millares 2 5" xfId="65"/>
    <cellStyle name="Millares 2 5 2" xfId="80"/>
    <cellStyle name="Millares 2 6" xfId="70"/>
    <cellStyle name="Millares 3" xfId="57"/>
    <cellStyle name="Millares 3 2" xfId="61"/>
    <cellStyle name="Millares 3 2 2" xfId="76"/>
    <cellStyle name="Millares 3 3" xfId="64"/>
    <cellStyle name="Millares 3 3 2" xfId="79"/>
    <cellStyle name="Millares 3 4" xfId="66"/>
    <cellStyle name="Millares 3 4 2" xfId="81"/>
    <cellStyle name="Millares 3 5" xfId="72"/>
    <cellStyle name="Millares 4" xfId="58"/>
    <cellStyle name="Millares 4 2" xfId="73"/>
    <cellStyle name="Millares 5" xfId="69"/>
    <cellStyle name="Neutral 2" xfId="40"/>
    <cellStyle name="Normal" xfId="0" builtinId="0"/>
    <cellStyle name="Normal 10" xfId="54"/>
    <cellStyle name="Normal 11" xfId="5"/>
    <cellStyle name="Normal 12" xfId="55"/>
    <cellStyle name="Normal 13" xfId="62"/>
    <cellStyle name="Normal 13 2" xfId="77"/>
    <cellStyle name="Normal 14" xfId="67"/>
    <cellStyle name="Normal 14 2" xfId="82"/>
    <cellStyle name="Normal 15" xfId="68"/>
    <cellStyle name="Normal 15 2" xfId="83"/>
    <cellStyle name="Normal 2" xfId="2"/>
    <cellStyle name="Normal 3" xfId="4"/>
    <cellStyle name="Normal 4" xfId="41"/>
    <cellStyle name="Normal 5" xfId="42"/>
    <cellStyle name="Normal 6" xfId="43"/>
    <cellStyle name="Normal 7" xfId="7"/>
    <cellStyle name="Normal 8" xfId="3"/>
    <cellStyle name="Normal 9" xfId="8"/>
    <cellStyle name="Normal_Data Ocupacion" xfId="6"/>
    <cellStyle name="Notas 2" xfId="44"/>
    <cellStyle name="Salida 2" xfId="45"/>
    <cellStyle name="Texto de advertencia 2" xfId="46"/>
    <cellStyle name="Texto explicativo 2" xfId="47"/>
    <cellStyle name="Título 1" xfId="49"/>
    <cellStyle name="Título 2 2" xfId="50"/>
    <cellStyle name="Título 3 2" xfId="51"/>
    <cellStyle name="Título 4" xfId="48"/>
    <cellStyle name="Total 2" xfId="52"/>
  </cellStyles>
  <dxfs count="4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66CCFF"/>
      <color rgb="FFCCECFF"/>
      <color rgb="FF99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externalLinkPath" Target="file:///C:\Users\pco\Documents\Respaldo\A&#209;O%202013\Noviembre\resumen%20mensual\Resumen%20mensual%20PLANTILLA.xlsx" TargetMode="External"/><Relationship Id="rId1" Type="http://schemas.openxmlformats.org/officeDocument/2006/relationships/externalLinkPath" Target="file:///C:\Users\pco\Documents\Respaldo\A&#209;O%202013\Noviembre\resumen%20mensual\Resumen%20mensual%20PLANTILLA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externalLinkPath" Target="file:///C:\Users\pco\Documents\Respaldo\A&#209;O%202013\Noviembre\resumen%20mensual\Resumen%20mensual%20PLANTILLA.xlsx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F120"/>
  <sheetViews>
    <sheetView zoomScaleNormal="100" workbookViewId="0">
      <selection activeCell="AH21" sqref="AH21"/>
    </sheetView>
  </sheetViews>
  <sheetFormatPr baseColWidth="10" defaultColWidth="11.5703125" defaultRowHeight="15" x14ac:dyDescent="0.25"/>
  <cols>
    <col min="1" max="1" width="15.5703125" customWidth="1"/>
    <col min="2" max="4" width="10.28515625" customWidth="1"/>
    <col min="5" max="5" width="10.85546875" customWidth="1"/>
    <col min="6" max="14" width="10.28515625" customWidth="1"/>
    <col min="15" max="15" width="10.7109375" customWidth="1"/>
    <col min="16" max="22" width="10.28515625" customWidth="1"/>
    <col min="23" max="23" width="10.42578125" customWidth="1"/>
    <col min="24" max="28" width="10.28515625" customWidth="1"/>
    <col min="29" max="29" width="10.28515625" bestFit="1" customWidth="1"/>
    <col min="30" max="30" width="11.28515625" customWidth="1"/>
    <col min="31" max="31" width="11" customWidth="1"/>
  </cols>
  <sheetData>
    <row r="1" spans="1:32" ht="18" x14ac:dyDescent="0.25">
      <c r="A1" s="325" t="s">
        <v>0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</row>
    <row r="2" spans="1:32" x14ac:dyDescent="0.25">
      <c r="A2" s="1"/>
      <c r="B2" s="63">
        <v>45292</v>
      </c>
      <c r="C2" s="63">
        <v>45293</v>
      </c>
      <c r="D2" s="63">
        <v>45294</v>
      </c>
      <c r="E2" s="63">
        <v>45295</v>
      </c>
      <c r="F2" s="63">
        <v>45296</v>
      </c>
      <c r="G2" s="63">
        <v>45297</v>
      </c>
      <c r="H2" s="63">
        <v>45298</v>
      </c>
      <c r="I2" s="63">
        <v>45299</v>
      </c>
      <c r="J2" s="63">
        <v>45300</v>
      </c>
      <c r="K2" s="63">
        <v>45301</v>
      </c>
      <c r="L2" s="63">
        <v>45302</v>
      </c>
      <c r="M2" s="63">
        <v>45303</v>
      </c>
      <c r="N2" s="63">
        <v>45304</v>
      </c>
      <c r="O2" s="63">
        <v>45305</v>
      </c>
      <c r="P2" s="63">
        <v>45306</v>
      </c>
      <c r="Q2" s="63">
        <v>45307</v>
      </c>
      <c r="R2" s="63">
        <v>45308</v>
      </c>
      <c r="S2" s="63">
        <v>45309</v>
      </c>
      <c r="T2" s="63">
        <v>45310</v>
      </c>
      <c r="U2" s="63">
        <v>45311</v>
      </c>
      <c r="V2" s="63">
        <v>45312</v>
      </c>
      <c r="W2" s="63">
        <v>45313</v>
      </c>
      <c r="X2" s="63">
        <v>45314</v>
      </c>
      <c r="Y2" s="63">
        <v>45315</v>
      </c>
      <c r="Z2" s="63">
        <v>45316</v>
      </c>
      <c r="AA2" s="63">
        <v>45317</v>
      </c>
      <c r="AB2" s="63">
        <v>45318</v>
      </c>
      <c r="AC2" s="63">
        <v>45319</v>
      </c>
      <c r="AD2" s="63">
        <v>45320</v>
      </c>
      <c r="AE2" s="63">
        <v>45321</v>
      </c>
      <c r="AF2" s="63">
        <v>45322</v>
      </c>
    </row>
    <row r="3" spans="1:32" x14ac:dyDescent="0.25">
      <c r="A3" s="2"/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  <c r="AF3" s="3" t="s">
        <v>1</v>
      </c>
    </row>
    <row r="4" spans="1:32" x14ac:dyDescent="0.25">
      <c r="A4" s="4" t="s">
        <v>2</v>
      </c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3" t="s">
        <v>3</v>
      </c>
      <c r="M4" s="3" t="s">
        <v>3</v>
      </c>
      <c r="N4" s="3" t="s">
        <v>3</v>
      </c>
      <c r="O4" s="3" t="s">
        <v>3</v>
      </c>
      <c r="P4" s="3" t="s">
        <v>3</v>
      </c>
      <c r="Q4" s="3" t="s">
        <v>3</v>
      </c>
      <c r="R4" s="3" t="s">
        <v>3</v>
      </c>
      <c r="S4" s="3" t="s">
        <v>3</v>
      </c>
      <c r="T4" s="3" t="s">
        <v>3</v>
      </c>
      <c r="U4" s="3" t="s">
        <v>3</v>
      </c>
      <c r="V4" s="3" t="s">
        <v>3</v>
      </c>
      <c r="W4" s="3" t="s">
        <v>3</v>
      </c>
      <c r="X4" s="3" t="s">
        <v>3</v>
      </c>
      <c r="Y4" s="3" t="s">
        <v>3</v>
      </c>
      <c r="Z4" s="3" t="s">
        <v>3</v>
      </c>
      <c r="AA4" s="3" t="s">
        <v>3</v>
      </c>
      <c r="AB4" s="3" t="s">
        <v>3</v>
      </c>
      <c r="AC4" s="3" t="s">
        <v>3</v>
      </c>
      <c r="AD4" s="3" t="s">
        <v>3</v>
      </c>
      <c r="AE4" s="3" t="s">
        <v>3</v>
      </c>
      <c r="AF4" s="3" t="s">
        <v>3</v>
      </c>
    </row>
    <row r="5" spans="1:32" x14ac:dyDescent="0.25">
      <c r="A5" s="5" t="s">
        <v>4</v>
      </c>
      <c r="B5" s="297">
        <v>1861436</v>
      </c>
      <c r="C5" s="297">
        <v>1861716</v>
      </c>
      <c r="D5" s="297">
        <v>1862171</v>
      </c>
      <c r="E5" s="298">
        <v>1862279</v>
      </c>
      <c r="F5" s="300">
        <v>1862472</v>
      </c>
      <c r="G5" s="300">
        <v>1862472</v>
      </c>
      <c r="H5" s="300">
        <v>1862472</v>
      </c>
      <c r="I5" s="300">
        <v>1863008</v>
      </c>
      <c r="J5" s="300">
        <v>1863483</v>
      </c>
      <c r="K5" s="300">
        <v>1863957</v>
      </c>
      <c r="L5" s="300">
        <v>1864322</v>
      </c>
      <c r="M5" s="300">
        <v>1864738</v>
      </c>
      <c r="N5" s="300">
        <v>1865256</v>
      </c>
      <c r="O5" s="300">
        <v>1865601</v>
      </c>
      <c r="P5" s="300">
        <v>1865907</v>
      </c>
      <c r="Q5" s="300">
        <v>1866055</v>
      </c>
      <c r="R5" s="280">
        <v>1866599</v>
      </c>
      <c r="S5" s="300">
        <v>1867073</v>
      </c>
      <c r="T5" s="300">
        <v>1867375</v>
      </c>
      <c r="U5" s="300">
        <v>1867635</v>
      </c>
      <c r="V5" s="300">
        <v>1868071</v>
      </c>
      <c r="W5" s="300">
        <v>1868219</v>
      </c>
      <c r="X5" s="300">
        <v>1868719</v>
      </c>
      <c r="Y5" s="300">
        <v>1868982</v>
      </c>
      <c r="Z5" s="300">
        <v>1869415</v>
      </c>
      <c r="AA5" s="300">
        <v>1869590</v>
      </c>
      <c r="AB5" s="300">
        <v>1869981</v>
      </c>
      <c r="AC5" s="300">
        <v>1870024</v>
      </c>
      <c r="AD5" s="300">
        <v>1870585</v>
      </c>
      <c r="AE5" s="300">
        <v>1870993</v>
      </c>
      <c r="AF5" s="300">
        <v>1871395</v>
      </c>
    </row>
    <row r="6" spans="1:32" x14ac:dyDescent="0.25">
      <c r="A6" s="5" t="s">
        <v>5</v>
      </c>
      <c r="B6" s="297">
        <v>1843658</v>
      </c>
      <c r="C6" s="297">
        <v>1843852</v>
      </c>
      <c r="D6" s="297">
        <v>1844371</v>
      </c>
      <c r="E6" s="298">
        <v>1844825</v>
      </c>
      <c r="F6" s="300">
        <v>1844845</v>
      </c>
      <c r="G6" s="300">
        <v>1844845</v>
      </c>
      <c r="H6" s="300">
        <v>1844890</v>
      </c>
      <c r="I6" s="300">
        <v>1845150</v>
      </c>
      <c r="J6" s="300">
        <v>1845604</v>
      </c>
      <c r="K6" s="300">
        <v>1845903</v>
      </c>
      <c r="L6" s="300">
        <v>1846288</v>
      </c>
      <c r="M6" s="300">
        <v>1846832</v>
      </c>
      <c r="N6" s="300">
        <v>1846875</v>
      </c>
      <c r="O6" s="300">
        <v>1847224</v>
      </c>
      <c r="P6" s="300">
        <v>1847330</v>
      </c>
      <c r="Q6" s="300">
        <v>1847456</v>
      </c>
      <c r="R6" s="280">
        <v>1847789</v>
      </c>
      <c r="S6" s="300">
        <v>1848244</v>
      </c>
      <c r="T6" s="300">
        <v>1848610</v>
      </c>
      <c r="U6" s="300">
        <v>1849044</v>
      </c>
      <c r="V6" s="300">
        <v>1849046</v>
      </c>
      <c r="W6" s="300">
        <v>1849309</v>
      </c>
      <c r="X6" s="300">
        <v>1849828</v>
      </c>
      <c r="Y6" s="300">
        <v>1850260</v>
      </c>
      <c r="Z6" s="300">
        <v>1850779</v>
      </c>
      <c r="AA6" s="300">
        <v>1851058</v>
      </c>
      <c r="AB6" s="300">
        <v>1851058</v>
      </c>
      <c r="AC6" s="300">
        <v>1851058</v>
      </c>
      <c r="AD6" s="300">
        <v>1851425</v>
      </c>
      <c r="AE6" s="300">
        <v>1851723</v>
      </c>
      <c r="AF6" s="300">
        <v>1852241</v>
      </c>
    </row>
    <row r="7" spans="1:32" x14ac:dyDescent="0.25">
      <c r="A7" s="5" t="s">
        <v>6</v>
      </c>
      <c r="B7" s="297">
        <v>1917925</v>
      </c>
      <c r="C7" s="297">
        <v>1918273</v>
      </c>
      <c r="D7" s="297">
        <v>1918380</v>
      </c>
      <c r="E7" s="298">
        <v>1918730</v>
      </c>
      <c r="F7" s="300">
        <v>1918973</v>
      </c>
      <c r="G7" s="300">
        <v>1918973</v>
      </c>
      <c r="H7" s="300">
        <v>1918973</v>
      </c>
      <c r="I7" s="300">
        <v>1918973</v>
      </c>
      <c r="J7" s="300">
        <v>1918973</v>
      </c>
      <c r="K7" s="300">
        <v>1918973</v>
      </c>
      <c r="L7" s="300">
        <v>1919493</v>
      </c>
      <c r="M7" s="300">
        <v>1919945</v>
      </c>
      <c r="N7" s="300">
        <v>1919945</v>
      </c>
      <c r="O7" s="300">
        <v>1919945</v>
      </c>
      <c r="P7" s="300">
        <v>1920398</v>
      </c>
      <c r="Q7" s="300">
        <v>1920875</v>
      </c>
      <c r="R7" s="280">
        <v>1921349</v>
      </c>
      <c r="S7" s="300">
        <v>1921697</v>
      </c>
      <c r="T7" s="300">
        <v>1922132</v>
      </c>
      <c r="U7" s="300">
        <v>1922611</v>
      </c>
      <c r="V7" s="300">
        <v>1922654</v>
      </c>
      <c r="W7" s="300">
        <v>1923090</v>
      </c>
      <c r="X7" s="300">
        <v>1923458</v>
      </c>
      <c r="Y7" s="300">
        <v>1923459</v>
      </c>
      <c r="Z7" s="300">
        <v>1923911</v>
      </c>
      <c r="AA7" s="300">
        <v>1924199</v>
      </c>
      <c r="AB7" s="300">
        <v>1924304</v>
      </c>
      <c r="AC7" s="300">
        <v>1924497</v>
      </c>
      <c r="AD7" s="300">
        <v>1924864</v>
      </c>
      <c r="AE7" s="300">
        <v>1925428</v>
      </c>
      <c r="AF7" s="300">
        <v>1925826</v>
      </c>
    </row>
    <row r="8" spans="1:32" x14ac:dyDescent="0.25">
      <c r="A8" s="6" t="s">
        <v>7</v>
      </c>
      <c r="B8" s="297">
        <v>1921935</v>
      </c>
      <c r="C8" s="297">
        <v>1922256</v>
      </c>
      <c r="D8" s="297">
        <v>1922451</v>
      </c>
      <c r="E8" s="298">
        <v>1922969</v>
      </c>
      <c r="F8" s="300">
        <v>1923053</v>
      </c>
      <c r="G8" s="300">
        <v>1923107</v>
      </c>
      <c r="H8" s="300">
        <v>1923282</v>
      </c>
      <c r="I8" s="300">
        <v>1923732</v>
      </c>
      <c r="J8" s="300">
        <v>1923856</v>
      </c>
      <c r="K8" s="300">
        <v>1924221</v>
      </c>
      <c r="L8" s="300">
        <v>1924613</v>
      </c>
      <c r="M8" s="300">
        <v>1925091</v>
      </c>
      <c r="N8" s="300">
        <v>1925611</v>
      </c>
      <c r="O8" s="300">
        <v>1925873</v>
      </c>
      <c r="P8" s="300">
        <v>1926047</v>
      </c>
      <c r="Q8" s="300">
        <v>1926525</v>
      </c>
      <c r="R8" s="280">
        <v>1926915</v>
      </c>
      <c r="S8" s="300">
        <v>1927194</v>
      </c>
      <c r="T8" s="300">
        <v>1927627</v>
      </c>
      <c r="U8" s="300">
        <v>1927627</v>
      </c>
      <c r="V8" s="300">
        <v>1927627</v>
      </c>
      <c r="W8" s="300">
        <v>1927629</v>
      </c>
      <c r="X8" s="300">
        <v>1927822</v>
      </c>
      <c r="Y8" s="300">
        <v>1928174</v>
      </c>
      <c r="Z8" s="300">
        <v>1928436</v>
      </c>
      <c r="AA8" s="300">
        <v>1928828</v>
      </c>
      <c r="AB8" s="300">
        <v>1929130</v>
      </c>
      <c r="AC8" s="300">
        <v>1929434</v>
      </c>
      <c r="AD8" s="300">
        <v>1929912</v>
      </c>
      <c r="AE8" s="300">
        <v>1930362</v>
      </c>
      <c r="AF8" s="300">
        <v>1930680</v>
      </c>
    </row>
    <row r="9" spans="1:32" x14ac:dyDescent="0.25">
      <c r="A9" s="6" t="s">
        <v>8</v>
      </c>
      <c r="B9" s="297">
        <v>1817897</v>
      </c>
      <c r="C9" s="297">
        <v>1818367</v>
      </c>
      <c r="D9" s="297">
        <v>1818493</v>
      </c>
      <c r="E9" s="298">
        <v>1818493</v>
      </c>
      <c r="F9" s="300">
        <v>1818600</v>
      </c>
      <c r="G9" s="300">
        <v>1818600</v>
      </c>
      <c r="H9" s="300">
        <v>1818600</v>
      </c>
      <c r="I9" s="300">
        <v>1818968</v>
      </c>
      <c r="J9" s="300">
        <v>1819405</v>
      </c>
      <c r="K9" s="300">
        <v>1819602</v>
      </c>
      <c r="L9" s="300">
        <v>1819900</v>
      </c>
      <c r="M9" s="300">
        <v>1820178</v>
      </c>
      <c r="N9" s="300">
        <v>1820198</v>
      </c>
      <c r="O9" s="300">
        <v>1820198</v>
      </c>
      <c r="P9" s="300">
        <v>1820409</v>
      </c>
      <c r="Q9" s="300">
        <v>1820842</v>
      </c>
      <c r="R9" s="280">
        <v>1821083</v>
      </c>
      <c r="S9" s="300">
        <v>1821515</v>
      </c>
      <c r="T9" s="300">
        <v>1821751</v>
      </c>
      <c r="U9" s="300">
        <v>1821751</v>
      </c>
      <c r="V9" s="300">
        <v>1821751</v>
      </c>
      <c r="W9" s="300">
        <v>1821875</v>
      </c>
      <c r="X9" s="300">
        <v>1822069</v>
      </c>
      <c r="Y9" s="300">
        <v>1822371</v>
      </c>
      <c r="Z9" s="300">
        <v>1822846</v>
      </c>
      <c r="AA9" s="300">
        <v>1823259</v>
      </c>
      <c r="AB9" s="300">
        <v>1823563</v>
      </c>
      <c r="AC9" s="300">
        <v>1823910</v>
      </c>
      <c r="AD9" s="300">
        <v>1824256</v>
      </c>
      <c r="AE9" s="300">
        <v>1824519</v>
      </c>
      <c r="AF9" s="300">
        <v>1824970</v>
      </c>
    </row>
    <row r="10" spans="1:32" x14ac:dyDescent="0.25">
      <c r="A10" s="6" t="s">
        <v>9</v>
      </c>
      <c r="B10" s="297">
        <v>1935072</v>
      </c>
      <c r="C10" s="297">
        <v>1935552</v>
      </c>
      <c r="D10" s="297">
        <v>1935772</v>
      </c>
      <c r="E10" s="298">
        <v>1936055</v>
      </c>
      <c r="F10" s="300">
        <v>1936441</v>
      </c>
      <c r="G10" s="300">
        <v>1936441</v>
      </c>
      <c r="H10" s="300">
        <v>1936441</v>
      </c>
      <c r="I10" s="300">
        <v>1936897</v>
      </c>
      <c r="J10" s="300">
        <v>1937250</v>
      </c>
      <c r="K10" s="300">
        <v>1937817</v>
      </c>
      <c r="L10" s="300">
        <v>1938296</v>
      </c>
      <c r="M10" s="300">
        <v>1938480</v>
      </c>
      <c r="N10" s="300">
        <v>1938832</v>
      </c>
      <c r="O10" s="300">
        <v>1938834</v>
      </c>
      <c r="P10" s="300">
        <v>1939290</v>
      </c>
      <c r="Q10" s="300">
        <v>1939834</v>
      </c>
      <c r="R10" s="280">
        <v>1940292</v>
      </c>
      <c r="S10" s="300">
        <v>1940489</v>
      </c>
      <c r="T10" s="300">
        <v>1941013</v>
      </c>
      <c r="U10" s="300">
        <v>1941275</v>
      </c>
      <c r="V10" s="300">
        <v>1941279</v>
      </c>
      <c r="W10" s="300">
        <v>1941581</v>
      </c>
      <c r="X10" s="300">
        <v>1941584</v>
      </c>
      <c r="Y10" s="300">
        <v>1942023</v>
      </c>
      <c r="Z10" s="300">
        <v>1942413</v>
      </c>
      <c r="AA10" s="300">
        <v>1942806</v>
      </c>
      <c r="AB10" s="300">
        <v>1943111</v>
      </c>
      <c r="AC10" s="300">
        <v>1943374</v>
      </c>
      <c r="AD10" s="300">
        <v>1943745</v>
      </c>
      <c r="AE10" s="300">
        <v>1943783</v>
      </c>
      <c r="AF10" s="300">
        <v>1944104</v>
      </c>
    </row>
    <row r="11" spans="1:32" x14ac:dyDescent="0.25">
      <c r="A11" s="6" t="s">
        <v>10</v>
      </c>
      <c r="B11" s="297">
        <v>1958327</v>
      </c>
      <c r="C11" s="297">
        <v>1958765</v>
      </c>
      <c r="D11" s="297">
        <v>1959114</v>
      </c>
      <c r="E11" s="298">
        <v>1959310</v>
      </c>
      <c r="F11" s="300">
        <v>1959678</v>
      </c>
      <c r="G11" s="300">
        <v>1959853</v>
      </c>
      <c r="H11" s="300">
        <v>1959855</v>
      </c>
      <c r="I11" s="300">
        <v>1960077</v>
      </c>
      <c r="J11" s="300">
        <v>1960553</v>
      </c>
      <c r="K11" s="300">
        <v>1961031</v>
      </c>
      <c r="L11" s="300">
        <v>1961507</v>
      </c>
      <c r="M11" s="300">
        <v>1962031</v>
      </c>
      <c r="N11" s="300">
        <v>1962509</v>
      </c>
      <c r="O11" s="300">
        <v>1962942</v>
      </c>
      <c r="P11" s="300">
        <v>1963506</v>
      </c>
      <c r="Q11" s="300">
        <v>1963894</v>
      </c>
      <c r="R11" s="280">
        <v>1964346</v>
      </c>
      <c r="S11" s="300">
        <v>1964764</v>
      </c>
      <c r="T11" s="300">
        <v>1965200</v>
      </c>
      <c r="U11" s="300">
        <v>1965460</v>
      </c>
      <c r="V11" s="300">
        <v>1965939</v>
      </c>
      <c r="W11" s="300">
        <v>1966330</v>
      </c>
      <c r="X11" s="300">
        <v>1966698</v>
      </c>
      <c r="Y11" s="300">
        <v>1966937</v>
      </c>
      <c r="Z11" s="300">
        <v>1967328</v>
      </c>
      <c r="AA11" s="300">
        <v>1967437</v>
      </c>
      <c r="AB11" s="300">
        <v>1967437</v>
      </c>
      <c r="AC11" s="300">
        <v>1967438</v>
      </c>
      <c r="AD11" s="300">
        <v>1967631</v>
      </c>
      <c r="AE11" s="300">
        <v>1968107</v>
      </c>
      <c r="AF11" s="300">
        <v>1968456</v>
      </c>
    </row>
    <row r="12" spans="1:32" x14ac:dyDescent="0.25">
      <c r="A12" s="5" t="s">
        <v>11</v>
      </c>
      <c r="B12" s="297">
        <v>1869219</v>
      </c>
      <c r="C12" s="297">
        <v>1869723</v>
      </c>
      <c r="D12" s="297">
        <v>1870221</v>
      </c>
      <c r="E12" s="298">
        <v>1870698</v>
      </c>
      <c r="F12" s="300">
        <v>1871219</v>
      </c>
      <c r="G12" s="300">
        <v>1871739</v>
      </c>
      <c r="H12" s="300">
        <v>1872173</v>
      </c>
      <c r="I12" s="300">
        <v>1872690</v>
      </c>
      <c r="J12" s="300">
        <v>1872795</v>
      </c>
      <c r="K12" s="300">
        <v>1873180</v>
      </c>
      <c r="L12" s="300">
        <v>1873479</v>
      </c>
      <c r="M12" s="300">
        <v>1873974</v>
      </c>
      <c r="N12" s="300">
        <v>1874195</v>
      </c>
      <c r="O12" s="300">
        <v>1874628</v>
      </c>
      <c r="P12" s="300">
        <v>1875078</v>
      </c>
      <c r="Q12" s="300">
        <v>1875452</v>
      </c>
      <c r="R12" s="280">
        <v>1875927</v>
      </c>
      <c r="S12" s="300">
        <v>1876378</v>
      </c>
      <c r="T12" s="300">
        <v>1876727</v>
      </c>
      <c r="U12" s="300">
        <v>1876727</v>
      </c>
      <c r="V12" s="300">
        <v>1876727</v>
      </c>
      <c r="W12" s="300">
        <v>1877007</v>
      </c>
      <c r="X12" s="300">
        <v>1877311</v>
      </c>
      <c r="Y12" s="300">
        <v>1877807</v>
      </c>
      <c r="Z12" s="300">
        <v>1877844</v>
      </c>
      <c r="AA12" s="300">
        <v>1878241</v>
      </c>
      <c r="AB12" s="300">
        <v>1878545</v>
      </c>
      <c r="AC12" s="300">
        <v>1878593</v>
      </c>
      <c r="AD12" s="300">
        <v>1879068</v>
      </c>
      <c r="AE12" s="300">
        <v>1879174</v>
      </c>
      <c r="AF12" s="300">
        <v>1879756</v>
      </c>
    </row>
    <row r="13" spans="1:32" x14ac:dyDescent="0.25">
      <c r="A13" s="5" t="s">
        <v>12</v>
      </c>
      <c r="B13" s="297">
        <v>1849199</v>
      </c>
      <c r="C13" s="297">
        <v>1849628</v>
      </c>
      <c r="D13" s="297">
        <v>1850192</v>
      </c>
      <c r="E13" s="298">
        <v>1850710</v>
      </c>
      <c r="F13" s="300">
        <v>1851232</v>
      </c>
      <c r="G13" s="300">
        <v>1851665</v>
      </c>
      <c r="H13" s="300">
        <v>1851925</v>
      </c>
      <c r="I13" s="300">
        <v>1852380</v>
      </c>
      <c r="J13" s="300">
        <v>1852595</v>
      </c>
      <c r="K13" s="300">
        <v>1853029</v>
      </c>
      <c r="L13" s="300">
        <v>1853359</v>
      </c>
      <c r="M13" s="300">
        <v>1853810</v>
      </c>
      <c r="N13" s="300">
        <v>1853810</v>
      </c>
      <c r="O13" s="300">
        <v>1853810</v>
      </c>
      <c r="P13" s="300">
        <v>1853986</v>
      </c>
      <c r="Q13" s="300">
        <v>1854009</v>
      </c>
      <c r="R13" s="280">
        <v>1854404</v>
      </c>
      <c r="S13" s="300">
        <v>1854726</v>
      </c>
      <c r="T13" s="300">
        <v>1854726</v>
      </c>
      <c r="U13" s="300">
        <v>1854794</v>
      </c>
      <c r="V13" s="300">
        <v>1854814</v>
      </c>
      <c r="W13" s="300">
        <v>1855010</v>
      </c>
      <c r="X13" s="300">
        <v>1855119</v>
      </c>
      <c r="Y13" s="300">
        <v>1855614</v>
      </c>
      <c r="Z13" s="300">
        <v>1856092</v>
      </c>
      <c r="AA13" s="300">
        <v>1856380</v>
      </c>
      <c r="AB13" s="300">
        <v>1856380</v>
      </c>
      <c r="AC13" s="300">
        <v>1856573</v>
      </c>
      <c r="AD13" s="300">
        <v>1857094</v>
      </c>
      <c r="AE13" s="300">
        <v>1857546</v>
      </c>
      <c r="AF13" s="300">
        <v>1858066</v>
      </c>
    </row>
    <row r="14" spans="1:32" x14ac:dyDescent="0.25">
      <c r="A14" s="5" t="s">
        <v>13</v>
      </c>
      <c r="B14" s="297">
        <v>1935240</v>
      </c>
      <c r="C14" s="297">
        <v>1935262</v>
      </c>
      <c r="D14" s="297">
        <v>1935457</v>
      </c>
      <c r="E14" s="298">
        <v>1935566</v>
      </c>
      <c r="F14" s="300">
        <v>1936002</v>
      </c>
      <c r="G14" s="300">
        <v>1936521</v>
      </c>
      <c r="H14" s="300">
        <v>1936953</v>
      </c>
      <c r="I14" s="300">
        <v>1937514</v>
      </c>
      <c r="J14" s="300">
        <v>1937989</v>
      </c>
      <c r="K14" s="300">
        <v>1938205</v>
      </c>
      <c r="L14" s="300">
        <v>1938356</v>
      </c>
      <c r="M14" s="300">
        <v>1938638</v>
      </c>
      <c r="N14" s="300">
        <v>1939113</v>
      </c>
      <c r="O14" s="300">
        <v>1939150</v>
      </c>
      <c r="P14" s="300">
        <v>1939674</v>
      </c>
      <c r="Q14" s="300">
        <v>1940192</v>
      </c>
      <c r="R14" s="280">
        <v>1940713</v>
      </c>
      <c r="S14" s="300">
        <v>1941106</v>
      </c>
      <c r="T14" s="300">
        <v>1941237</v>
      </c>
      <c r="U14" s="300">
        <v>1941237</v>
      </c>
      <c r="V14" s="300">
        <v>1941259</v>
      </c>
      <c r="W14" s="300">
        <v>1941434</v>
      </c>
      <c r="X14" s="300">
        <v>1941630</v>
      </c>
      <c r="Y14" s="300">
        <v>1941739</v>
      </c>
      <c r="Z14" s="300">
        <v>1942001</v>
      </c>
      <c r="AA14" s="300">
        <v>1942107</v>
      </c>
      <c r="AB14" s="300">
        <v>1942280</v>
      </c>
      <c r="AC14" s="300">
        <v>1942579</v>
      </c>
      <c r="AD14" s="300">
        <v>1943139</v>
      </c>
      <c r="AE14" s="300">
        <v>1943633</v>
      </c>
      <c r="AF14" s="300">
        <v>1943845</v>
      </c>
    </row>
    <row r="15" spans="1:32" x14ac:dyDescent="0.25">
      <c r="A15" s="6" t="s">
        <v>14</v>
      </c>
      <c r="B15" s="297">
        <v>1942359</v>
      </c>
      <c r="C15" s="297">
        <v>1942921</v>
      </c>
      <c r="D15" s="297">
        <v>1943482</v>
      </c>
      <c r="E15" s="298">
        <v>1943914</v>
      </c>
      <c r="F15" s="300">
        <v>1944435</v>
      </c>
      <c r="G15" s="300">
        <v>1944910</v>
      </c>
      <c r="H15" s="300">
        <v>1945347</v>
      </c>
      <c r="I15" s="300">
        <v>1945498</v>
      </c>
      <c r="J15" s="300">
        <v>1945519</v>
      </c>
      <c r="K15" s="300">
        <v>1946038</v>
      </c>
      <c r="L15" s="300">
        <v>1946556</v>
      </c>
      <c r="M15" s="300">
        <v>1947075</v>
      </c>
      <c r="N15" s="300">
        <v>1947507</v>
      </c>
      <c r="O15" s="300">
        <v>1947637</v>
      </c>
      <c r="P15" s="300">
        <v>1948112</v>
      </c>
      <c r="Q15" s="300">
        <v>1948603</v>
      </c>
      <c r="R15" s="280">
        <v>1948807</v>
      </c>
      <c r="S15" s="300">
        <v>1949326</v>
      </c>
      <c r="T15" s="300">
        <v>1949758</v>
      </c>
      <c r="U15" s="300">
        <v>1950277</v>
      </c>
      <c r="V15" s="300">
        <v>1950712</v>
      </c>
      <c r="W15" s="300">
        <v>1950972</v>
      </c>
      <c r="X15" s="300">
        <v>1951422</v>
      </c>
      <c r="Y15" s="300">
        <v>1951665</v>
      </c>
      <c r="Z15" s="300">
        <v>1952012</v>
      </c>
      <c r="AA15" s="300">
        <v>1952175</v>
      </c>
      <c r="AB15" s="300">
        <v>1952175</v>
      </c>
      <c r="AC15" s="300">
        <v>1952175</v>
      </c>
      <c r="AD15" s="300">
        <v>1952302</v>
      </c>
      <c r="AE15" s="300">
        <v>1952687</v>
      </c>
      <c r="AF15" s="300">
        <v>1952882</v>
      </c>
    </row>
    <row r="16" spans="1:32" x14ac:dyDescent="0.25">
      <c r="A16" s="6" t="s">
        <v>15</v>
      </c>
      <c r="B16" s="297">
        <v>1790013</v>
      </c>
      <c r="C16" s="297">
        <v>1790534</v>
      </c>
      <c r="D16" s="297">
        <v>1791008</v>
      </c>
      <c r="E16" s="298">
        <v>1791568</v>
      </c>
      <c r="F16" s="300">
        <v>1791655</v>
      </c>
      <c r="G16" s="300">
        <v>1791655</v>
      </c>
      <c r="H16" s="300">
        <v>1791655</v>
      </c>
      <c r="I16" s="300">
        <v>1791655</v>
      </c>
      <c r="J16" s="300">
        <v>1791676</v>
      </c>
      <c r="K16" s="300">
        <v>1791677</v>
      </c>
      <c r="L16" s="300">
        <v>1791677</v>
      </c>
      <c r="M16" s="300">
        <v>1791686</v>
      </c>
      <c r="N16" s="300">
        <v>1791686</v>
      </c>
      <c r="O16" s="300">
        <v>1791686</v>
      </c>
      <c r="P16" s="300">
        <v>1791877</v>
      </c>
      <c r="Q16" s="300">
        <v>1792306</v>
      </c>
      <c r="R16" s="280">
        <v>1792825</v>
      </c>
      <c r="S16" s="300">
        <v>1793342</v>
      </c>
      <c r="T16" s="300">
        <v>1793793</v>
      </c>
      <c r="U16" s="300">
        <v>1793793</v>
      </c>
      <c r="V16" s="300">
        <v>1793793</v>
      </c>
      <c r="W16" s="300">
        <v>1793916</v>
      </c>
      <c r="X16" s="300">
        <v>1794043</v>
      </c>
      <c r="Y16" s="300">
        <v>1794493</v>
      </c>
      <c r="Z16" s="300">
        <v>1794772</v>
      </c>
      <c r="AA16" s="300">
        <v>1795144</v>
      </c>
      <c r="AB16" s="300">
        <v>1795265</v>
      </c>
      <c r="AC16" s="300">
        <v>1795250</v>
      </c>
      <c r="AD16" s="300">
        <v>1795251</v>
      </c>
      <c r="AE16" s="300">
        <v>1795463</v>
      </c>
      <c r="AF16" s="300">
        <v>1795588</v>
      </c>
    </row>
    <row r="17" spans="1:32" x14ac:dyDescent="0.25">
      <c r="A17" s="6" t="s">
        <v>16</v>
      </c>
      <c r="B17" s="297">
        <v>1904952</v>
      </c>
      <c r="C17" s="297">
        <v>1905473</v>
      </c>
      <c r="D17" s="297">
        <v>1905926</v>
      </c>
      <c r="E17" s="298">
        <v>1906300</v>
      </c>
      <c r="F17" s="300">
        <v>1906860</v>
      </c>
      <c r="G17" s="300">
        <v>1907378</v>
      </c>
      <c r="H17" s="300">
        <v>1907853</v>
      </c>
      <c r="I17" s="300">
        <v>1907918</v>
      </c>
      <c r="J17" s="300">
        <v>1907920</v>
      </c>
      <c r="K17" s="300">
        <v>1907938</v>
      </c>
      <c r="L17" s="300">
        <v>1907938</v>
      </c>
      <c r="M17" s="300">
        <v>1907938</v>
      </c>
      <c r="N17" s="300">
        <v>1907938</v>
      </c>
      <c r="O17" s="300">
        <v>1908029</v>
      </c>
      <c r="P17" s="300">
        <v>1908414</v>
      </c>
      <c r="Q17" s="300">
        <v>1908932</v>
      </c>
      <c r="R17" s="280">
        <v>1909450</v>
      </c>
      <c r="S17" s="300">
        <v>1909712</v>
      </c>
      <c r="T17" s="300">
        <v>1909889</v>
      </c>
      <c r="U17" s="300">
        <v>1909889</v>
      </c>
      <c r="V17" s="300">
        <v>1909889</v>
      </c>
      <c r="W17" s="300">
        <v>1910193</v>
      </c>
      <c r="X17" s="300">
        <v>1910685</v>
      </c>
      <c r="Y17" s="300">
        <v>1910811</v>
      </c>
      <c r="Z17" s="300">
        <v>1911312</v>
      </c>
      <c r="AA17" s="300">
        <v>1911658</v>
      </c>
      <c r="AB17" s="300">
        <v>1912003</v>
      </c>
      <c r="AC17" s="300">
        <v>1912349</v>
      </c>
      <c r="AD17" s="300">
        <v>1912780</v>
      </c>
      <c r="AE17" s="300">
        <v>1913386</v>
      </c>
      <c r="AF17" s="300">
        <v>1913732</v>
      </c>
    </row>
    <row r="18" spans="1:32" x14ac:dyDescent="0.25">
      <c r="A18" s="6" t="s">
        <v>17</v>
      </c>
      <c r="B18" s="297">
        <v>1872239</v>
      </c>
      <c r="C18" s="297">
        <v>1872802</v>
      </c>
      <c r="D18" s="297">
        <v>1873363</v>
      </c>
      <c r="E18" s="298">
        <v>1873841</v>
      </c>
      <c r="F18" s="300">
        <v>1874250</v>
      </c>
      <c r="G18" s="300">
        <v>1874250</v>
      </c>
      <c r="H18" s="300">
        <v>1874250</v>
      </c>
      <c r="I18" s="300">
        <v>1874687</v>
      </c>
      <c r="J18" s="300">
        <v>1875036</v>
      </c>
      <c r="K18" s="300">
        <v>1875407</v>
      </c>
      <c r="L18" s="300">
        <v>1875926</v>
      </c>
      <c r="M18" s="300">
        <v>1876359</v>
      </c>
      <c r="N18" s="300">
        <v>1876748</v>
      </c>
      <c r="O18" s="300">
        <v>1876791</v>
      </c>
      <c r="P18" s="300">
        <v>1877310</v>
      </c>
      <c r="Q18" s="300">
        <v>1877830</v>
      </c>
      <c r="R18" s="280">
        <v>1878348</v>
      </c>
      <c r="S18" s="300">
        <v>1878782</v>
      </c>
      <c r="T18" s="300">
        <v>1879082</v>
      </c>
      <c r="U18" s="300">
        <v>1879603</v>
      </c>
      <c r="V18" s="300">
        <v>1879885</v>
      </c>
      <c r="W18" s="300">
        <v>1879926</v>
      </c>
      <c r="X18" s="300">
        <v>1880034</v>
      </c>
      <c r="Y18" s="300">
        <v>1880554</v>
      </c>
      <c r="Z18" s="300">
        <v>1880986</v>
      </c>
      <c r="AA18" s="300">
        <v>1881040</v>
      </c>
      <c r="AB18" s="300">
        <v>1881040</v>
      </c>
      <c r="AC18" s="300">
        <v>1881284</v>
      </c>
      <c r="AD18" s="300">
        <v>1881650</v>
      </c>
      <c r="AE18" s="300">
        <v>1881862</v>
      </c>
      <c r="AF18" s="300">
        <v>1882315</v>
      </c>
    </row>
    <row r="19" spans="1:32" x14ac:dyDescent="0.25">
      <c r="A19" s="6" t="s">
        <v>18</v>
      </c>
      <c r="B19" s="297">
        <v>1951492</v>
      </c>
      <c r="C19" s="297">
        <v>1951494</v>
      </c>
      <c r="D19" s="297">
        <v>1951495</v>
      </c>
      <c r="E19" s="298">
        <v>1951945</v>
      </c>
      <c r="F19" s="300">
        <v>1952507</v>
      </c>
      <c r="G19" s="300">
        <v>1952550</v>
      </c>
      <c r="H19" s="300">
        <v>1953026</v>
      </c>
      <c r="I19" s="300">
        <v>1953588</v>
      </c>
      <c r="J19" s="300">
        <v>1953955</v>
      </c>
      <c r="K19" s="300">
        <v>1954544</v>
      </c>
      <c r="L19" s="300">
        <v>1954891</v>
      </c>
      <c r="M19" s="300">
        <v>1955412</v>
      </c>
      <c r="N19" s="300">
        <v>1955933</v>
      </c>
      <c r="O19" s="300">
        <v>1956409</v>
      </c>
      <c r="P19" s="300">
        <v>1956818</v>
      </c>
      <c r="Q19" s="300">
        <v>1956858</v>
      </c>
      <c r="R19" s="280">
        <v>1957155</v>
      </c>
      <c r="S19" s="300">
        <v>1957158</v>
      </c>
      <c r="T19" s="300">
        <v>1957628</v>
      </c>
      <c r="U19" s="300">
        <v>1957733</v>
      </c>
      <c r="V19" s="300">
        <v>1958169</v>
      </c>
      <c r="W19" s="300">
        <v>1958274</v>
      </c>
      <c r="X19" s="300">
        <v>1958381</v>
      </c>
      <c r="Y19" s="300">
        <v>1958816</v>
      </c>
      <c r="Z19" s="300">
        <v>1959015</v>
      </c>
      <c r="AA19" s="300">
        <v>1959056</v>
      </c>
      <c r="AB19" s="300">
        <v>1959056</v>
      </c>
      <c r="AC19" s="300">
        <v>1959318</v>
      </c>
      <c r="AD19" s="300">
        <v>1959855</v>
      </c>
      <c r="AE19" s="300">
        <v>1960206</v>
      </c>
      <c r="AF19" s="300">
        <v>1960555</v>
      </c>
    </row>
    <row r="20" spans="1:32" x14ac:dyDescent="0.25">
      <c r="A20" s="6" t="s">
        <v>19</v>
      </c>
      <c r="B20" s="297">
        <v>1912427</v>
      </c>
      <c r="C20" s="297">
        <v>1912921</v>
      </c>
      <c r="D20" s="297">
        <v>1913383</v>
      </c>
      <c r="E20" s="298">
        <v>1913945</v>
      </c>
      <c r="F20" s="300">
        <v>1914510</v>
      </c>
      <c r="G20" s="300">
        <v>1914554</v>
      </c>
      <c r="H20" s="300">
        <v>1914986</v>
      </c>
      <c r="I20" s="300">
        <v>1915505</v>
      </c>
      <c r="J20" s="300">
        <v>1915610</v>
      </c>
      <c r="K20" s="300">
        <v>1916063</v>
      </c>
      <c r="L20" s="300">
        <v>1916502</v>
      </c>
      <c r="M20" s="300">
        <v>1916867</v>
      </c>
      <c r="N20" s="300">
        <v>1916867</v>
      </c>
      <c r="O20" s="300">
        <v>1916867</v>
      </c>
      <c r="P20" s="300">
        <v>1917166</v>
      </c>
      <c r="Q20" s="300">
        <v>1917601</v>
      </c>
      <c r="R20" s="280">
        <v>1918019</v>
      </c>
      <c r="S20" s="300">
        <v>1918386</v>
      </c>
      <c r="T20" s="300">
        <v>1918407</v>
      </c>
      <c r="U20" s="300">
        <v>1918407</v>
      </c>
      <c r="V20" s="300">
        <v>1918427</v>
      </c>
      <c r="W20" s="300">
        <v>1918451</v>
      </c>
      <c r="X20" s="300">
        <v>1918644</v>
      </c>
      <c r="Y20" s="300">
        <v>1918771</v>
      </c>
      <c r="Z20" s="300">
        <v>1919316</v>
      </c>
      <c r="AA20" s="300">
        <v>1919535</v>
      </c>
      <c r="AB20" s="300">
        <v>1919799</v>
      </c>
      <c r="AC20" s="300">
        <v>1919890</v>
      </c>
      <c r="AD20" s="300">
        <v>1920324</v>
      </c>
      <c r="AE20" s="300">
        <v>1920844</v>
      </c>
      <c r="AF20" s="300">
        <v>1921295</v>
      </c>
    </row>
    <row r="21" spans="1:32" x14ac:dyDescent="0.25">
      <c r="A21" s="6" t="s">
        <v>20</v>
      </c>
      <c r="B21" s="297">
        <v>1920779</v>
      </c>
      <c r="C21" s="297">
        <v>1921299</v>
      </c>
      <c r="D21" s="297">
        <v>1921818</v>
      </c>
      <c r="E21" s="298">
        <v>1922096</v>
      </c>
      <c r="F21" s="300">
        <v>1922478</v>
      </c>
      <c r="G21" s="300">
        <v>1922478</v>
      </c>
      <c r="H21" s="300">
        <v>1922478</v>
      </c>
      <c r="I21" s="300">
        <v>1922924</v>
      </c>
      <c r="J21" s="300">
        <v>1923442</v>
      </c>
      <c r="K21" s="300">
        <v>1923832</v>
      </c>
      <c r="L21" s="300">
        <v>1924266</v>
      </c>
      <c r="M21" s="300">
        <v>1924701</v>
      </c>
      <c r="N21" s="300">
        <v>1925220</v>
      </c>
      <c r="O21" s="300">
        <v>1925654</v>
      </c>
      <c r="P21" s="300">
        <v>1926219</v>
      </c>
      <c r="Q21" s="300">
        <v>1926366</v>
      </c>
      <c r="R21" s="280">
        <v>1926368</v>
      </c>
      <c r="S21" s="300">
        <v>1926752</v>
      </c>
      <c r="T21" s="300">
        <v>1926877</v>
      </c>
      <c r="U21" s="300">
        <v>1927155</v>
      </c>
      <c r="V21" s="300">
        <v>1927590</v>
      </c>
      <c r="W21" s="300">
        <v>1928024</v>
      </c>
      <c r="X21" s="300">
        <v>1928215</v>
      </c>
      <c r="Y21" s="300">
        <v>1928454</v>
      </c>
      <c r="Z21" s="300">
        <v>1928861</v>
      </c>
      <c r="AA21" s="300">
        <v>1929074</v>
      </c>
      <c r="AB21" s="300">
        <v>1929463</v>
      </c>
      <c r="AC21" s="300">
        <v>1929853</v>
      </c>
      <c r="AD21" s="300">
        <v>1930288</v>
      </c>
      <c r="AE21" s="300">
        <v>1930652</v>
      </c>
      <c r="AF21" s="300">
        <v>1930846</v>
      </c>
    </row>
    <row r="22" spans="1:32" x14ac:dyDescent="0.25">
      <c r="A22" s="6" t="s">
        <v>21</v>
      </c>
      <c r="B22" s="297">
        <v>1853744</v>
      </c>
      <c r="C22" s="297">
        <v>1854263</v>
      </c>
      <c r="D22" s="297">
        <v>1854629</v>
      </c>
      <c r="E22" s="298">
        <v>1854721</v>
      </c>
      <c r="F22" s="300">
        <v>1854721</v>
      </c>
      <c r="G22" s="300">
        <v>1854721</v>
      </c>
      <c r="H22" s="300">
        <v>1854721</v>
      </c>
      <c r="I22" s="300">
        <v>1854723</v>
      </c>
      <c r="J22" s="300">
        <v>1854723</v>
      </c>
      <c r="K22" s="300">
        <v>1854723</v>
      </c>
      <c r="L22" s="300">
        <v>1854723</v>
      </c>
      <c r="M22" s="300">
        <v>1854741</v>
      </c>
      <c r="N22" s="300">
        <v>1854741</v>
      </c>
      <c r="O22" s="300">
        <v>1854741</v>
      </c>
      <c r="P22" s="300">
        <v>1854741</v>
      </c>
      <c r="Q22" s="300">
        <v>1854741</v>
      </c>
      <c r="R22" s="280">
        <v>1855024</v>
      </c>
      <c r="S22" s="300">
        <v>1855304</v>
      </c>
      <c r="T22" s="300">
        <v>1855753</v>
      </c>
      <c r="U22" s="300">
        <v>1855753</v>
      </c>
      <c r="V22" s="300">
        <v>1855947</v>
      </c>
      <c r="W22" s="300">
        <v>1856383</v>
      </c>
      <c r="X22" s="300">
        <v>1856730</v>
      </c>
      <c r="Y22" s="300">
        <v>1857163</v>
      </c>
      <c r="Z22" s="300">
        <v>1857528</v>
      </c>
      <c r="AA22" s="300">
        <v>1857747</v>
      </c>
      <c r="AB22" s="300">
        <v>1857747</v>
      </c>
      <c r="AC22" s="300">
        <v>1857748</v>
      </c>
      <c r="AD22" s="300">
        <v>1857905</v>
      </c>
      <c r="AE22" s="300">
        <v>1858336</v>
      </c>
      <c r="AF22" s="300">
        <v>1858527</v>
      </c>
    </row>
    <row r="23" spans="1:32" x14ac:dyDescent="0.25">
      <c r="A23" s="6" t="s">
        <v>22</v>
      </c>
      <c r="B23" s="297">
        <v>1899732</v>
      </c>
      <c r="C23" s="297">
        <v>1900209</v>
      </c>
      <c r="D23" s="297">
        <v>1900455</v>
      </c>
      <c r="E23" s="298">
        <v>1900784</v>
      </c>
      <c r="F23" s="300">
        <v>1901065</v>
      </c>
      <c r="G23" s="300">
        <v>1901065</v>
      </c>
      <c r="H23" s="300">
        <v>1901065</v>
      </c>
      <c r="I23" s="300">
        <v>1901403</v>
      </c>
      <c r="J23" s="300">
        <v>1901898</v>
      </c>
      <c r="K23" s="300">
        <v>1902375</v>
      </c>
      <c r="L23" s="300">
        <v>1902896</v>
      </c>
      <c r="M23" s="300">
        <v>1903348</v>
      </c>
      <c r="N23" s="300">
        <v>1903348</v>
      </c>
      <c r="O23" s="300">
        <v>1903348</v>
      </c>
      <c r="P23" s="300">
        <v>1903888</v>
      </c>
      <c r="Q23" s="300">
        <v>1904340</v>
      </c>
      <c r="R23" s="280">
        <v>1904341</v>
      </c>
      <c r="S23" s="300">
        <v>1904880</v>
      </c>
      <c r="T23" s="300">
        <v>1905315</v>
      </c>
      <c r="U23" s="300">
        <v>1905796</v>
      </c>
      <c r="V23" s="300">
        <v>1905839</v>
      </c>
      <c r="W23" s="300">
        <v>1906293</v>
      </c>
      <c r="X23" s="300">
        <v>1906532</v>
      </c>
      <c r="Y23" s="300">
        <v>1907094</v>
      </c>
      <c r="Z23" s="300">
        <v>1907546</v>
      </c>
      <c r="AA23" s="300">
        <v>1907586</v>
      </c>
      <c r="AB23" s="300">
        <v>1907586</v>
      </c>
      <c r="AC23" s="300">
        <v>1907908</v>
      </c>
      <c r="AD23" s="300">
        <v>1908316</v>
      </c>
      <c r="AE23" s="300">
        <v>1908823</v>
      </c>
      <c r="AF23" s="300">
        <v>1909276</v>
      </c>
    </row>
    <row r="24" spans="1:32" x14ac:dyDescent="0.25">
      <c r="A24" s="5" t="s">
        <v>23</v>
      </c>
      <c r="B24" s="297">
        <v>1921000</v>
      </c>
      <c r="C24" s="297">
        <v>1921517</v>
      </c>
      <c r="D24" s="297">
        <v>1922035</v>
      </c>
      <c r="E24" s="298">
        <v>1922597</v>
      </c>
      <c r="F24" s="300">
        <v>1923116</v>
      </c>
      <c r="G24" s="300">
        <v>1923246</v>
      </c>
      <c r="H24" s="300">
        <v>1923247</v>
      </c>
      <c r="I24" s="300">
        <v>1923267</v>
      </c>
      <c r="J24" s="300">
        <v>1923286</v>
      </c>
      <c r="K24" s="300">
        <v>1923286</v>
      </c>
      <c r="L24" s="300">
        <v>1923286</v>
      </c>
      <c r="M24" s="300">
        <v>1923293</v>
      </c>
      <c r="N24" s="300">
        <v>1923293</v>
      </c>
      <c r="O24" s="300">
        <v>1923380</v>
      </c>
      <c r="P24" s="300">
        <v>1923486</v>
      </c>
      <c r="Q24" s="300">
        <v>1923680</v>
      </c>
      <c r="R24" s="280">
        <v>1924241</v>
      </c>
      <c r="S24" s="300">
        <v>1924802</v>
      </c>
      <c r="T24" s="300">
        <v>1925236</v>
      </c>
      <c r="U24" s="300">
        <v>1925240</v>
      </c>
      <c r="V24" s="300">
        <v>1925240</v>
      </c>
      <c r="W24" s="300">
        <v>1925418</v>
      </c>
      <c r="X24" s="300">
        <v>1925849</v>
      </c>
      <c r="Y24" s="300">
        <v>1926300</v>
      </c>
      <c r="Z24" s="300">
        <v>1926703</v>
      </c>
      <c r="AA24" s="300">
        <v>1926962</v>
      </c>
      <c r="AB24" s="300">
        <v>1927353</v>
      </c>
      <c r="AC24" s="300">
        <v>1927396</v>
      </c>
      <c r="AD24" s="300">
        <v>1927787</v>
      </c>
      <c r="AE24" s="300">
        <v>1928134</v>
      </c>
      <c r="AF24" s="300">
        <v>1928616</v>
      </c>
    </row>
    <row r="25" spans="1:32" x14ac:dyDescent="0.25">
      <c r="A25" s="6" t="s">
        <v>24</v>
      </c>
      <c r="B25" s="297">
        <v>1937094</v>
      </c>
      <c r="C25" s="297">
        <v>1937546</v>
      </c>
      <c r="D25" s="297">
        <v>1937930</v>
      </c>
      <c r="E25" s="298">
        <v>1938198</v>
      </c>
      <c r="F25" s="300">
        <v>1938582</v>
      </c>
      <c r="G25" s="300">
        <v>1938582</v>
      </c>
      <c r="H25" s="300">
        <v>1938582</v>
      </c>
      <c r="I25" s="300">
        <v>1939002</v>
      </c>
      <c r="J25" s="300">
        <v>1939438</v>
      </c>
      <c r="K25" s="300">
        <v>1939874</v>
      </c>
      <c r="L25" s="300">
        <v>1940239</v>
      </c>
      <c r="M25" s="300">
        <v>1940538</v>
      </c>
      <c r="N25" s="300">
        <v>1940538</v>
      </c>
      <c r="O25" s="300">
        <v>1940538</v>
      </c>
      <c r="P25" s="300">
        <v>1940890</v>
      </c>
      <c r="Q25" s="300">
        <v>1940930</v>
      </c>
      <c r="R25" s="280">
        <v>1941210</v>
      </c>
      <c r="S25" s="300">
        <v>1941662</v>
      </c>
      <c r="T25" s="300">
        <v>1942027</v>
      </c>
      <c r="U25" s="300">
        <v>1942027</v>
      </c>
      <c r="V25" s="300">
        <v>1942027</v>
      </c>
      <c r="W25" s="300">
        <v>1942376</v>
      </c>
      <c r="X25" s="300">
        <v>1942828</v>
      </c>
      <c r="Y25" s="300">
        <v>1943194</v>
      </c>
      <c r="Z25" s="300">
        <v>1943301</v>
      </c>
      <c r="AA25" s="300">
        <v>1943301</v>
      </c>
      <c r="AB25" s="300">
        <v>1943301</v>
      </c>
      <c r="AC25" s="300">
        <v>1943301</v>
      </c>
      <c r="AD25" s="300">
        <v>1943670</v>
      </c>
      <c r="AE25" s="300">
        <v>1944106</v>
      </c>
      <c r="AF25" s="300">
        <v>1944557</v>
      </c>
    </row>
    <row r="26" spans="1:32" x14ac:dyDescent="0.25">
      <c r="A26" s="6" t="s">
        <v>25</v>
      </c>
      <c r="B26" s="297">
        <v>1942223</v>
      </c>
      <c r="C26" s="297">
        <v>1942711</v>
      </c>
      <c r="D26" s="297">
        <v>1943276</v>
      </c>
      <c r="E26" s="298">
        <v>1943753</v>
      </c>
      <c r="F26" s="300">
        <v>1944272</v>
      </c>
      <c r="G26" s="300">
        <v>1944707</v>
      </c>
      <c r="H26" s="300">
        <v>1944707</v>
      </c>
      <c r="I26" s="300">
        <v>1945096</v>
      </c>
      <c r="J26" s="300">
        <v>1945572</v>
      </c>
      <c r="K26" s="300">
        <v>1945855</v>
      </c>
      <c r="L26" s="300">
        <v>1945875</v>
      </c>
      <c r="M26" s="300">
        <v>1946396</v>
      </c>
      <c r="N26" s="300">
        <v>1946915</v>
      </c>
      <c r="O26" s="300">
        <v>1947046</v>
      </c>
      <c r="P26" s="300">
        <v>1947608</v>
      </c>
      <c r="Q26" s="300">
        <v>1948040</v>
      </c>
      <c r="R26" s="280">
        <v>1948477</v>
      </c>
      <c r="S26" s="300">
        <v>1948740</v>
      </c>
      <c r="T26" s="300">
        <v>1949040</v>
      </c>
      <c r="U26" s="300">
        <v>1949561</v>
      </c>
      <c r="V26" s="300">
        <v>1949994</v>
      </c>
      <c r="W26" s="300">
        <v>1950428</v>
      </c>
      <c r="X26" s="300">
        <v>1950946</v>
      </c>
      <c r="Y26" s="300">
        <v>1951292</v>
      </c>
      <c r="Z26" s="300">
        <v>1951811</v>
      </c>
      <c r="AA26" s="300">
        <v>1952159</v>
      </c>
      <c r="AB26" s="300">
        <v>1952549</v>
      </c>
      <c r="AC26" s="300">
        <v>1952944</v>
      </c>
      <c r="AD26" s="300">
        <v>1953226</v>
      </c>
      <c r="AE26" s="300">
        <v>1953460</v>
      </c>
      <c r="AF26" s="300">
        <v>1953829</v>
      </c>
    </row>
    <row r="27" spans="1:32" x14ac:dyDescent="0.25">
      <c r="A27" s="6" t="s">
        <v>26</v>
      </c>
      <c r="B27" s="297">
        <v>1905012</v>
      </c>
      <c r="C27" s="297">
        <v>1905505</v>
      </c>
      <c r="D27" s="297">
        <v>1905939</v>
      </c>
      <c r="E27" s="298">
        <v>1906407</v>
      </c>
      <c r="F27" s="300">
        <v>1906816</v>
      </c>
      <c r="G27" s="300">
        <v>1907291</v>
      </c>
      <c r="H27" s="300">
        <v>1907722</v>
      </c>
      <c r="I27" s="300">
        <v>1907983</v>
      </c>
      <c r="J27" s="300">
        <v>1908417</v>
      </c>
      <c r="K27" s="300">
        <v>1908849</v>
      </c>
      <c r="L27" s="300">
        <v>1909303</v>
      </c>
      <c r="M27" s="300">
        <v>1909582</v>
      </c>
      <c r="N27" s="300">
        <v>1910014</v>
      </c>
      <c r="O27" s="300">
        <v>1910446</v>
      </c>
      <c r="P27" s="300">
        <v>1910897</v>
      </c>
      <c r="Q27" s="300">
        <v>1911023</v>
      </c>
      <c r="R27" s="280">
        <v>1911043</v>
      </c>
      <c r="S27" s="300">
        <v>1911306</v>
      </c>
      <c r="T27" s="300">
        <v>1911823</v>
      </c>
      <c r="U27" s="300">
        <v>1912300</v>
      </c>
      <c r="V27" s="300">
        <v>1912732</v>
      </c>
      <c r="W27" s="300">
        <v>1913292</v>
      </c>
      <c r="X27" s="300">
        <v>1913853</v>
      </c>
      <c r="Y27" s="300">
        <v>1914261</v>
      </c>
      <c r="Z27" s="300">
        <v>1914491</v>
      </c>
      <c r="AA27" s="300">
        <v>1914667</v>
      </c>
      <c r="AB27" s="300">
        <v>1914755</v>
      </c>
      <c r="AC27" s="300">
        <v>1914928</v>
      </c>
      <c r="AD27" s="300">
        <v>1915380</v>
      </c>
      <c r="AE27" s="300">
        <v>1915918</v>
      </c>
      <c r="AF27" s="300">
        <v>1916437</v>
      </c>
    </row>
    <row r="28" spans="1:32" x14ac:dyDescent="0.25">
      <c r="A28" s="6" t="s">
        <v>27</v>
      </c>
      <c r="B28" s="297">
        <v>1913702</v>
      </c>
      <c r="C28" s="297">
        <v>1914150</v>
      </c>
      <c r="D28" s="297">
        <v>1914431</v>
      </c>
      <c r="E28" s="298">
        <v>1914882</v>
      </c>
      <c r="F28" s="300">
        <v>1915332</v>
      </c>
      <c r="G28" s="300">
        <v>1915762</v>
      </c>
      <c r="H28" s="300">
        <v>1916194</v>
      </c>
      <c r="I28" s="300">
        <v>1916711</v>
      </c>
      <c r="J28" s="300">
        <v>1917185</v>
      </c>
      <c r="K28" s="300">
        <v>1917490</v>
      </c>
      <c r="L28" s="300">
        <v>1918007</v>
      </c>
      <c r="M28" s="300">
        <v>1918353</v>
      </c>
      <c r="N28" s="300">
        <v>1918356</v>
      </c>
      <c r="O28" s="300">
        <v>1918704</v>
      </c>
      <c r="P28" s="300">
        <v>1918792</v>
      </c>
      <c r="Q28" s="300">
        <v>1919143</v>
      </c>
      <c r="R28" s="280">
        <v>1919336</v>
      </c>
      <c r="S28" s="300">
        <v>1919444</v>
      </c>
      <c r="T28" s="300">
        <v>1919748</v>
      </c>
      <c r="U28" s="300">
        <v>1920050</v>
      </c>
      <c r="V28" s="300">
        <v>1920525</v>
      </c>
      <c r="W28" s="300">
        <v>1920870</v>
      </c>
      <c r="X28" s="300">
        <v>1921297</v>
      </c>
      <c r="Y28" s="300">
        <v>1921645</v>
      </c>
      <c r="Z28" s="300">
        <v>1922077</v>
      </c>
      <c r="AA28" s="300">
        <v>1922422</v>
      </c>
      <c r="AB28" s="300">
        <v>1922595</v>
      </c>
      <c r="AC28" s="300">
        <v>1923011</v>
      </c>
      <c r="AD28" s="300">
        <v>1923554</v>
      </c>
      <c r="AE28" s="300">
        <v>1924042</v>
      </c>
      <c r="AF28" s="300">
        <v>1924548</v>
      </c>
    </row>
    <row r="29" spans="1:32" x14ac:dyDescent="0.25">
      <c r="A29" s="5" t="s">
        <v>28</v>
      </c>
      <c r="B29" s="297">
        <v>1868883</v>
      </c>
      <c r="C29" s="297">
        <v>1868923</v>
      </c>
      <c r="D29" s="297">
        <v>1869426</v>
      </c>
      <c r="E29" s="298">
        <v>1869987</v>
      </c>
      <c r="F29" s="300">
        <v>1870480</v>
      </c>
      <c r="G29" s="300">
        <v>1870480</v>
      </c>
      <c r="H29" s="300">
        <v>1870480</v>
      </c>
      <c r="I29" s="300">
        <v>1871068</v>
      </c>
      <c r="J29" s="300">
        <v>1871588</v>
      </c>
      <c r="K29" s="300">
        <v>1871804</v>
      </c>
      <c r="L29" s="300">
        <v>1871956</v>
      </c>
      <c r="M29" s="300">
        <v>1872288</v>
      </c>
      <c r="N29" s="300">
        <v>1872766</v>
      </c>
      <c r="O29" s="300">
        <v>1873159</v>
      </c>
      <c r="P29" s="300">
        <v>1873246</v>
      </c>
      <c r="Q29" s="300">
        <v>1873678</v>
      </c>
      <c r="R29" s="280">
        <v>1873769</v>
      </c>
      <c r="S29" s="300">
        <v>1873964</v>
      </c>
      <c r="T29" s="300">
        <v>1874336</v>
      </c>
      <c r="U29" s="300">
        <v>1874811</v>
      </c>
      <c r="V29" s="300">
        <v>1875243</v>
      </c>
      <c r="W29" s="300">
        <v>1875804</v>
      </c>
      <c r="X29" s="300">
        <v>1876210</v>
      </c>
      <c r="Y29" s="300">
        <v>1876336</v>
      </c>
      <c r="Z29" s="300">
        <v>1876446</v>
      </c>
      <c r="AA29" s="300">
        <v>1876503</v>
      </c>
      <c r="AB29" s="300">
        <v>1876503</v>
      </c>
      <c r="AC29" s="300">
        <v>1876504</v>
      </c>
      <c r="AD29" s="300">
        <v>1876504</v>
      </c>
      <c r="AE29" s="300">
        <v>1876504</v>
      </c>
      <c r="AF29" s="300">
        <v>1876506</v>
      </c>
    </row>
    <row r="30" spans="1:32" x14ac:dyDescent="0.25">
      <c r="A30" s="6" t="s">
        <v>29</v>
      </c>
      <c r="B30" s="297">
        <v>1575050</v>
      </c>
      <c r="C30" s="297">
        <v>1575097</v>
      </c>
      <c r="D30" s="297">
        <v>1575121</v>
      </c>
      <c r="E30" s="298">
        <v>1575656</v>
      </c>
      <c r="F30" s="300">
        <v>1576174</v>
      </c>
      <c r="G30" s="300">
        <v>1576648</v>
      </c>
      <c r="H30" s="300">
        <v>1577079</v>
      </c>
      <c r="I30" s="300">
        <v>1577505</v>
      </c>
      <c r="J30" s="300">
        <v>1577954</v>
      </c>
      <c r="K30" s="300">
        <v>1578386</v>
      </c>
      <c r="L30" s="300">
        <v>1578881</v>
      </c>
      <c r="M30" s="300">
        <v>1579265</v>
      </c>
      <c r="N30" s="300">
        <v>1579482</v>
      </c>
      <c r="O30" s="300">
        <v>1579916</v>
      </c>
      <c r="P30" s="300">
        <v>1580267</v>
      </c>
      <c r="Q30" s="300">
        <v>1580700</v>
      </c>
      <c r="R30" s="280">
        <v>1580810</v>
      </c>
      <c r="S30" s="300">
        <v>1581310</v>
      </c>
      <c r="T30" s="300">
        <v>1581616</v>
      </c>
      <c r="U30" s="300">
        <v>1582091</v>
      </c>
      <c r="V30" s="300">
        <v>1582525</v>
      </c>
      <c r="W30" s="300">
        <v>1582789</v>
      </c>
      <c r="X30" s="300">
        <v>1582924</v>
      </c>
      <c r="Y30" s="300">
        <v>1583485</v>
      </c>
      <c r="Z30" s="300">
        <v>1583622</v>
      </c>
      <c r="AA30" s="300">
        <v>1583624</v>
      </c>
      <c r="AB30" s="300">
        <v>1583624</v>
      </c>
      <c r="AC30" s="300">
        <v>1583624</v>
      </c>
      <c r="AD30" s="300">
        <v>1584127</v>
      </c>
      <c r="AE30" s="300">
        <v>1584432</v>
      </c>
      <c r="AF30" s="300">
        <v>1584666</v>
      </c>
    </row>
    <row r="31" spans="1:32" x14ac:dyDescent="0.25">
      <c r="A31" s="7" t="s">
        <v>30</v>
      </c>
      <c r="B31" s="297">
        <v>1878027</v>
      </c>
      <c r="C31" s="297">
        <v>1878544</v>
      </c>
      <c r="D31" s="297">
        <v>1879018</v>
      </c>
      <c r="E31" s="298">
        <v>1879250</v>
      </c>
      <c r="F31" s="300">
        <v>1879687</v>
      </c>
      <c r="G31" s="300">
        <v>1880120</v>
      </c>
      <c r="H31" s="300">
        <v>1880120</v>
      </c>
      <c r="I31" s="300">
        <v>1880644</v>
      </c>
      <c r="J31" s="300">
        <v>1881096</v>
      </c>
      <c r="K31" s="300">
        <v>1881222</v>
      </c>
      <c r="L31" s="300">
        <v>1881723</v>
      </c>
      <c r="M31" s="300">
        <v>1882117</v>
      </c>
      <c r="N31" s="300">
        <v>1882419</v>
      </c>
      <c r="O31" s="300">
        <v>1882509</v>
      </c>
      <c r="P31" s="300">
        <v>1882773</v>
      </c>
      <c r="Q31" s="300">
        <v>1883249</v>
      </c>
      <c r="R31" s="280">
        <v>1883742</v>
      </c>
      <c r="S31" s="300">
        <v>1884176</v>
      </c>
      <c r="T31" s="300">
        <v>1884389</v>
      </c>
      <c r="U31" s="300">
        <v>1884389</v>
      </c>
      <c r="V31" s="300">
        <v>1884410</v>
      </c>
      <c r="W31" s="300">
        <v>1884887</v>
      </c>
      <c r="X31" s="300">
        <v>1885362</v>
      </c>
      <c r="Y31" s="300">
        <v>1885453</v>
      </c>
      <c r="Z31" s="300">
        <v>1886017</v>
      </c>
      <c r="AA31" s="300">
        <v>1886080</v>
      </c>
      <c r="AB31" s="300">
        <v>1886080</v>
      </c>
      <c r="AC31" s="300">
        <v>1886080</v>
      </c>
      <c r="AD31" s="300">
        <v>1886265</v>
      </c>
      <c r="AE31" s="300">
        <v>1886575</v>
      </c>
      <c r="AF31" s="300">
        <v>1887093</v>
      </c>
    </row>
    <row r="32" spans="1:32" s="130" customFormat="1" x14ac:dyDescent="0.25">
      <c r="A32" s="6" t="s">
        <v>111</v>
      </c>
      <c r="B32" s="297">
        <v>556331</v>
      </c>
      <c r="C32" s="297">
        <v>556826</v>
      </c>
      <c r="D32" s="297">
        <v>557368</v>
      </c>
      <c r="E32" s="298">
        <v>557717</v>
      </c>
      <c r="F32" s="300">
        <v>558236</v>
      </c>
      <c r="G32" s="300">
        <v>558712</v>
      </c>
      <c r="H32" s="300">
        <v>558755</v>
      </c>
      <c r="I32" s="300">
        <v>559186</v>
      </c>
      <c r="J32" s="300">
        <v>559703</v>
      </c>
      <c r="K32" s="300">
        <v>560135</v>
      </c>
      <c r="L32" s="300">
        <v>560567</v>
      </c>
      <c r="M32" s="300">
        <v>560846</v>
      </c>
      <c r="N32" s="300">
        <v>560846</v>
      </c>
      <c r="O32" s="300">
        <v>560846</v>
      </c>
      <c r="P32" s="300">
        <v>561167</v>
      </c>
      <c r="Q32" s="300">
        <v>561555</v>
      </c>
      <c r="R32" s="280">
        <v>562006</v>
      </c>
      <c r="S32" s="300">
        <v>562045</v>
      </c>
      <c r="T32" s="300">
        <v>562513</v>
      </c>
      <c r="U32" s="300">
        <v>562513</v>
      </c>
      <c r="V32" s="300">
        <v>562513</v>
      </c>
      <c r="W32" s="300">
        <v>562776</v>
      </c>
      <c r="X32" s="300">
        <v>562778</v>
      </c>
      <c r="Y32" s="300">
        <v>562798</v>
      </c>
      <c r="Z32" s="300">
        <v>562885</v>
      </c>
      <c r="AA32" s="300">
        <v>563147</v>
      </c>
      <c r="AB32" s="300">
        <v>563494</v>
      </c>
      <c r="AC32" s="300">
        <v>563494</v>
      </c>
      <c r="AD32" s="300">
        <v>563600</v>
      </c>
      <c r="AE32" s="300">
        <v>563794</v>
      </c>
      <c r="AF32" s="300">
        <v>564101</v>
      </c>
    </row>
    <row r="33" spans="1:32" s="130" customFormat="1" x14ac:dyDescent="0.25">
      <c r="A33" s="5" t="s">
        <v>112</v>
      </c>
      <c r="B33" s="297">
        <v>563607</v>
      </c>
      <c r="C33" s="297">
        <v>563886</v>
      </c>
      <c r="D33" s="297">
        <v>564336</v>
      </c>
      <c r="E33" s="298">
        <v>564855</v>
      </c>
      <c r="F33" s="300">
        <v>565030</v>
      </c>
      <c r="G33" s="300">
        <v>565030</v>
      </c>
      <c r="H33" s="300">
        <v>565030</v>
      </c>
      <c r="I33" s="300">
        <v>565480</v>
      </c>
      <c r="J33" s="300">
        <v>565912</v>
      </c>
      <c r="K33" s="300">
        <v>566431</v>
      </c>
      <c r="L33" s="300">
        <v>566862</v>
      </c>
      <c r="M33" s="300">
        <v>567299</v>
      </c>
      <c r="N33" s="300">
        <v>567299</v>
      </c>
      <c r="O33" s="300">
        <v>567299</v>
      </c>
      <c r="P33" s="300">
        <v>567732</v>
      </c>
      <c r="Q33" s="300">
        <v>567839</v>
      </c>
      <c r="R33" s="280">
        <v>568033</v>
      </c>
      <c r="S33" s="300">
        <v>568464</v>
      </c>
      <c r="T33" s="300">
        <v>568916</v>
      </c>
      <c r="U33" s="300">
        <v>568916</v>
      </c>
      <c r="V33" s="300">
        <v>568916</v>
      </c>
      <c r="W33" s="300">
        <v>569384</v>
      </c>
      <c r="X33" s="300">
        <v>569404</v>
      </c>
      <c r="Y33" s="300">
        <v>569599</v>
      </c>
      <c r="Z33" s="300">
        <v>569601</v>
      </c>
      <c r="AA33" s="300">
        <v>569755</v>
      </c>
      <c r="AB33" s="300">
        <v>569755</v>
      </c>
      <c r="AC33" s="300">
        <v>569778</v>
      </c>
      <c r="AD33" s="300">
        <v>569999</v>
      </c>
      <c r="AE33" s="300">
        <v>570183</v>
      </c>
      <c r="AF33" s="300">
        <v>570272</v>
      </c>
    </row>
    <row r="34" spans="1:32" s="130" customFormat="1" x14ac:dyDescent="0.25">
      <c r="A34" s="6" t="s">
        <v>113</v>
      </c>
      <c r="B34" s="297">
        <v>540923</v>
      </c>
      <c r="C34" s="297">
        <v>541459</v>
      </c>
      <c r="D34" s="297">
        <v>541567</v>
      </c>
      <c r="E34" s="298">
        <v>541567</v>
      </c>
      <c r="F34" s="300">
        <v>541914</v>
      </c>
      <c r="G34" s="300">
        <v>541914</v>
      </c>
      <c r="H34" s="300">
        <v>541914</v>
      </c>
      <c r="I34" s="300">
        <v>542107</v>
      </c>
      <c r="J34" s="300">
        <v>542644</v>
      </c>
      <c r="K34" s="300">
        <v>543096</v>
      </c>
      <c r="L34" s="300">
        <v>543640</v>
      </c>
      <c r="M34" s="300">
        <v>543964</v>
      </c>
      <c r="N34" s="300">
        <v>543964</v>
      </c>
      <c r="O34" s="300">
        <v>543964</v>
      </c>
      <c r="P34" s="300">
        <v>544414</v>
      </c>
      <c r="Q34" s="300">
        <v>544851</v>
      </c>
      <c r="R34" s="280">
        <v>545113</v>
      </c>
      <c r="S34" s="300">
        <v>545546</v>
      </c>
      <c r="T34" s="300">
        <v>545997</v>
      </c>
      <c r="U34" s="300">
        <v>545997</v>
      </c>
      <c r="V34" s="300">
        <v>546016</v>
      </c>
      <c r="W34" s="300">
        <v>546450</v>
      </c>
      <c r="X34" s="300">
        <v>546644</v>
      </c>
      <c r="Y34" s="300">
        <v>547076</v>
      </c>
      <c r="Z34" s="300">
        <v>547115</v>
      </c>
      <c r="AA34" s="300">
        <v>547154</v>
      </c>
      <c r="AB34" s="300">
        <v>547154</v>
      </c>
      <c r="AC34" s="300">
        <v>547155</v>
      </c>
      <c r="AD34" s="300">
        <v>547155</v>
      </c>
      <c r="AE34" s="300">
        <v>547349</v>
      </c>
      <c r="AF34" s="300">
        <v>547657</v>
      </c>
    </row>
    <row r="35" spans="1:32" s="130" customFormat="1" x14ac:dyDescent="0.25">
      <c r="A35" s="7" t="s">
        <v>114</v>
      </c>
      <c r="B35" s="297">
        <v>554928</v>
      </c>
      <c r="C35" s="297">
        <v>555091</v>
      </c>
      <c r="D35" s="297">
        <v>555376</v>
      </c>
      <c r="E35" s="298">
        <v>555897</v>
      </c>
      <c r="F35" s="300">
        <v>556418</v>
      </c>
      <c r="G35" s="300">
        <v>556418</v>
      </c>
      <c r="H35" s="300">
        <v>556418</v>
      </c>
      <c r="I35" s="300">
        <v>556871</v>
      </c>
      <c r="J35" s="300">
        <v>557305</v>
      </c>
      <c r="K35" s="300">
        <v>557825</v>
      </c>
      <c r="L35" s="300">
        <v>558258</v>
      </c>
      <c r="M35" s="300">
        <v>558543</v>
      </c>
      <c r="N35" s="300">
        <v>558543</v>
      </c>
      <c r="O35" s="300">
        <v>558543</v>
      </c>
      <c r="P35" s="300">
        <v>558544</v>
      </c>
      <c r="Q35" s="300">
        <v>558741</v>
      </c>
      <c r="R35" s="280">
        <v>559089</v>
      </c>
      <c r="S35" s="300">
        <v>559178</v>
      </c>
      <c r="T35" s="300">
        <v>559266</v>
      </c>
      <c r="U35" s="300">
        <v>559444</v>
      </c>
      <c r="V35" s="300">
        <v>559444</v>
      </c>
      <c r="W35" s="300">
        <v>559789</v>
      </c>
      <c r="X35" s="300">
        <v>560223</v>
      </c>
      <c r="Y35" s="300">
        <v>560435</v>
      </c>
      <c r="Z35" s="300">
        <v>560910</v>
      </c>
      <c r="AA35" s="300">
        <v>561299</v>
      </c>
      <c r="AB35" s="300">
        <v>561730</v>
      </c>
      <c r="AC35" s="300">
        <v>561753</v>
      </c>
      <c r="AD35" s="300">
        <v>561964</v>
      </c>
      <c r="AE35" s="300">
        <v>561985</v>
      </c>
      <c r="AF35" s="300">
        <v>562264</v>
      </c>
    </row>
    <row r="36" spans="1:32" s="130" customFormat="1" x14ac:dyDescent="0.25">
      <c r="A36" s="5" t="s">
        <v>115</v>
      </c>
      <c r="B36" s="297">
        <v>543001</v>
      </c>
      <c r="C36" s="297">
        <v>543280</v>
      </c>
      <c r="D36" s="297">
        <v>543628</v>
      </c>
      <c r="E36" s="298">
        <v>544061</v>
      </c>
      <c r="F36" s="300">
        <v>544149</v>
      </c>
      <c r="G36" s="300">
        <v>544149</v>
      </c>
      <c r="H36" s="300">
        <v>544149</v>
      </c>
      <c r="I36" s="300">
        <v>544515</v>
      </c>
      <c r="J36" s="300">
        <v>545018</v>
      </c>
      <c r="K36" s="300">
        <v>545469</v>
      </c>
      <c r="L36" s="300">
        <v>546013</v>
      </c>
      <c r="M36" s="300">
        <v>546333</v>
      </c>
      <c r="N36" s="300">
        <v>546333</v>
      </c>
      <c r="O36" s="300">
        <v>546333</v>
      </c>
      <c r="P36" s="300">
        <v>546372</v>
      </c>
      <c r="Q36" s="300">
        <v>546738</v>
      </c>
      <c r="R36" s="280">
        <v>546843</v>
      </c>
      <c r="S36" s="300">
        <v>547115</v>
      </c>
      <c r="T36" s="300">
        <v>547522</v>
      </c>
      <c r="U36" s="300">
        <v>547522</v>
      </c>
      <c r="V36" s="300">
        <v>547542</v>
      </c>
      <c r="W36" s="300">
        <v>547976</v>
      </c>
      <c r="X36" s="300">
        <v>548170</v>
      </c>
      <c r="Y36" s="300">
        <v>548603</v>
      </c>
      <c r="Z36" s="300">
        <v>548642</v>
      </c>
      <c r="AA36" s="300">
        <v>548680</v>
      </c>
      <c r="AB36" s="300">
        <v>548680</v>
      </c>
      <c r="AC36" s="300">
        <v>548680</v>
      </c>
      <c r="AD36" s="300">
        <v>548683</v>
      </c>
      <c r="AE36" s="300">
        <v>548683</v>
      </c>
      <c r="AF36" s="300">
        <v>549047</v>
      </c>
    </row>
    <row r="37" spans="1:32" s="130" customFormat="1" x14ac:dyDescent="0.25">
      <c r="A37" s="6" t="s">
        <v>116</v>
      </c>
      <c r="B37" s="297">
        <v>581510</v>
      </c>
      <c r="C37" s="297">
        <v>581680</v>
      </c>
      <c r="D37" s="297">
        <v>582153</v>
      </c>
      <c r="E37" s="298">
        <v>582330</v>
      </c>
      <c r="F37" s="300">
        <v>582677</v>
      </c>
      <c r="G37" s="300">
        <v>582938</v>
      </c>
      <c r="H37" s="300">
        <v>583370</v>
      </c>
      <c r="I37" s="300">
        <v>583807</v>
      </c>
      <c r="J37" s="300">
        <v>584324</v>
      </c>
      <c r="K37" s="300">
        <v>584755</v>
      </c>
      <c r="L37" s="300">
        <v>584860</v>
      </c>
      <c r="M37" s="300">
        <v>585073</v>
      </c>
      <c r="N37" s="300">
        <v>585073</v>
      </c>
      <c r="O37" s="300">
        <v>585073</v>
      </c>
      <c r="P37" s="300">
        <v>585523</v>
      </c>
      <c r="Q37" s="300">
        <v>585717</v>
      </c>
      <c r="R37" s="280">
        <v>585911</v>
      </c>
      <c r="S37" s="300">
        <v>586001</v>
      </c>
      <c r="T37" s="300">
        <v>586088</v>
      </c>
      <c r="U37" s="300">
        <v>586522</v>
      </c>
      <c r="V37" s="300">
        <v>586524</v>
      </c>
      <c r="W37" s="300">
        <v>586871</v>
      </c>
      <c r="X37" s="300">
        <v>587391</v>
      </c>
      <c r="Y37" s="300">
        <v>587654</v>
      </c>
      <c r="Z37" s="300">
        <v>587994</v>
      </c>
      <c r="AA37" s="300">
        <v>588382</v>
      </c>
      <c r="AB37" s="300">
        <v>588814</v>
      </c>
      <c r="AC37" s="300">
        <v>589161</v>
      </c>
      <c r="AD37" s="300">
        <v>589250</v>
      </c>
      <c r="AE37" s="300">
        <v>589355</v>
      </c>
      <c r="AF37" s="300">
        <v>589375</v>
      </c>
    </row>
    <row r="38" spans="1:32" x14ac:dyDescent="0.25">
      <c r="A38" s="7" t="s">
        <v>117</v>
      </c>
      <c r="B38" s="297">
        <v>223846</v>
      </c>
      <c r="C38" s="297">
        <v>224343</v>
      </c>
      <c r="D38" s="297">
        <v>224886</v>
      </c>
      <c r="E38" s="298">
        <v>225320</v>
      </c>
      <c r="F38" s="300">
        <v>225842</v>
      </c>
      <c r="G38" s="300">
        <v>226320</v>
      </c>
      <c r="H38" s="300">
        <v>226364</v>
      </c>
      <c r="I38" s="300">
        <v>226729</v>
      </c>
      <c r="J38" s="300">
        <v>227181</v>
      </c>
      <c r="K38" s="300">
        <v>227532</v>
      </c>
      <c r="L38" s="300">
        <v>227638</v>
      </c>
      <c r="M38" s="300">
        <v>228109</v>
      </c>
      <c r="N38" s="300">
        <v>228109</v>
      </c>
      <c r="O38" s="300">
        <v>228109</v>
      </c>
      <c r="P38" s="300">
        <v>228431</v>
      </c>
      <c r="Q38" s="300">
        <v>228822</v>
      </c>
      <c r="R38" s="280">
        <v>229171</v>
      </c>
      <c r="S38" s="300">
        <v>229391</v>
      </c>
      <c r="T38" s="300">
        <v>229665</v>
      </c>
      <c r="U38" s="300">
        <v>229665</v>
      </c>
      <c r="V38" s="300">
        <v>229665</v>
      </c>
      <c r="W38" s="300">
        <v>230137</v>
      </c>
      <c r="X38" s="300">
        <v>230641</v>
      </c>
      <c r="Y38" s="300">
        <v>230643</v>
      </c>
      <c r="Z38" s="300">
        <v>230733</v>
      </c>
      <c r="AA38" s="300">
        <v>230998</v>
      </c>
      <c r="AB38" s="300">
        <v>231346</v>
      </c>
      <c r="AC38" s="300">
        <v>231346</v>
      </c>
      <c r="AD38" s="300">
        <v>231453</v>
      </c>
      <c r="AE38" s="300">
        <v>231609</v>
      </c>
      <c r="AF38" s="300">
        <v>232042</v>
      </c>
    </row>
    <row r="39" spans="1:32" x14ac:dyDescent="0.25">
      <c r="A39" s="5" t="s">
        <v>118</v>
      </c>
      <c r="B39" s="297">
        <v>554069</v>
      </c>
      <c r="C39" s="297">
        <v>554605</v>
      </c>
      <c r="D39" s="297">
        <v>554626</v>
      </c>
      <c r="E39" s="298">
        <v>554973</v>
      </c>
      <c r="F39" s="300">
        <v>555425</v>
      </c>
      <c r="G39" s="300">
        <v>555425</v>
      </c>
      <c r="H39" s="300">
        <v>555425</v>
      </c>
      <c r="I39" s="300">
        <v>555516</v>
      </c>
      <c r="J39" s="300">
        <v>555932</v>
      </c>
      <c r="K39" s="300">
        <v>556364</v>
      </c>
      <c r="L39" s="300">
        <v>556796</v>
      </c>
      <c r="M39" s="300">
        <v>557232</v>
      </c>
      <c r="N39" s="300">
        <v>557232</v>
      </c>
      <c r="O39" s="300">
        <v>557232</v>
      </c>
      <c r="P39" s="300">
        <v>557664</v>
      </c>
      <c r="Q39" s="300">
        <v>558013</v>
      </c>
      <c r="R39" s="280">
        <v>558119</v>
      </c>
      <c r="S39" s="300">
        <v>558120</v>
      </c>
      <c r="T39" s="300">
        <v>558503</v>
      </c>
      <c r="U39" s="300">
        <v>558503</v>
      </c>
      <c r="V39" s="300">
        <v>558503</v>
      </c>
      <c r="W39" s="300">
        <v>558765</v>
      </c>
      <c r="X39" s="300">
        <v>559180</v>
      </c>
      <c r="Y39" s="300">
        <v>559377</v>
      </c>
      <c r="Z39" s="300">
        <v>559378</v>
      </c>
      <c r="AA39" s="300">
        <v>559534</v>
      </c>
      <c r="AB39" s="300">
        <v>559534</v>
      </c>
      <c r="AC39" s="300">
        <v>559880</v>
      </c>
      <c r="AD39" s="300">
        <v>559969</v>
      </c>
      <c r="AE39" s="300">
        <v>560075</v>
      </c>
      <c r="AF39" s="300">
        <v>560409</v>
      </c>
    </row>
    <row r="40" spans="1:32" s="130" customFormat="1" ht="18" x14ac:dyDescent="0.25">
      <c r="A40" s="228"/>
      <c r="B40" s="228"/>
      <c r="C40" s="228"/>
      <c r="D40" s="228"/>
      <c r="E40" s="228"/>
      <c r="F40" s="228"/>
      <c r="G40" s="228"/>
      <c r="H40" s="228"/>
      <c r="I40" s="228"/>
      <c r="J40" s="228"/>
      <c r="L40" s="228"/>
      <c r="M40" s="228"/>
      <c r="N40" s="228"/>
      <c r="O40" s="228"/>
      <c r="P40" s="228"/>
      <c r="Q40" s="228"/>
      <c r="R40" s="228"/>
      <c r="S40" s="228"/>
      <c r="T40" s="228"/>
      <c r="U40" s="228"/>
      <c r="V40" s="228"/>
      <c r="W40" s="228"/>
      <c r="X40" s="228"/>
      <c r="Y40" s="228"/>
      <c r="Z40" s="228"/>
      <c r="AA40" s="228"/>
      <c r="AB40" s="228"/>
      <c r="AC40" s="228"/>
    </row>
    <row r="41" spans="1:32" ht="18" x14ac:dyDescent="0.25">
      <c r="A41" s="325" t="s">
        <v>31</v>
      </c>
      <c r="B41" s="325"/>
      <c r="C41" s="325"/>
      <c r="D41" s="325"/>
      <c r="E41" s="325"/>
      <c r="F41" s="325"/>
      <c r="G41" s="325"/>
      <c r="H41" s="325"/>
      <c r="I41" s="325"/>
      <c r="J41" s="325"/>
      <c r="K41" s="325"/>
      <c r="L41" s="325"/>
      <c r="M41" s="325"/>
      <c r="N41" s="325"/>
      <c r="O41" s="325"/>
      <c r="P41" s="325"/>
      <c r="Q41" s="325"/>
      <c r="R41" s="325"/>
      <c r="S41" s="325"/>
      <c r="T41" s="325"/>
      <c r="U41" s="325"/>
      <c r="V41" s="325"/>
      <c r="W41" s="325"/>
      <c r="X41" s="325"/>
      <c r="Y41" s="325"/>
      <c r="Z41" s="325"/>
      <c r="AA41" s="325"/>
      <c r="AB41" s="325"/>
      <c r="AC41" s="325"/>
    </row>
    <row r="42" spans="1:32" x14ac:dyDescent="0.25">
      <c r="A42" s="9"/>
      <c r="B42" s="64">
        <v>45292</v>
      </c>
      <c r="C42" s="64">
        <v>45293</v>
      </c>
      <c r="D42" s="64">
        <v>45294</v>
      </c>
      <c r="E42" s="64">
        <v>45295</v>
      </c>
      <c r="F42" s="64">
        <v>45296</v>
      </c>
      <c r="G42" s="64">
        <v>45297</v>
      </c>
      <c r="H42" s="64">
        <v>45298</v>
      </c>
      <c r="I42" s="64">
        <v>45299</v>
      </c>
      <c r="J42" s="64">
        <v>45300</v>
      </c>
      <c r="K42" s="64">
        <v>45301</v>
      </c>
      <c r="L42" s="64">
        <v>45302</v>
      </c>
      <c r="M42" s="64">
        <v>45303</v>
      </c>
      <c r="N42" s="64">
        <v>45304</v>
      </c>
      <c r="O42" s="64">
        <v>45305</v>
      </c>
      <c r="P42" s="64">
        <v>45306</v>
      </c>
      <c r="Q42" s="64">
        <v>45307</v>
      </c>
      <c r="R42" s="64">
        <v>45308</v>
      </c>
      <c r="S42" s="64">
        <v>45309</v>
      </c>
      <c r="T42" s="64">
        <v>45310</v>
      </c>
      <c r="U42" s="64">
        <v>45311</v>
      </c>
      <c r="V42" s="64">
        <v>45312</v>
      </c>
      <c r="W42" s="64">
        <v>45313</v>
      </c>
      <c r="X42" s="64">
        <v>45314</v>
      </c>
      <c r="Y42" s="64">
        <v>45315</v>
      </c>
      <c r="Z42" s="64">
        <v>45316</v>
      </c>
      <c r="AA42" s="64">
        <v>45317</v>
      </c>
      <c r="AB42" s="64">
        <v>45318</v>
      </c>
      <c r="AC42" s="64">
        <v>45319</v>
      </c>
      <c r="AD42" s="64">
        <v>45320</v>
      </c>
      <c r="AE42" s="64">
        <v>45321</v>
      </c>
      <c r="AF42" s="64">
        <v>45322</v>
      </c>
    </row>
    <row r="43" spans="1:32" x14ac:dyDescent="0.25">
      <c r="A43" s="9"/>
      <c r="B43" s="10" t="s">
        <v>32</v>
      </c>
      <c r="C43" s="10" t="s">
        <v>32</v>
      </c>
      <c r="D43" s="10" t="s">
        <v>32</v>
      </c>
      <c r="E43" s="10" t="s">
        <v>32</v>
      </c>
      <c r="F43" s="10" t="s">
        <v>32</v>
      </c>
      <c r="G43" s="10" t="s">
        <v>32</v>
      </c>
      <c r="H43" s="10" t="s">
        <v>32</v>
      </c>
      <c r="I43" s="10" t="s">
        <v>32</v>
      </c>
      <c r="J43" s="10" t="s">
        <v>32</v>
      </c>
      <c r="K43" s="10" t="s">
        <v>32</v>
      </c>
      <c r="L43" s="10" t="s">
        <v>32</v>
      </c>
      <c r="M43" s="10" t="s">
        <v>32</v>
      </c>
      <c r="N43" s="10" t="s">
        <v>32</v>
      </c>
      <c r="O43" s="10" t="s">
        <v>32</v>
      </c>
      <c r="P43" s="10" t="s">
        <v>32</v>
      </c>
      <c r="Q43" s="10" t="s">
        <v>32</v>
      </c>
      <c r="R43" s="10" t="s">
        <v>32</v>
      </c>
      <c r="S43" s="10" t="s">
        <v>32</v>
      </c>
      <c r="T43" s="10" t="s">
        <v>32</v>
      </c>
      <c r="U43" s="10" t="s">
        <v>32</v>
      </c>
      <c r="V43" s="10" t="s">
        <v>32</v>
      </c>
      <c r="W43" s="10" t="s">
        <v>32</v>
      </c>
      <c r="X43" s="10" t="s">
        <v>32</v>
      </c>
      <c r="Y43" s="10" t="s">
        <v>32</v>
      </c>
      <c r="Z43" s="10" t="s">
        <v>32</v>
      </c>
      <c r="AA43" s="10" t="s">
        <v>32</v>
      </c>
      <c r="AB43" s="10" t="s">
        <v>32</v>
      </c>
      <c r="AC43" s="10" t="s">
        <v>32</v>
      </c>
      <c r="AD43" s="10" t="s">
        <v>32</v>
      </c>
      <c r="AE43" s="10" t="s">
        <v>32</v>
      </c>
      <c r="AF43" s="10" t="s">
        <v>32</v>
      </c>
    </row>
    <row r="44" spans="1:32" x14ac:dyDescent="0.25">
      <c r="A44" s="9" t="s">
        <v>2</v>
      </c>
      <c r="B44" s="10" t="s">
        <v>33</v>
      </c>
      <c r="C44" s="10" t="s">
        <v>33</v>
      </c>
      <c r="D44" s="10" t="s">
        <v>33</v>
      </c>
      <c r="E44" s="10" t="s">
        <v>33</v>
      </c>
      <c r="F44" s="10" t="s">
        <v>33</v>
      </c>
      <c r="G44" s="10" t="s">
        <v>33</v>
      </c>
      <c r="H44" s="10" t="s">
        <v>33</v>
      </c>
      <c r="I44" s="10" t="s">
        <v>33</v>
      </c>
      <c r="J44" s="10" t="s">
        <v>33</v>
      </c>
      <c r="K44" s="10" t="s">
        <v>33</v>
      </c>
      <c r="L44" s="10" t="s">
        <v>33</v>
      </c>
      <c r="M44" s="10" t="s">
        <v>33</v>
      </c>
      <c r="N44" s="10" t="s">
        <v>33</v>
      </c>
      <c r="O44" s="10" t="s">
        <v>33</v>
      </c>
      <c r="P44" s="10" t="s">
        <v>33</v>
      </c>
      <c r="Q44" s="10" t="s">
        <v>33</v>
      </c>
      <c r="R44" s="10" t="s">
        <v>33</v>
      </c>
      <c r="S44" s="10" t="s">
        <v>33</v>
      </c>
      <c r="T44" s="10" t="s">
        <v>33</v>
      </c>
      <c r="U44" s="10" t="s">
        <v>33</v>
      </c>
      <c r="V44" s="10" t="s">
        <v>33</v>
      </c>
      <c r="W44" s="10" t="s">
        <v>33</v>
      </c>
      <c r="X44" s="10" t="s">
        <v>33</v>
      </c>
      <c r="Y44" s="10" t="s">
        <v>33</v>
      </c>
      <c r="Z44" s="10" t="s">
        <v>33</v>
      </c>
      <c r="AA44" s="10" t="s">
        <v>33</v>
      </c>
      <c r="AB44" s="10" t="s">
        <v>33</v>
      </c>
      <c r="AC44" s="10" t="s">
        <v>33</v>
      </c>
      <c r="AD44" s="10" t="s">
        <v>33</v>
      </c>
      <c r="AE44" s="10" t="s">
        <v>33</v>
      </c>
      <c r="AF44" s="10" t="s">
        <v>33</v>
      </c>
    </row>
    <row r="45" spans="1:32" x14ac:dyDescent="0.25">
      <c r="A45" s="11" t="s">
        <v>4</v>
      </c>
      <c r="B45" s="247">
        <v>0</v>
      </c>
      <c r="C45" s="12">
        <f t="shared" ref="C45:D64" si="0">C5-B5</f>
        <v>280</v>
      </c>
      <c r="D45" s="12">
        <f t="shared" si="0"/>
        <v>455</v>
      </c>
      <c r="E45" s="12">
        <f t="shared" ref="E45:F64" si="1">E5-D5</f>
        <v>108</v>
      </c>
      <c r="F45" s="12">
        <f t="shared" si="1"/>
        <v>193</v>
      </c>
      <c r="G45" s="12">
        <f t="shared" ref="G45:P45" si="2">G5-F5</f>
        <v>0</v>
      </c>
      <c r="H45" s="12">
        <f t="shared" si="2"/>
        <v>0</v>
      </c>
      <c r="I45" s="12">
        <f t="shared" si="2"/>
        <v>536</v>
      </c>
      <c r="J45" s="12">
        <f t="shared" si="2"/>
        <v>475</v>
      </c>
      <c r="K45" s="12">
        <f t="shared" si="2"/>
        <v>474</v>
      </c>
      <c r="L45" s="12">
        <f t="shared" si="2"/>
        <v>365</v>
      </c>
      <c r="M45" s="12">
        <f t="shared" si="2"/>
        <v>416</v>
      </c>
      <c r="N45" s="12">
        <f t="shared" si="2"/>
        <v>518</v>
      </c>
      <c r="O45" s="12">
        <f t="shared" si="2"/>
        <v>345</v>
      </c>
      <c r="P45" s="12">
        <f t="shared" si="2"/>
        <v>306</v>
      </c>
      <c r="Q45" s="12">
        <f>Q5-P5</f>
        <v>148</v>
      </c>
      <c r="R45" s="12">
        <f>R5-Q5</f>
        <v>544</v>
      </c>
      <c r="S45" s="12">
        <f>S5-R5</f>
        <v>474</v>
      </c>
      <c r="T45" s="12">
        <f t="shared" ref="T45:AD45" si="3">T5-S5</f>
        <v>302</v>
      </c>
      <c r="U45" s="12">
        <f t="shared" si="3"/>
        <v>260</v>
      </c>
      <c r="V45" s="12">
        <f>V5-U5</f>
        <v>436</v>
      </c>
      <c r="W45" s="12">
        <f t="shared" si="3"/>
        <v>148</v>
      </c>
      <c r="X45" s="12">
        <f t="shared" si="3"/>
        <v>500</v>
      </c>
      <c r="Y45" s="12">
        <f t="shared" si="3"/>
        <v>263</v>
      </c>
      <c r="Z45" s="12">
        <f t="shared" si="3"/>
        <v>433</v>
      </c>
      <c r="AA45" s="12">
        <f t="shared" si="3"/>
        <v>175</v>
      </c>
      <c r="AB45" s="12">
        <f t="shared" si="3"/>
        <v>391</v>
      </c>
      <c r="AC45" s="12">
        <f t="shared" si="3"/>
        <v>43</v>
      </c>
      <c r="AD45" s="12">
        <f t="shared" si="3"/>
        <v>561</v>
      </c>
      <c r="AE45" s="12">
        <f>AE5-AD5</f>
        <v>408</v>
      </c>
      <c r="AF45" s="12">
        <f>AF5-AE5</f>
        <v>402</v>
      </c>
    </row>
    <row r="46" spans="1:32" x14ac:dyDescent="0.25">
      <c r="A46" s="11" t="s">
        <v>5</v>
      </c>
      <c r="B46" s="247">
        <v>0</v>
      </c>
      <c r="C46" s="12">
        <f t="shared" si="0"/>
        <v>194</v>
      </c>
      <c r="D46" s="12">
        <f t="shared" si="0"/>
        <v>519</v>
      </c>
      <c r="E46" s="12">
        <f t="shared" si="1"/>
        <v>454</v>
      </c>
      <c r="F46" s="12">
        <f t="shared" si="1"/>
        <v>20</v>
      </c>
      <c r="G46" s="12">
        <f t="shared" ref="G46:P62" si="4">G6-F6</f>
        <v>0</v>
      </c>
      <c r="H46" s="12">
        <f t="shared" si="4"/>
        <v>45</v>
      </c>
      <c r="I46" s="12">
        <f t="shared" si="4"/>
        <v>260</v>
      </c>
      <c r="J46" s="12">
        <f t="shared" si="4"/>
        <v>454</v>
      </c>
      <c r="K46" s="12">
        <f t="shared" si="4"/>
        <v>299</v>
      </c>
      <c r="L46" s="12">
        <f t="shared" si="4"/>
        <v>385</v>
      </c>
      <c r="M46" s="12">
        <f t="shared" si="4"/>
        <v>544</v>
      </c>
      <c r="N46" s="12">
        <f t="shared" si="4"/>
        <v>43</v>
      </c>
      <c r="O46" s="12">
        <f t="shared" si="4"/>
        <v>349</v>
      </c>
      <c r="P46" s="12">
        <f t="shared" si="4"/>
        <v>106</v>
      </c>
      <c r="Q46" s="12">
        <f t="shared" ref="Q46:Q79" si="5">Q6-P6</f>
        <v>126</v>
      </c>
      <c r="R46" s="12">
        <f t="shared" ref="R46:S79" si="6">R6-Q6</f>
        <v>333</v>
      </c>
      <c r="S46" s="12">
        <f t="shared" si="6"/>
        <v>455</v>
      </c>
      <c r="T46" s="12">
        <f t="shared" ref="T46:AF46" si="7">T6-S6</f>
        <v>366</v>
      </c>
      <c r="U46" s="12">
        <f t="shared" si="7"/>
        <v>434</v>
      </c>
      <c r="V46" s="12">
        <f t="shared" si="7"/>
        <v>2</v>
      </c>
      <c r="W46" s="12">
        <f t="shared" si="7"/>
        <v>263</v>
      </c>
      <c r="X46" s="12">
        <f t="shared" si="7"/>
        <v>519</v>
      </c>
      <c r="Y46" s="12">
        <f t="shared" si="7"/>
        <v>432</v>
      </c>
      <c r="Z46" s="12">
        <f t="shared" si="7"/>
        <v>519</v>
      </c>
      <c r="AA46" s="12">
        <f t="shared" si="7"/>
        <v>279</v>
      </c>
      <c r="AB46" s="12">
        <f t="shared" si="7"/>
        <v>0</v>
      </c>
      <c r="AC46" s="12">
        <f t="shared" si="7"/>
        <v>0</v>
      </c>
      <c r="AD46" s="12">
        <f t="shared" si="7"/>
        <v>367</v>
      </c>
      <c r="AE46" s="12">
        <f t="shared" si="7"/>
        <v>298</v>
      </c>
      <c r="AF46" s="12">
        <f t="shared" si="7"/>
        <v>518</v>
      </c>
    </row>
    <row r="47" spans="1:32" x14ac:dyDescent="0.25">
      <c r="A47" s="11" t="s">
        <v>6</v>
      </c>
      <c r="B47" s="247">
        <v>0</v>
      </c>
      <c r="C47" s="12">
        <f t="shared" si="0"/>
        <v>348</v>
      </c>
      <c r="D47" s="12">
        <f t="shared" si="0"/>
        <v>107</v>
      </c>
      <c r="E47" s="12">
        <f t="shared" si="1"/>
        <v>350</v>
      </c>
      <c r="F47" s="12">
        <f t="shared" si="1"/>
        <v>243</v>
      </c>
      <c r="G47" s="12">
        <f t="shared" si="4"/>
        <v>0</v>
      </c>
      <c r="H47" s="12">
        <f t="shared" si="4"/>
        <v>0</v>
      </c>
      <c r="I47" s="12">
        <f t="shared" si="4"/>
        <v>0</v>
      </c>
      <c r="J47" s="12">
        <f t="shared" si="4"/>
        <v>0</v>
      </c>
      <c r="K47" s="12">
        <f t="shared" si="4"/>
        <v>0</v>
      </c>
      <c r="L47" s="12">
        <f t="shared" si="4"/>
        <v>520</v>
      </c>
      <c r="M47" s="12">
        <f t="shared" si="4"/>
        <v>452</v>
      </c>
      <c r="N47" s="12">
        <f t="shared" si="4"/>
        <v>0</v>
      </c>
      <c r="O47" s="12">
        <f t="shared" si="4"/>
        <v>0</v>
      </c>
      <c r="P47" s="12">
        <f t="shared" si="4"/>
        <v>453</v>
      </c>
      <c r="Q47" s="12">
        <f t="shared" si="5"/>
        <v>477</v>
      </c>
      <c r="R47" s="12">
        <f t="shared" si="6"/>
        <v>474</v>
      </c>
      <c r="S47" s="12">
        <f t="shared" si="6"/>
        <v>348</v>
      </c>
      <c r="T47" s="12">
        <f t="shared" ref="T47:AF47" si="8">T7-S7</f>
        <v>435</v>
      </c>
      <c r="U47" s="12">
        <f t="shared" si="8"/>
        <v>479</v>
      </c>
      <c r="V47" s="12">
        <f t="shared" si="8"/>
        <v>43</v>
      </c>
      <c r="W47" s="12">
        <f t="shared" si="8"/>
        <v>436</v>
      </c>
      <c r="X47" s="12">
        <f t="shared" si="8"/>
        <v>368</v>
      </c>
      <c r="Y47" s="12">
        <f t="shared" si="8"/>
        <v>1</v>
      </c>
      <c r="Z47" s="12">
        <f t="shared" si="8"/>
        <v>452</v>
      </c>
      <c r="AA47" s="12">
        <f t="shared" si="8"/>
        <v>288</v>
      </c>
      <c r="AB47" s="12">
        <f t="shared" si="8"/>
        <v>105</v>
      </c>
      <c r="AC47" s="12">
        <f t="shared" si="8"/>
        <v>193</v>
      </c>
      <c r="AD47" s="12">
        <f t="shared" si="8"/>
        <v>367</v>
      </c>
      <c r="AE47" s="12">
        <f t="shared" si="8"/>
        <v>564</v>
      </c>
      <c r="AF47" s="12">
        <f t="shared" si="8"/>
        <v>398</v>
      </c>
    </row>
    <row r="48" spans="1:32" x14ac:dyDescent="0.25">
      <c r="A48" s="13" t="s">
        <v>7</v>
      </c>
      <c r="B48" s="247">
        <v>462</v>
      </c>
      <c r="C48" s="12">
        <f t="shared" si="0"/>
        <v>321</v>
      </c>
      <c r="D48" s="12">
        <f t="shared" si="0"/>
        <v>195</v>
      </c>
      <c r="E48" s="12">
        <f t="shared" si="1"/>
        <v>518</v>
      </c>
      <c r="F48" s="12">
        <f t="shared" si="1"/>
        <v>84</v>
      </c>
      <c r="G48" s="12">
        <f t="shared" si="4"/>
        <v>54</v>
      </c>
      <c r="H48" s="12">
        <f t="shared" si="4"/>
        <v>175</v>
      </c>
      <c r="I48" s="12">
        <f t="shared" si="4"/>
        <v>450</v>
      </c>
      <c r="J48" s="12">
        <f t="shared" si="4"/>
        <v>124</v>
      </c>
      <c r="K48" s="12">
        <f t="shared" si="4"/>
        <v>365</v>
      </c>
      <c r="L48" s="12">
        <f t="shared" si="4"/>
        <v>392</v>
      </c>
      <c r="M48" s="12">
        <f t="shared" si="4"/>
        <v>478</v>
      </c>
      <c r="N48" s="12">
        <f t="shared" si="4"/>
        <v>520</v>
      </c>
      <c r="O48" s="12">
        <f t="shared" si="4"/>
        <v>262</v>
      </c>
      <c r="P48" s="12">
        <f t="shared" si="4"/>
        <v>174</v>
      </c>
      <c r="Q48" s="12">
        <f t="shared" si="5"/>
        <v>478</v>
      </c>
      <c r="R48" s="12">
        <f t="shared" si="6"/>
        <v>390</v>
      </c>
      <c r="S48" s="12">
        <f t="shared" si="6"/>
        <v>279</v>
      </c>
      <c r="T48" s="12">
        <f t="shared" ref="T48:AF48" si="9">T8-S8</f>
        <v>433</v>
      </c>
      <c r="U48" s="12">
        <f t="shared" si="9"/>
        <v>0</v>
      </c>
      <c r="V48" s="12">
        <f t="shared" si="9"/>
        <v>0</v>
      </c>
      <c r="W48" s="12">
        <f t="shared" si="9"/>
        <v>2</v>
      </c>
      <c r="X48" s="12">
        <f t="shared" si="9"/>
        <v>193</v>
      </c>
      <c r="Y48" s="12">
        <f t="shared" si="9"/>
        <v>352</v>
      </c>
      <c r="Z48" s="12">
        <f t="shared" si="9"/>
        <v>262</v>
      </c>
      <c r="AA48" s="12">
        <f t="shared" si="9"/>
        <v>392</v>
      </c>
      <c r="AB48" s="12">
        <f t="shared" si="9"/>
        <v>302</v>
      </c>
      <c r="AC48" s="12">
        <f t="shared" si="9"/>
        <v>304</v>
      </c>
      <c r="AD48" s="12">
        <f t="shared" si="9"/>
        <v>478</v>
      </c>
      <c r="AE48" s="12">
        <f t="shared" si="9"/>
        <v>450</v>
      </c>
      <c r="AF48" s="12">
        <f t="shared" si="9"/>
        <v>318</v>
      </c>
    </row>
    <row r="49" spans="1:32" x14ac:dyDescent="0.25">
      <c r="A49" s="13" t="s">
        <v>8</v>
      </c>
      <c r="B49" s="247">
        <v>365</v>
      </c>
      <c r="C49" s="12">
        <f t="shared" si="0"/>
        <v>470</v>
      </c>
      <c r="D49" s="12">
        <f t="shared" si="0"/>
        <v>126</v>
      </c>
      <c r="E49" s="12">
        <f t="shared" si="1"/>
        <v>0</v>
      </c>
      <c r="F49" s="12">
        <f t="shared" si="1"/>
        <v>107</v>
      </c>
      <c r="G49" s="12">
        <f t="shared" si="4"/>
        <v>0</v>
      </c>
      <c r="H49" s="12">
        <f t="shared" si="4"/>
        <v>0</v>
      </c>
      <c r="I49" s="12">
        <f t="shared" si="4"/>
        <v>368</v>
      </c>
      <c r="J49" s="12">
        <f t="shared" si="4"/>
        <v>437</v>
      </c>
      <c r="K49" s="12">
        <f t="shared" si="4"/>
        <v>197</v>
      </c>
      <c r="L49" s="12">
        <f t="shared" si="4"/>
        <v>298</v>
      </c>
      <c r="M49" s="12">
        <f t="shared" si="4"/>
        <v>278</v>
      </c>
      <c r="N49" s="12">
        <f t="shared" si="4"/>
        <v>20</v>
      </c>
      <c r="O49" s="12">
        <f t="shared" si="4"/>
        <v>0</v>
      </c>
      <c r="P49" s="12">
        <f t="shared" si="4"/>
        <v>211</v>
      </c>
      <c r="Q49" s="12">
        <f t="shared" si="5"/>
        <v>433</v>
      </c>
      <c r="R49" s="12">
        <f t="shared" si="6"/>
        <v>241</v>
      </c>
      <c r="S49" s="12">
        <f t="shared" si="6"/>
        <v>432</v>
      </c>
      <c r="T49" s="12">
        <f t="shared" ref="T49:AF49" si="10">T9-S9</f>
        <v>236</v>
      </c>
      <c r="U49" s="12">
        <f t="shared" si="10"/>
        <v>0</v>
      </c>
      <c r="V49" s="12">
        <f t="shared" si="10"/>
        <v>0</v>
      </c>
      <c r="W49" s="12">
        <f t="shared" si="10"/>
        <v>124</v>
      </c>
      <c r="X49" s="12">
        <f t="shared" si="10"/>
        <v>194</v>
      </c>
      <c r="Y49" s="12">
        <f t="shared" si="10"/>
        <v>302</v>
      </c>
      <c r="Z49" s="12">
        <f t="shared" si="10"/>
        <v>475</v>
      </c>
      <c r="AA49" s="12">
        <f t="shared" si="10"/>
        <v>413</v>
      </c>
      <c r="AB49" s="12">
        <f t="shared" si="10"/>
        <v>304</v>
      </c>
      <c r="AC49" s="12">
        <f t="shared" si="10"/>
        <v>347</v>
      </c>
      <c r="AD49" s="12">
        <f t="shared" si="10"/>
        <v>346</v>
      </c>
      <c r="AE49" s="12">
        <f t="shared" si="10"/>
        <v>263</v>
      </c>
      <c r="AF49" s="12">
        <f t="shared" si="10"/>
        <v>451</v>
      </c>
    </row>
    <row r="50" spans="1:32" x14ac:dyDescent="0.25">
      <c r="A50" s="13" t="s">
        <v>9</v>
      </c>
      <c r="B50" s="247">
        <v>1</v>
      </c>
      <c r="C50" s="12">
        <f t="shared" si="0"/>
        <v>480</v>
      </c>
      <c r="D50" s="12">
        <f t="shared" si="0"/>
        <v>220</v>
      </c>
      <c r="E50" s="12">
        <f t="shared" si="1"/>
        <v>283</v>
      </c>
      <c r="F50" s="12">
        <f t="shared" si="1"/>
        <v>386</v>
      </c>
      <c r="G50" s="12">
        <f t="shared" si="4"/>
        <v>0</v>
      </c>
      <c r="H50" s="12">
        <f t="shared" si="4"/>
        <v>0</v>
      </c>
      <c r="I50" s="12">
        <f t="shared" si="4"/>
        <v>456</v>
      </c>
      <c r="J50" s="12">
        <f t="shared" si="4"/>
        <v>353</v>
      </c>
      <c r="K50" s="12">
        <f t="shared" si="4"/>
        <v>567</v>
      </c>
      <c r="L50" s="12">
        <f t="shared" si="4"/>
        <v>479</v>
      </c>
      <c r="M50" s="12">
        <f t="shared" si="4"/>
        <v>184</v>
      </c>
      <c r="N50" s="12">
        <f t="shared" si="4"/>
        <v>352</v>
      </c>
      <c r="O50" s="12">
        <f t="shared" si="4"/>
        <v>2</v>
      </c>
      <c r="P50" s="12">
        <f t="shared" si="4"/>
        <v>456</v>
      </c>
      <c r="Q50" s="12">
        <f t="shared" si="5"/>
        <v>544</v>
      </c>
      <c r="R50" s="12">
        <f t="shared" si="6"/>
        <v>458</v>
      </c>
      <c r="S50" s="12">
        <f t="shared" si="6"/>
        <v>197</v>
      </c>
      <c r="T50" s="12">
        <f t="shared" ref="T50:AF50" si="11">T10-S10</f>
        <v>524</v>
      </c>
      <c r="U50" s="12">
        <f t="shared" si="11"/>
        <v>262</v>
      </c>
      <c r="V50" s="12">
        <f t="shared" si="11"/>
        <v>4</v>
      </c>
      <c r="W50" s="12">
        <f t="shared" si="11"/>
        <v>302</v>
      </c>
      <c r="X50" s="12">
        <f t="shared" si="11"/>
        <v>3</v>
      </c>
      <c r="Y50" s="12">
        <f t="shared" si="11"/>
        <v>439</v>
      </c>
      <c r="Z50" s="12">
        <f t="shared" si="11"/>
        <v>390</v>
      </c>
      <c r="AA50" s="12">
        <f t="shared" si="11"/>
        <v>393</v>
      </c>
      <c r="AB50" s="12">
        <f t="shared" si="11"/>
        <v>305</v>
      </c>
      <c r="AC50" s="12">
        <f t="shared" si="11"/>
        <v>263</v>
      </c>
      <c r="AD50" s="12">
        <f t="shared" si="11"/>
        <v>371</v>
      </c>
      <c r="AE50" s="12">
        <f t="shared" si="11"/>
        <v>38</v>
      </c>
      <c r="AF50" s="12">
        <f t="shared" si="11"/>
        <v>321</v>
      </c>
    </row>
    <row r="51" spans="1:32" x14ac:dyDescent="0.25">
      <c r="A51" s="13" t="s">
        <v>10</v>
      </c>
      <c r="B51" s="247">
        <v>90</v>
      </c>
      <c r="C51" s="12">
        <f t="shared" si="0"/>
        <v>438</v>
      </c>
      <c r="D51" s="12">
        <f t="shared" si="0"/>
        <v>349</v>
      </c>
      <c r="E51" s="12">
        <f t="shared" si="1"/>
        <v>196</v>
      </c>
      <c r="F51" s="12">
        <f t="shared" si="1"/>
        <v>368</v>
      </c>
      <c r="G51" s="12">
        <f t="shared" si="4"/>
        <v>175</v>
      </c>
      <c r="H51" s="12">
        <f t="shared" si="4"/>
        <v>2</v>
      </c>
      <c r="I51" s="12">
        <f t="shared" si="4"/>
        <v>222</v>
      </c>
      <c r="J51" s="12">
        <f t="shared" si="4"/>
        <v>476</v>
      </c>
      <c r="K51" s="12">
        <f t="shared" si="4"/>
        <v>478</v>
      </c>
      <c r="L51" s="12">
        <f t="shared" si="4"/>
        <v>476</v>
      </c>
      <c r="M51" s="12">
        <f t="shared" si="4"/>
        <v>524</v>
      </c>
      <c r="N51" s="12">
        <f t="shared" si="4"/>
        <v>478</v>
      </c>
      <c r="O51" s="12">
        <f t="shared" si="4"/>
        <v>433</v>
      </c>
      <c r="P51" s="12">
        <f t="shared" si="4"/>
        <v>564</v>
      </c>
      <c r="Q51" s="12">
        <f t="shared" si="5"/>
        <v>388</v>
      </c>
      <c r="R51" s="12">
        <f t="shared" si="6"/>
        <v>452</v>
      </c>
      <c r="S51" s="12">
        <f t="shared" si="6"/>
        <v>418</v>
      </c>
      <c r="T51" s="12">
        <f t="shared" ref="T51:AF51" si="12">T11-S11</f>
        <v>436</v>
      </c>
      <c r="U51" s="12">
        <f t="shared" si="12"/>
        <v>260</v>
      </c>
      <c r="V51" s="12">
        <f t="shared" si="12"/>
        <v>479</v>
      </c>
      <c r="W51" s="12">
        <f t="shared" si="12"/>
        <v>391</v>
      </c>
      <c r="X51" s="12">
        <f t="shared" si="12"/>
        <v>368</v>
      </c>
      <c r="Y51" s="12">
        <f t="shared" si="12"/>
        <v>239</v>
      </c>
      <c r="Z51" s="12">
        <f t="shared" si="12"/>
        <v>391</v>
      </c>
      <c r="AA51" s="12">
        <f t="shared" si="12"/>
        <v>109</v>
      </c>
      <c r="AB51" s="12">
        <f t="shared" si="12"/>
        <v>0</v>
      </c>
      <c r="AC51" s="12">
        <f t="shared" si="12"/>
        <v>1</v>
      </c>
      <c r="AD51" s="12">
        <f t="shared" si="12"/>
        <v>193</v>
      </c>
      <c r="AE51" s="12">
        <f t="shared" si="12"/>
        <v>476</v>
      </c>
      <c r="AF51" s="12">
        <f t="shared" si="12"/>
        <v>349</v>
      </c>
    </row>
    <row r="52" spans="1:32" x14ac:dyDescent="0.25">
      <c r="A52" s="11" t="s">
        <v>11</v>
      </c>
      <c r="B52" s="247">
        <v>0</v>
      </c>
      <c r="C52" s="12">
        <f t="shared" si="0"/>
        <v>504</v>
      </c>
      <c r="D52" s="12">
        <f t="shared" si="0"/>
        <v>498</v>
      </c>
      <c r="E52" s="12">
        <f t="shared" si="1"/>
        <v>477</v>
      </c>
      <c r="F52" s="12">
        <f t="shared" si="1"/>
        <v>521</v>
      </c>
      <c r="G52" s="12">
        <f t="shared" si="4"/>
        <v>520</v>
      </c>
      <c r="H52" s="12">
        <f t="shared" si="4"/>
        <v>434</v>
      </c>
      <c r="I52" s="12">
        <f t="shared" si="4"/>
        <v>517</v>
      </c>
      <c r="J52" s="12">
        <f t="shared" si="4"/>
        <v>105</v>
      </c>
      <c r="K52" s="12">
        <f t="shared" si="4"/>
        <v>385</v>
      </c>
      <c r="L52" s="12">
        <f t="shared" si="4"/>
        <v>299</v>
      </c>
      <c r="M52" s="12">
        <f t="shared" si="4"/>
        <v>495</v>
      </c>
      <c r="N52" s="12">
        <f t="shared" si="4"/>
        <v>221</v>
      </c>
      <c r="O52" s="12">
        <f t="shared" si="4"/>
        <v>433</v>
      </c>
      <c r="P52" s="12">
        <f t="shared" si="4"/>
        <v>450</v>
      </c>
      <c r="Q52" s="12">
        <f t="shared" si="5"/>
        <v>374</v>
      </c>
      <c r="R52" s="12">
        <f t="shared" si="6"/>
        <v>475</v>
      </c>
      <c r="S52" s="12">
        <f t="shared" si="6"/>
        <v>451</v>
      </c>
      <c r="T52" s="12">
        <f t="shared" ref="T52:AF52" si="13">T12-S12</f>
        <v>349</v>
      </c>
      <c r="U52" s="12">
        <f t="shared" si="13"/>
        <v>0</v>
      </c>
      <c r="V52" s="12">
        <f t="shared" si="13"/>
        <v>0</v>
      </c>
      <c r="W52" s="12">
        <f t="shared" si="13"/>
        <v>280</v>
      </c>
      <c r="X52" s="12">
        <f t="shared" si="13"/>
        <v>304</v>
      </c>
      <c r="Y52" s="12">
        <f t="shared" si="13"/>
        <v>496</v>
      </c>
      <c r="Z52" s="12">
        <f t="shared" si="13"/>
        <v>37</v>
      </c>
      <c r="AA52" s="12">
        <f t="shared" si="13"/>
        <v>397</v>
      </c>
      <c r="AB52" s="12">
        <f t="shared" si="13"/>
        <v>304</v>
      </c>
      <c r="AC52" s="12">
        <f t="shared" si="13"/>
        <v>48</v>
      </c>
      <c r="AD52" s="12">
        <f t="shared" si="13"/>
        <v>475</v>
      </c>
      <c r="AE52" s="12">
        <f t="shared" si="13"/>
        <v>106</v>
      </c>
      <c r="AF52" s="12">
        <f t="shared" si="13"/>
        <v>582</v>
      </c>
    </row>
    <row r="53" spans="1:32" x14ac:dyDescent="0.25">
      <c r="A53" s="11" t="s">
        <v>12</v>
      </c>
      <c r="B53" s="247">
        <v>434</v>
      </c>
      <c r="C53" s="12">
        <f t="shared" si="0"/>
        <v>429</v>
      </c>
      <c r="D53" s="12">
        <f t="shared" si="0"/>
        <v>564</v>
      </c>
      <c r="E53" s="12">
        <f t="shared" si="1"/>
        <v>518</v>
      </c>
      <c r="F53" s="12">
        <f t="shared" si="1"/>
        <v>522</v>
      </c>
      <c r="G53" s="12">
        <f t="shared" si="4"/>
        <v>433</v>
      </c>
      <c r="H53" s="12">
        <f t="shared" si="4"/>
        <v>260</v>
      </c>
      <c r="I53" s="12">
        <f t="shared" si="4"/>
        <v>455</v>
      </c>
      <c r="J53" s="12">
        <f t="shared" si="4"/>
        <v>215</v>
      </c>
      <c r="K53" s="12">
        <f t="shared" si="4"/>
        <v>434</v>
      </c>
      <c r="L53" s="12">
        <f t="shared" si="4"/>
        <v>330</v>
      </c>
      <c r="M53" s="12">
        <f t="shared" si="4"/>
        <v>451</v>
      </c>
      <c r="N53" s="12">
        <f t="shared" si="4"/>
        <v>0</v>
      </c>
      <c r="O53" s="12">
        <f t="shared" si="4"/>
        <v>0</v>
      </c>
      <c r="P53" s="12">
        <f t="shared" si="4"/>
        <v>176</v>
      </c>
      <c r="Q53" s="12">
        <f t="shared" si="5"/>
        <v>23</v>
      </c>
      <c r="R53" s="12">
        <f t="shared" si="6"/>
        <v>395</v>
      </c>
      <c r="S53" s="12">
        <f t="shared" si="6"/>
        <v>322</v>
      </c>
      <c r="T53" s="12">
        <f t="shared" ref="T53:AF53" si="14">T13-S13</f>
        <v>0</v>
      </c>
      <c r="U53" s="12">
        <f t="shared" si="14"/>
        <v>68</v>
      </c>
      <c r="V53" s="12">
        <f t="shared" si="14"/>
        <v>20</v>
      </c>
      <c r="W53" s="12">
        <f t="shared" si="14"/>
        <v>196</v>
      </c>
      <c r="X53" s="12">
        <f t="shared" si="14"/>
        <v>109</v>
      </c>
      <c r="Y53" s="12">
        <f t="shared" si="14"/>
        <v>495</v>
      </c>
      <c r="Z53" s="12">
        <f t="shared" si="14"/>
        <v>478</v>
      </c>
      <c r="AA53" s="12">
        <f t="shared" si="14"/>
        <v>288</v>
      </c>
      <c r="AB53" s="12">
        <f t="shared" si="14"/>
        <v>0</v>
      </c>
      <c r="AC53" s="12">
        <f t="shared" si="14"/>
        <v>193</v>
      </c>
      <c r="AD53" s="12">
        <f t="shared" si="14"/>
        <v>521</v>
      </c>
      <c r="AE53" s="12">
        <f t="shared" si="14"/>
        <v>452</v>
      </c>
      <c r="AF53" s="12">
        <f t="shared" si="14"/>
        <v>520</v>
      </c>
    </row>
    <row r="54" spans="1:32" x14ac:dyDescent="0.25">
      <c r="A54" s="11" t="s">
        <v>13</v>
      </c>
      <c r="B54" s="247">
        <v>0</v>
      </c>
      <c r="C54" s="12">
        <f t="shared" si="0"/>
        <v>22</v>
      </c>
      <c r="D54" s="12">
        <f t="shared" si="0"/>
        <v>195</v>
      </c>
      <c r="E54" s="12">
        <f t="shared" si="1"/>
        <v>109</v>
      </c>
      <c r="F54" s="12">
        <f t="shared" si="1"/>
        <v>436</v>
      </c>
      <c r="G54" s="12">
        <f t="shared" si="4"/>
        <v>519</v>
      </c>
      <c r="H54" s="12">
        <f t="shared" si="4"/>
        <v>432</v>
      </c>
      <c r="I54" s="12">
        <f t="shared" si="4"/>
        <v>561</v>
      </c>
      <c r="J54" s="12">
        <f t="shared" si="4"/>
        <v>475</v>
      </c>
      <c r="K54" s="12">
        <f t="shared" si="4"/>
        <v>216</v>
      </c>
      <c r="L54" s="12">
        <f t="shared" si="4"/>
        <v>151</v>
      </c>
      <c r="M54" s="12">
        <f t="shared" si="4"/>
        <v>282</v>
      </c>
      <c r="N54" s="12">
        <f t="shared" si="4"/>
        <v>475</v>
      </c>
      <c r="O54" s="12">
        <f t="shared" si="4"/>
        <v>37</v>
      </c>
      <c r="P54" s="12">
        <f t="shared" si="4"/>
        <v>524</v>
      </c>
      <c r="Q54" s="12">
        <f t="shared" si="5"/>
        <v>518</v>
      </c>
      <c r="R54" s="12">
        <f t="shared" si="6"/>
        <v>521</v>
      </c>
      <c r="S54" s="12">
        <f t="shared" si="6"/>
        <v>393</v>
      </c>
      <c r="T54" s="12">
        <f t="shared" ref="T54:AF54" si="15">T14-S14</f>
        <v>131</v>
      </c>
      <c r="U54" s="12">
        <f t="shared" si="15"/>
        <v>0</v>
      </c>
      <c r="V54" s="12">
        <f t="shared" si="15"/>
        <v>22</v>
      </c>
      <c r="W54" s="12">
        <f t="shared" si="15"/>
        <v>175</v>
      </c>
      <c r="X54" s="12">
        <f t="shared" si="15"/>
        <v>196</v>
      </c>
      <c r="Y54" s="12">
        <f t="shared" si="15"/>
        <v>109</v>
      </c>
      <c r="Z54" s="12">
        <f t="shared" si="15"/>
        <v>262</v>
      </c>
      <c r="AA54" s="12">
        <f t="shared" si="15"/>
        <v>106</v>
      </c>
      <c r="AB54" s="12">
        <f t="shared" si="15"/>
        <v>173</v>
      </c>
      <c r="AC54" s="12">
        <f t="shared" si="15"/>
        <v>299</v>
      </c>
      <c r="AD54" s="12">
        <f t="shared" si="15"/>
        <v>560</v>
      </c>
      <c r="AE54" s="12">
        <f t="shared" si="15"/>
        <v>494</v>
      </c>
      <c r="AF54" s="12">
        <f t="shared" si="15"/>
        <v>212</v>
      </c>
    </row>
    <row r="55" spans="1:32" x14ac:dyDescent="0.25">
      <c r="A55" s="13" t="s">
        <v>14</v>
      </c>
      <c r="B55" s="247">
        <v>41</v>
      </c>
      <c r="C55" s="12">
        <f t="shared" si="0"/>
        <v>562</v>
      </c>
      <c r="D55" s="12">
        <f t="shared" si="0"/>
        <v>561</v>
      </c>
      <c r="E55" s="12">
        <f t="shared" si="1"/>
        <v>432</v>
      </c>
      <c r="F55" s="12">
        <f t="shared" si="1"/>
        <v>521</v>
      </c>
      <c r="G55" s="12">
        <f t="shared" si="4"/>
        <v>475</v>
      </c>
      <c r="H55" s="12">
        <f t="shared" si="4"/>
        <v>437</v>
      </c>
      <c r="I55" s="12">
        <f t="shared" si="4"/>
        <v>151</v>
      </c>
      <c r="J55" s="12">
        <f t="shared" si="4"/>
        <v>21</v>
      </c>
      <c r="K55" s="12">
        <f t="shared" si="4"/>
        <v>519</v>
      </c>
      <c r="L55" s="12">
        <f t="shared" si="4"/>
        <v>518</v>
      </c>
      <c r="M55" s="12">
        <f t="shared" si="4"/>
        <v>519</v>
      </c>
      <c r="N55" s="12">
        <f t="shared" si="4"/>
        <v>432</v>
      </c>
      <c r="O55" s="12">
        <f t="shared" si="4"/>
        <v>130</v>
      </c>
      <c r="P55" s="12">
        <f t="shared" si="4"/>
        <v>475</v>
      </c>
      <c r="Q55" s="12">
        <f t="shared" si="5"/>
        <v>491</v>
      </c>
      <c r="R55" s="12">
        <f t="shared" si="6"/>
        <v>204</v>
      </c>
      <c r="S55" s="12">
        <f t="shared" si="6"/>
        <v>519</v>
      </c>
      <c r="T55" s="12">
        <f t="shared" ref="T55:AF55" si="16">T15-S15</f>
        <v>432</v>
      </c>
      <c r="U55" s="12">
        <f t="shared" si="16"/>
        <v>519</v>
      </c>
      <c r="V55" s="12">
        <f t="shared" si="16"/>
        <v>435</v>
      </c>
      <c r="W55" s="12">
        <f t="shared" si="16"/>
        <v>260</v>
      </c>
      <c r="X55" s="12">
        <f t="shared" si="16"/>
        <v>450</v>
      </c>
      <c r="Y55" s="12">
        <f t="shared" si="16"/>
        <v>243</v>
      </c>
      <c r="Z55" s="12">
        <f t="shared" si="16"/>
        <v>347</v>
      </c>
      <c r="AA55" s="12">
        <f t="shared" si="16"/>
        <v>163</v>
      </c>
      <c r="AB55" s="12">
        <f t="shared" si="16"/>
        <v>0</v>
      </c>
      <c r="AC55" s="12">
        <f t="shared" si="16"/>
        <v>0</v>
      </c>
      <c r="AD55" s="12">
        <f t="shared" si="16"/>
        <v>127</v>
      </c>
      <c r="AE55" s="12">
        <f t="shared" si="16"/>
        <v>385</v>
      </c>
      <c r="AF55" s="12">
        <f t="shared" si="16"/>
        <v>195</v>
      </c>
    </row>
    <row r="56" spans="1:32" x14ac:dyDescent="0.25">
      <c r="A56" s="13" t="s">
        <v>15</v>
      </c>
      <c r="B56" s="247">
        <v>57</v>
      </c>
      <c r="C56" s="12">
        <f t="shared" si="0"/>
        <v>521</v>
      </c>
      <c r="D56" s="12">
        <f t="shared" si="0"/>
        <v>474</v>
      </c>
      <c r="E56" s="12">
        <f t="shared" si="1"/>
        <v>560</v>
      </c>
      <c r="F56" s="12">
        <f t="shared" si="1"/>
        <v>87</v>
      </c>
      <c r="G56" s="12">
        <f t="shared" si="4"/>
        <v>0</v>
      </c>
      <c r="H56" s="12">
        <f t="shared" si="4"/>
        <v>0</v>
      </c>
      <c r="I56" s="12">
        <f t="shared" si="4"/>
        <v>0</v>
      </c>
      <c r="J56" s="12">
        <f t="shared" si="4"/>
        <v>21</v>
      </c>
      <c r="K56" s="12">
        <f t="shared" si="4"/>
        <v>1</v>
      </c>
      <c r="L56" s="12">
        <f t="shared" si="4"/>
        <v>0</v>
      </c>
      <c r="M56" s="12">
        <f t="shared" si="4"/>
        <v>9</v>
      </c>
      <c r="N56" s="12">
        <f t="shared" si="4"/>
        <v>0</v>
      </c>
      <c r="O56" s="12">
        <f t="shared" si="4"/>
        <v>0</v>
      </c>
      <c r="P56" s="12">
        <f t="shared" si="4"/>
        <v>191</v>
      </c>
      <c r="Q56" s="12">
        <f t="shared" si="5"/>
        <v>429</v>
      </c>
      <c r="R56" s="12">
        <f t="shared" si="6"/>
        <v>519</v>
      </c>
      <c r="S56" s="12">
        <f t="shared" si="6"/>
        <v>517</v>
      </c>
      <c r="T56" s="12">
        <f t="shared" ref="T56:AF56" si="17">T16-S16</f>
        <v>451</v>
      </c>
      <c r="U56" s="12">
        <f t="shared" si="17"/>
        <v>0</v>
      </c>
      <c r="V56" s="12">
        <f t="shared" si="17"/>
        <v>0</v>
      </c>
      <c r="W56" s="12">
        <f t="shared" si="17"/>
        <v>123</v>
      </c>
      <c r="X56" s="12">
        <f t="shared" si="17"/>
        <v>127</v>
      </c>
      <c r="Y56" s="12">
        <f t="shared" si="17"/>
        <v>450</v>
      </c>
      <c r="Z56" s="12">
        <f t="shared" si="17"/>
        <v>279</v>
      </c>
      <c r="AA56" s="12">
        <f t="shared" si="17"/>
        <v>372</v>
      </c>
      <c r="AB56" s="12">
        <f t="shared" si="17"/>
        <v>121</v>
      </c>
      <c r="AC56" s="12">
        <f t="shared" si="17"/>
        <v>-15</v>
      </c>
      <c r="AD56" s="12">
        <f t="shared" si="17"/>
        <v>1</v>
      </c>
      <c r="AE56" s="12">
        <f t="shared" si="17"/>
        <v>212</v>
      </c>
      <c r="AF56" s="12">
        <f t="shared" si="17"/>
        <v>125</v>
      </c>
    </row>
    <row r="57" spans="1:32" x14ac:dyDescent="0.25">
      <c r="A57" s="13" t="s">
        <v>16</v>
      </c>
      <c r="B57" s="247">
        <v>328</v>
      </c>
      <c r="C57" s="12">
        <f t="shared" si="0"/>
        <v>521</v>
      </c>
      <c r="D57" s="12">
        <f t="shared" si="0"/>
        <v>453</v>
      </c>
      <c r="E57" s="12">
        <f t="shared" si="1"/>
        <v>374</v>
      </c>
      <c r="F57" s="12">
        <f t="shared" si="1"/>
        <v>560</v>
      </c>
      <c r="G57" s="12">
        <f t="shared" si="4"/>
        <v>518</v>
      </c>
      <c r="H57" s="12">
        <f t="shared" si="4"/>
        <v>475</v>
      </c>
      <c r="I57" s="12">
        <f t="shared" si="4"/>
        <v>65</v>
      </c>
      <c r="J57" s="12">
        <f t="shared" si="4"/>
        <v>2</v>
      </c>
      <c r="K57" s="12">
        <f t="shared" si="4"/>
        <v>18</v>
      </c>
      <c r="L57" s="12">
        <f t="shared" si="4"/>
        <v>0</v>
      </c>
      <c r="M57" s="12">
        <f t="shared" si="4"/>
        <v>0</v>
      </c>
      <c r="N57" s="12">
        <f t="shared" si="4"/>
        <v>0</v>
      </c>
      <c r="O57" s="12">
        <f t="shared" si="4"/>
        <v>91</v>
      </c>
      <c r="P57" s="12">
        <f t="shared" si="4"/>
        <v>385</v>
      </c>
      <c r="Q57" s="12">
        <f t="shared" si="5"/>
        <v>518</v>
      </c>
      <c r="R57" s="12">
        <f t="shared" si="6"/>
        <v>518</v>
      </c>
      <c r="S57" s="12">
        <f t="shared" si="6"/>
        <v>262</v>
      </c>
      <c r="T57" s="12">
        <f t="shared" ref="T57:AF57" si="18">T17-S17</f>
        <v>177</v>
      </c>
      <c r="U57" s="12">
        <f t="shared" si="18"/>
        <v>0</v>
      </c>
      <c r="V57" s="12">
        <f t="shared" si="18"/>
        <v>0</v>
      </c>
      <c r="W57" s="12">
        <f t="shared" si="18"/>
        <v>304</v>
      </c>
      <c r="X57" s="12">
        <f t="shared" si="18"/>
        <v>492</v>
      </c>
      <c r="Y57" s="12">
        <f t="shared" si="18"/>
        <v>126</v>
      </c>
      <c r="Z57" s="12">
        <f t="shared" si="18"/>
        <v>501</v>
      </c>
      <c r="AA57" s="12">
        <f t="shared" si="18"/>
        <v>346</v>
      </c>
      <c r="AB57" s="12">
        <f t="shared" si="18"/>
        <v>345</v>
      </c>
      <c r="AC57" s="12">
        <f t="shared" si="18"/>
        <v>346</v>
      </c>
      <c r="AD57" s="12">
        <f t="shared" si="18"/>
        <v>431</v>
      </c>
      <c r="AE57" s="12">
        <f t="shared" si="18"/>
        <v>606</v>
      </c>
      <c r="AF57" s="12">
        <f t="shared" si="18"/>
        <v>346</v>
      </c>
    </row>
    <row r="58" spans="1:32" x14ac:dyDescent="0.25">
      <c r="A58" s="13" t="s">
        <v>17</v>
      </c>
      <c r="B58" s="247">
        <v>230</v>
      </c>
      <c r="C58" s="12">
        <f t="shared" si="0"/>
        <v>563</v>
      </c>
      <c r="D58" s="12">
        <f t="shared" si="0"/>
        <v>561</v>
      </c>
      <c r="E58" s="12">
        <f t="shared" si="1"/>
        <v>478</v>
      </c>
      <c r="F58" s="12">
        <f t="shared" si="1"/>
        <v>409</v>
      </c>
      <c r="G58" s="12">
        <f t="shared" si="4"/>
        <v>0</v>
      </c>
      <c r="H58" s="12">
        <f t="shared" si="4"/>
        <v>0</v>
      </c>
      <c r="I58" s="12">
        <f t="shared" si="4"/>
        <v>437</v>
      </c>
      <c r="J58" s="12">
        <f t="shared" si="4"/>
        <v>349</v>
      </c>
      <c r="K58" s="12">
        <f t="shared" si="4"/>
        <v>371</v>
      </c>
      <c r="L58" s="12">
        <f t="shared" si="4"/>
        <v>519</v>
      </c>
      <c r="M58" s="12">
        <f t="shared" si="4"/>
        <v>433</v>
      </c>
      <c r="N58" s="12">
        <f t="shared" si="4"/>
        <v>389</v>
      </c>
      <c r="O58" s="12">
        <f t="shared" si="4"/>
        <v>43</v>
      </c>
      <c r="P58" s="12">
        <f t="shared" si="4"/>
        <v>519</v>
      </c>
      <c r="Q58" s="12">
        <f t="shared" si="5"/>
        <v>520</v>
      </c>
      <c r="R58" s="12">
        <f t="shared" si="6"/>
        <v>518</v>
      </c>
      <c r="S58" s="12">
        <f t="shared" si="6"/>
        <v>434</v>
      </c>
      <c r="T58" s="12">
        <f t="shared" ref="T58:AF58" si="19">T18-S18</f>
        <v>300</v>
      </c>
      <c r="U58" s="12">
        <f t="shared" si="19"/>
        <v>521</v>
      </c>
      <c r="V58" s="12">
        <f t="shared" si="19"/>
        <v>282</v>
      </c>
      <c r="W58" s="12">
        <f t="shared" si="19"/>
        <v>41</v>
      </c>
      <c r="X58" s="12">
        <f t="shared" si="19"/>
        <v>108</v>
      </c>
      <c r="Y58" s="12">
        <f t="shared" si="19"/>
        <v>520</v>
      </c>
      <c r="Z58" s="12">
        <f t="shared" si="19"/>
        <v>432</v>
      </c>
      <c r="AA58" s="12">
        <f t="shared" si="19"/>
        <v>54</v>
      </c>
      <c r="AB58" s="12">
        <f t="shared" si="19"/>
        <v>0</v>
      </c>
      <c r="AC58" s="12">
        <f t="shared" si="19"/>
        <v>244</v>
      </c>
      <c r="AD58" s="12">
        <f t="shared" si="19"/>
        <v>366</v>
      </c>
      <c r="AE58" s="12">
        <f t="shared" si="19"/>
        <v>212</v>
      </c>
      <c r="AF58" s="12">
        <f t="shared" si="19"/>
        <v>453</v>
      </c>
    </row>
    <row r="59" spans="1:32" x14ac:dyDescent="0.25">
      <c r="A59" s="13" t="s">
        <v>18</v>
      </c>
      <c r="B59" s="247">
        <v>0</v>
      </c>
      <c r="C59" s="12">
        <f t="shared" si="0"/>
        <v>2</v>
      </c>
      <c r="D59" s="12">
        <f t="shared" si="0"/>
        <v>1</v>
      </c>
      <c r="E59" s="12">
        <f t="shared" si="1"/>
        <v>450</v>
      </c>
      <c r="F59" s="12">
        <f t="shared" si="1"/>
        <v>562</v>
      </c>
      <c r="G59" s="12">
        <f t="shared" si="4"/>
        <v>43</v>
      </c>
      <c r="H59" s="12">
        <f t="shared" si="4"/>
        <v>476</v>
      </c>
      <c r="I59" s="12">
        <f t="shared" si="4"/>
        <v>562</v>
      </c>
      <c r="J59" s="12">
        <f t="shared" si="4"/>
        <v>367</v>
      </c>
      <c r="K59" s="12">
        <f t="shared" si="4"/>
        <v>589</v>
      </c>
      <c r="L59" s="12">
        <f t="shared" si="4"/>
        <v>347</v>
      </c>
      <c r="M59" s="12">
        <f t="shared" si="4"/>
        <v>521</v>
      </c>
      <c r="N59" s="12">
        <f t="shared" si="4"/>
        <v>521</v>
      </c>
      <c r="O59" s="12">
        <f t="shared" si="4"/>
        <v>476</v>
      </c>
      <c r="P59" s="12">
        <f t="shared" si="4"/>
        <v>409</v>
      </c>
      <c r="Q59" s="12">
        <f t="shared" si="5"/>
        <v>40</v>
      </c>
      <c r="R59" s="12">
        <f t="shared" si="6"/>
        <v>297</v>
      </c>
      <c r="S59" s="12">
        <f t="shared" si="6"/>
        <v>3</v>
      </c>
      <c r="T59" s="12">
        <f t="shared" ref="T59:AF59" si="20">T19-S19</f>
        <v>470</v>
      </c>
      <c r="U59" s="12">
        <f t="shared" si="20"/>
        <v>105</v>
      </c>
      <c r="V59" s="12">
        <f t="shared" si="20"/>
        <v>436</v>
      </c>
      <c r="W59" s="12">
        <f t="shared" si="20"/>
        <v>105</v>
      </c>
      <c r="X59" s="12">
        <f t="shared" si="20"/>
        <v>107</v>
      </c>
      <c r="Y59" s="12">
        <f t="shared" si="20"/>
        <v>435</v>
      </c>
      <c r="Z59" s="12">
        <f t="shared" si="20"/>
        <v>199</v>
      </c>
      <c r="AA59" s="12">
        <f t="shared" si="20"/>
        <v>41</v>
      </c>
      <c r="AB59" s="12">
        <f t="shared" si="20"/>
        <v>0</v>
      </c>
      <c r="AC59" s="12">
        <f t="shared" si="20"/>
        <v>262</v>
      </c>
      <c r="AD59" s="12">
        <f t="shared" si="20"/>
        <v>537</v>
      </c>
      <c r="AE59" s="12">
        <f t="shared" si="20"/>
        <v>351</v>
      </c>
      <c r="AF59" s="12">
        <f t="shared" si="20"/>
        <v>349</v>
      </c>
    </row>
    <row r="60" spans="1:32" x14ac:dyDescent="0.25">
      <c r="A60" s="13" t="s">
        <v>19</v>
      </c>
      <c r="B60" s="247">
        <v>218</v>
      </c>
      <c r="C60" s="12">
        <f t="shared" si="0"/>
        <v>494</v>
      </c>
      <c r="D60" s="12">
        <f t="shared" si="0"/>
        <v>462</v>
      </c>
      <c r="E60" s="12">
        <f t="shared" si="1"/>
        <v>562</v>
      </c>
      <c r="F60" s="12">
        <f t="shared" si="1"/>
        <v>565</v>
      </c>
      <c r="G60" s="12">
        <f t="shared" si="4"/>
        <v>44</v>
      </c>
      <c r="H60" s="12">
        <f t="shared" si="4"/>
        <v>432</v>
      </c>
      <c r="I60" s="12">
        <f t="shared" si="4"/>
        <v>519</v>
      </c>
      <c r="J60" s="12">
        <f t="shared" si="4"/>
        <v>105</v>
      </c>
      <c r="K60" s="12">
        <f t="shared" si="4"/>
        <v>453</v>
      </c>
      <c r="L60" s="12">
        <f t="shared" si="4"/>
        <v>439</v>
      </c>
      <c r="M60" s="12">
        <f t="shared" si="4"/>
        <v>365</v>
      </c>
      <c r="N60" s="12">
        <f t="shared" si="4"/>
        <v>0</v>
      </c>
      <c r="O60" s="12">
        <f t="shared" si="4"/>
        <v>0</v>
      </c>
      <c r="P60" s="12">
        <f t="shared" si="4"/>
        <v>299</v>
      </c>
      <c r="Q60" s="12">
        <f t="shared" si="5"/>
        <v>435</v>
      </c>
      <c r="R60" s="12">
        <f t="shared" si="6"/>
        <v>418</v>
      </c>
      <c r="S60" s="12">
        <f t="shared" si="6"/>
        <v>367</v>
      </c>
      <c r="T60" s="12">
        <f t="shared" ref="T60:AF60" si="21">T20-S20</f>
        <v>21</v>
      </c>
      <c r="U60" s="12">
        <f t="shared" si="21"/>
        <v>0</v>
      </c>
      <c r="V60" s="12">
        <f t="shared" si="21"/>
        <v>20</v>
      </c>
      <c r="W60" s="12">
        <f t="shared" si="21"/>
        <v>24</v>
      </c>
      <c r="X60" s="12">
        <f t="shared" si="21"/>
        <v>193</v>
      </c>
      <c r="Y60" s="12">
        <f t="shared" si="21"/>
        <v>127</v>
      </c>
      <c r="Z60" s="12">
        <f t="shared" si="21"/>
        <v>545</v>
      </c>
      <c r="AA60" s="12">
        <f t="shared" si="21"/>
        <v>219</v>
      </c>
      <c r="AB60" s="12">
        <f t="shared" si="21"/>
        <v>264</v>
      </c>
      <c r="AC60" s="12">
        <f t="shared" si="21"/>
        <v>91</v>
      </c>
      <c r="AD60" s="12">
        <f t="shared" si="21"/>
        <v>434</v>
      </c>
      <c r="AE60" s="12">
        <f t="shared" si="21"/>
        <v>520</v>
      </c>
      <c r="AF60" s="12">
        <f t="shared" si="21"/>
        <v>451</v>
      </c>
    </row>
    <row r="61" spans="1:32" x14ac:dyDescent="0.25">
      <c r="A61" s="13" t="s">
        <v>20</v>
      </c>
      <c r="B61" s="247">
        <v>0</v>
      </c>
      <c r="C61" s="12">
        <f t="shared" si="0"/>
        <v>520</v>
      </c>
      <c r="D61" s="12">
        <f t="shared" si="0"/>
        <v>519</v>
      </c>
      <c r="E61" s="12">
        <f t="shared" si="1"/>
        <v>278</v>
      </c>
      <c r="F61" s="12">
        <f t="shared" si="1"/>
        <v>382</v>
      </c>
      <c r="G61" s="12">
        <f t="shared" si="4"/>
        <v>0</v>
      </c>
      <c r="H61" s="12">
        <f t="shared" si="4"/>
        <v>0</v>
      </c>
      <c r="I61" s="12">
        <f t="shared" si="4"/>
        <v>446</v>
      </c>
      <c r="J61" s="12">
        <f t="shared" si="4"/>
        <v>518</v>
      </c>
      <c r="K61" s="12">
        <f t="shared" si="4"/>
        <v>390</v>
      </c>
      <c r="L61" s="12">
        <f t="shared" si="4"/>
        <v>434</v>
      </c>
      <c r="M61" s="12">
        <f t="shared" si="4"/>
        <v>435</v>
      </c>
      <c r="N61" s="12">
        <f t="shared" si="4"/>
        <v>519</v>
      </c>
      <c r="O61" s="12">
        <f t="shared" si="4"/>
        <v>434</v>
      </c>
      <c r="P61" s="12">
        <f t="shared" si="4"/>
        <v>565</v>
      </c>
      <c r="Q61" s="12">
        <f t="shared" si="5"/>
        <v>147</v>
      </c>
      <c r="R61" s="12">
        <f t="shared" si="6"/>
        <v>2</v>
      </c>
      <c r="S61" s="12">
        <f t="shared" si="6"/>
        <v>384</v>
      </c>
      <c r="T61" s="12">
        <f t="shared" ref="T61:AF61" si="22">T21-S21</f>
        <v>125</v>
      </c>
      <c r="U61" s="12">
        <f t="shared" si="22"/>
        <v>278</v>
      </c>
      <c r="V61" s="12">
        <f t="shared" si="22"/>
        <v>435</v>
      </c>
      <c r="W61" s="12">
        <f t="shared" si="22"/>
        <v>434</v>
      </c>
      <c r="X61" s="12">
        <f t="shared" si="22"/>
        <v>191</v>
      </c>
      <c r="Y61" s="12">
        <f t="shared" si="22"/>
        <v>239</v>
      </c>
      <c r="Z61" s="12">
        <f t="shared" si="22"/>
        <v>407</v>
      </c>
      <c r="AA61" s="12">
        <f t="shared" si="22"/>
        <v>213</v>
      </c>
      <c r="AB61" s="12">
        <f t="shared" si="22"/>
        <v>389</v>
      </c>
      <c r="AC61" s="12">
        <f t="shared" si="22"/>
        <v>390</v>
      </c>
      <c r="AD61" s="12">
        <f t="shared" si="22"/>
        <v>435</v>
      </c>
      <c r="AE61" s="12">
        <f t="shared" si="22"/>
        <v>364</v>
      </c>
      <c r="AF61" s="12">
        <f t="shared" si="22"/>
        <v>194</v>
      </c>
    </row>
    <row r="62" spans="1:32" x14ac:dyDescent="0.25">
      <c r="A62" s="13" t="s">
        <v>21</v>
      </c>
      <c r="B62" s="247">
        <v>505</v>
      </c>
      <c r="C62" s="12">
        <f t="shared" si="0"/>
        <v>519</v>
      </c>
      <c r="D62" s="12">
        <f t="shared" si="0"/>
        <v>366</v>
      </c>
      <c r="E62" s="12">
        <f t="shared" si="1"/>
        <v>92</v>
      </c>
      <c r="F62" s="12">
        <f t="shared" si="1"/>
        <v>0</v>
      </c>
      <c r="G62" s="12">
        <f t="shared" si="4"/>
        <v>0</v>
      </c>
      <c r="H62" s="12">
        <f t="shared" si="4"/>
        <v>0</v>
      </c>
      <c r="I62" s="12">
        <f t="shared" si="4"/>
        <v>2</v>
      </c>
      <c r="J62" s="12">
        <f t="shared" si="4"/>
        <v>0</v>
      </c>
      <c r="K62" s="12">
        <f t="shared" si="4"/>
        <v>0</v>
      </c>
      <c r="L62" s="12">
        <f t="shared" si="4"/>
        <v>0</v>
      </c>
      <c r="M62" s="12">
        <f t="shared" si="4"/>
        <v>18</v>
      </c>
      <c r="N62" s="12">
        <f t="shared" si="4"/>
        <v>0</v>
      </c>
      <c r="O62" s="12">
        <f t="shared" si="4"/>
        <v>0</v>
      </c>
      <c r="P62" s="12">
        <f t="shared" si="4"/>
        <v>0</v>
      </c>
      <c r="Q62" s="12">
        <f t="shared" si="5"/>
        <v>0</v>
      </c>
      <c r="R62" s="12">
        <f t="shared" si="6"/>
        <v>283</v>
      </c>
      <c r="S62" s="12">
        <f t="shared" si="6"/>
        <v>280</v>
      </c>
      <c r="T62" s="12">
        <f t="shared" ref="T62:AF62" si="23">T22-S22</f>
        <v>449</v>
      </c>
      <c r="U62" s="12">
        <f t="shared" si="23"/>
        <v>0</v>
      </c>
      <c r="V62" s="12">
        <f t="shared" si="23"/>
        <v>194</v>
      </c>
      <c r="W62" s="12">
        <f t="shared" si="23"/>
        <v>436</v>
      </c>
      <c r="X62" s="12">
        <f t="shared" si="23"/>
        <v>347</v>
      </c>
      <c r="Y62" s="12">
        <f t="shared" si="23"/>
        <v>433</v>
      </c>
      <c r="Z62" s="12">
        <f t="shared" si="23"/>
        <v>365</v>
      </c>
      <c r="AA62" s="12">
        <f t="shared" si="23"/>
        <v>219</v>
      </c>
      <c r="AB62" s="12">
        <f t="shared" si="23"/>
        <v>0</v>
      </c>
      <c r="AC62" s="12">
        <f t="shared" si="23"/>
        <v>1</v>
      </c>
      <c r="AD62" s="12">
        <f t="shared" si="23"/>
        <v>157</v>
      </c>
      <c r="AE62" s="12">
        <f t="shared" si="23"/>
        <v>431</v>
      </c>
      <c r="AF62" s="12">
        <f t="shared" si="23"/>
        <v>191</v>
      </c>
    </row>
    <row r="63" spans="1:32" x14ac:dyDescent="0.25">
      <c r="A63" s="13" t="s">
        <v>22</v>
      </c>
      <c r="B63" s="247">
        <v>219</v>
      </c>
      <c r="C63" s="12">
        <f t="shared" si="0"/>
        <v>477</v>
      </c>
      <c r="D63" s="12">
        <f t="shared" si="0"/>
        <v>246</v>
      </c>
      <c r="E63" s="12">
        <f t="shared" si="1"/>
        <v>329</v>
      </c>
      <c r="F63" s="12">
        <f t="shared" si="1"/>
        <v>281</v>
      </c>
      <c r="G63" s="12">
        <f t="shared" ref="G63:P78" si="24">G23-F23</f>
        <v>0</v>
      </c>
      <c r="H63" s="12">
        <f t="shared" si="24"/>
        <v>0</v>
      </c>
      <c r="I63" s="12">
        <f t="shared" si="24"/>
        <v>338</v>
      </c>
      <c r="J63" s="12">
        <f t="shared" si="24"/>
        <v>495</v>
      </c>
      <c r="K63" s="12">
        <f t="shared" si="24"/>
        <v>477</v>
      </c>
      <c r="L63" s="12">
        <f t="shared" si="24"/>
        <v>521</v>
      </c>
      <c r="M63" s="12">
        <f t="shared" si="24"/>
        <v>452</v>
      </c>
      <c r="N63" s="12">
        <f t="shared" si="24"/>
        <v>0</v>
      </c>
      <c r="O63" s="12">
        <f t="shared" si="24"/>
        <v>0</v>
      </c>
      <c r="P63" s="12">
        <f t="shared" si="24"/>
        <v>540</v>
      </c>
      <c r="Q63" s="12">
        <f t="shared" si="5"/>
        <v>452</v>
      </c>
      <c r="R63" s="12">
        <f t="shared" si="6"/>
        <v>1</v>
      </c>
      <c r="S63" s="12">
        <f t="shared" si="6"/>
        <v>539</v>
      </c>
      <c r="T63" s="12">
        <f t="shared" ref="T63:AF63" si="25">T23-S23</f>
        <v>435</v>
      </c>
      <c r="U63" s="12">
        <f t="shared" si="25"/>
        <v>481</v>
      </c>
      <c r="V63" s="12">
        <f t="shared" si="25"/>
        <v>43</v>
      </c>
      <c r="W63" s="12">
        <f t="shared" si="25"/>
        <v>454</v>
      </c>
      <c r="X63" s="12">
        <f t="shared" si="25"/>
        <v>239</v>
      </c>
      <c r="Y63" s="12">
        <f t="shared" si="25"/>
        <v>562</v>
      </c>
      <c r="Z63" s="12">
        <f t="shared" si="25"/>
        <v>452</v>
      </c>
      <c r="AA63" s="12">
        <f t="shared" si="25"/>
        <v>40</v>
      </c>
      <c r="AB63" s="12">
        <f t="shared" si="25"/>
        <v>0</v>
      </c>
      <c r="AC63" s="12">
        <f t="shared" si="25"/>
        <v>322</v>
      </c>
      <c r="AD63" s="12">
        <f t="shared" si="25"/>
        <v>408</v>
      </c>
      <c r="AE63" s="12">
        <f t="shared" si="25"/>
        <v>507</v>
      </c>
      <c r="AF63" s="12">
        <f t="shared" si="25"/>
        <v>453</v>
      </c>
    </row>
    <row r="64" spans="1:32" x14ac:dyDescent="0.25">
      <c r="A64" s="11" t="s">
        <v>23</v>
      </c>
      <c r="B64" s="247">
        <v>280</v>
      </c>
      <c r="C64" s="12">
        <f t="shared" si="0"/>
        <v>517</v>
      </c>
      <c r="D64" s="12">
        <f t="shared" si="0"/>
        <v>518</v>
      </c>
      <c r="E64" s="12">
        <f t="shared" si="1"/>
        <v>562</v>
      </c>
      <c r="F64" s="12">
        <f t="shared" si="1"/>
        <v>519</v>
      </c>
      <c r="G64" s="12">
        <f t="shared" si="24"/>
        <v>130</v>
      </c>
      <c r="H64" s="12">
        <f t="shared" si="24"/>
        <v>1</v>
      </c>
      <c r="I64" s="12">
        <f t="shared" si="24"/>
        <v>20</v>
      </c>
      <c r="J64" s="12">
        <f t="shared" si="24"/>
        <v>19</v>
      </c>
      <c r="K64" s="12">
        <f t="shared" si="24"/>
        <v>0</v>
      </c>
      <c r="L64" s="12">
        <f t="shared" si="24"/>
        <v>0</v>
      </c>
      <c r="M64" s="12">
        <f t="shared" si="24"/>
        <v>7</v>
      </c>
      <c r="N64" s="12">
        <f t="shared" si="24"/>
        <v>0</v>
      </c>
      <c r="O64" s="12">
        <f t="shared" si="24"/>
        <v>87</v>
      </c>
      <c r="P64" s="12">
        <f t="shared" si="24"/>
        <v>106</v>
      </c>
      <c r="Q64" s="12">
        <f t="shared" si="5"/>
        <v>194</v>
      </c>
      <c r="R64" s="12">
        <f t="shared" si="6"/>
        <v>561</v>
      </c>
      <c r="S64" s="12">
        <f t="shared" si="6"/>
        <v>561</v>
      </c>
      <c r="T64" s="12">
        <f t="shared" ref="T64:AF64" si="26">T24-S24</f>
        <v>434</v>
      </c>
      <c r="U64" s="12">
        <f t="shared" si="26"/>
        <v>4</v>
      </c>
      <c r="V64" s="12">
        <f t="shared" si="26"/>
        <v>0</v>
      </c>
      <c r="W64" s="12">
        <f t="shared" si="26"/>
        <v>178</v>
      </c>
      <c r="X64" s="12">
        <f t="shared" si="26"/>
        <v>431</v>
      </c>
      <c r="Y64" s="12">
        <f t="shared" si="26"/>
        <v>451</v>
      </c>
      <c r="Z64" s="12">
        <f t="shared" si="26"/>
        <v>403</v>
      </c>
      <c r="AA64" s="12">
        <f t="shared" si="26"/>
        <v>259</v>
      </c>
      <c r="AB64" s="12">
        <f t="shared" si="26"/>
        <v>391</v>
      </c>
      <c r="AC64" s="12">
        <f t="shared" si="26"/>
        <v>43</v>
      </c>
      <c r="AD64" s="12">
        <f t="shared" si="26"/>
        <v>391</v>
      </c>
      <c r="AE64" s="12">
        <f t="shared" si="26"/>
        <v>347</v>
      </c>
      <c r="AF64" s="12">
        <f t="shared" si="26"/>
        <v>482</v>
      </c>
    </row>
    <row r="65" spans="1:32" x14ac:dyDescent="0.25">
      <c r="A65" s="13" t="s">
        <v>24</v>
      </c>
      <c r="B65" s="247">
        <v>0</v>
      </c>
      <c r="C65" s="12">
        <f t="shared" ref="C65:D79" si="27">C25-B25</f>
        <v>452</v>
      </c>
      <c r="D65" s="12">
        <f t="shared" si="27"/>
        <v>384</v>
      </c>
      <c r="E65" s="12">
        <f t="shared" ref="E65:F79" si="28">E25-D25</f>
        <v>268</v>
      </c>
      <c r="F65" s="12">
        <f t="shared" si="28"/>
        <v>384</v>
      </c>
      <c r="G65" s="12">
        <f t="shared" si="24"/>
        <v>0</v>
      </c>
      <c r="H65" s="12">
        <f t="shared" si="24"/>
        <v>0</v>
      </c>
      <c r="I65" s="12">
        <f t="shared" si="24"/>
        <v>420</v>
      </c>
      <c r="J65" s="12">
        <f t="shared" si="24"/>
        <v>436</v>
      </c>
      <c r="K65" s="12">
        <f t="shared" si="24"/>
        <v>436</v>
      </c>
      <c r="L65" s="12">
        <f t="shared" si="24"/>
        <v>365</v>
      </c>
      <c r="M65" s="12">
        <f t="shared" si="24"/>
        <v>299</v>
      </c>
      <c r="N65" s="12">
        <f t="shared" si="24"/>
        <v>0</v>
      </c>
      <c r="O65" s="12">
        <f t="shared" si="24"/>
        <v>0</v>
      </c>
      <c r="P65" s="12">
        <f t="shared" si="24"/>
        <v>352</v>
      </c>
      <c r="Q65" s="12">
        <f t="shared" si="5"/>
        <v>40</v>
      </c>
      <c r="R65" s="12">
        <f t="shared" si="6"/>
        <v>280</v>
      </c>
      <c r="S65" s="12">
        <f t="shared" si="6"/>
        <v>452</v>
      </c>
      <c r="T65" s="12">
        <f t="shared" ref="T65:AF65" si="29">T25-S25</f>
        <v>365</v>
      </c>
      <c r="U65" s="12">
        <f t="shared" si="29"/>
        <v>0</v>
      </c>
      <c r="V65" s="12">
        <f t="shared" si="29"/>
        <v>0</v>
      </c>
      <c r="W65" s="12">
        <f t="shared" si="29"/>
        <v>349</v>
      </c>
      <c r="X65" s="12">
        <f t="shared" si="29"/>
        <v>452</v>
      </c>
      <c r="Y65" s="12">
        <f t="shared" si="29"/>
        <v>366</v>
      </c>
      <c r="Z65" s="12">
        <f t="shared" si="29"/>
        <v>107</v>
      </c>
      <c r="AA65" s="12">
        <f t="shared" si="29"/>
        <v>0</v>
      </c>
      <c r="AB65" s="12">
        <f t="shared" si="29"/>
        <v>0</v>
      </c>
      <c r="AC65" s="12">
        <f t="shared" si="29"/>
        <v>0</v>
      </c>
      <c r="AD65" s="12">
        <f t="shared" si="29"/>
        <v>369</v>
      </c>
      <c r="AE65" s="12">
        <f t="shared" si="29"/>
        <v>436</v>
      </c>
      <c r="AF65" s="12">
        <f t="shared" si="29"/>
        <v>451</v>
      </c>
    </row>
    <row r="66" spans="1:32" x14ac:dyDescent="0.25">
      <c r="A66" s="13" t="s">
        <v>25</v>
      </c>
      <c r="B66" s="247">
        <v>0</v>
      </c>
      <c r="C66" s="12">
        <f t="shared" si="27"/>
        <v>488</v>
      </c>
      <c r="D66" s="12">
        <f t="shared" si="27"/>
        <v>565</v>
      </c>
      <c r="E66" s="12">
        <f t="shared" si="28"/>
        <v>477</v>
      </c>
      <c r="F66" s="12">
        <f t="shared" si="28"/>
        <v>519</v>
      </c>
      <c r="G66" s="12">
        <f t="shared" si="24"/>
        <v>435</v>
      </c>
      <c r="H66" s="12">
        <f t="shared" si="24"/>
        <v>0</v>
      </c>
      <c r="I66" s="12">
        <f t="shared" si="24"/>
        <v>389</v>
      </c>
      <c r="J66" s="12">
        <f t="shared" si="24"/>
        <v>476</v>
      </c>
      <c r="K66" s="12">
        <f t="shared" si="24"/>
        <v>283</v>
      </c>
      <c r="L66" s="12">
        <f t="shared" si="24"/>
        <v>20</v>
      </c>
      <c r="M66" s="12">
        <f t="shared" si="24"/>
        <v>521</v>
      </c>
      <c r="N66" s="12">
        <f t="shared" si="24"/>
        <v>519</v>
      </c>
      <c r="O66" s="12">
        <f t="shared" si="24"/>
        <v>131</v>
      </c>
      <c r="P66" s="12">
        <f t="shared" si="24"/>
        <v>562</v>
      </c>
      <c r="Q66" s="12">
        <f t="shared" si="5"/>
        <v>432</v>
      </c>
      <c r="R66" s="12">
        <f t="shared" si="6"/>
        <v>437</v>
      </c>
      <c r="S66" s="12">
        <f t="shared" si="6"/>
        <v>263</v>
      </c>
      <c r="T66" s="12">
        <f t="shared" ref="T66:AF66" si="30">T26-S26</f>
        <v>300</v>
      </c>
      <c r="U66" s="12">
        <f t="shared" si="30"/>
        <v>521</v>
      </c>
      <c r="V66" s="12">
        <f t="shared" si="30"/>
        <v>433</v>
      </c>
      <c r="W66" s="12">
        <f t="shared" si="30"/>
        <v>434</v>
      </c>
      <c r="X66" s="12">
        <f t="shared" si="30"/>
        <v>518</v>
      </c>
      <c r="Y66" s="12">
        <f t="shared" si="30"/>
        <v>346</v>
      </c>
      <c r="Z66" s="12">
        <f t="shared" si="30"/>
        <v>519</v>
      </c>
      <c r="AA66" s="12">
        <f t="shared" si="30"/>
        <v>348</v>
      </c>
      <c r="AB66" s="12">
        <f t="shared" si="30"/>
        <v>390</v>
      </c>
      <c r="AC66" s="12">
        <f t="shared" si="30"/>
        <v>395</v>
      </c>
      <c r="AD66" s="12">
        <f t="shared" si="30"/>
        <v>282</v>
      </c>
      <c r="AE66" s="12">
        <f t="shared" si="30"/>
        <v>234</v>
      </c>
      <c r="AF66" s="12">
        <f t="shared" si="30"/>
        <v>369</v>
      </c>
    </row>
    <row r="67" spans="1:32" x14ac:dyDescent="0.25">
      <c r="A67" s="13" t="s">
        <v>26</v>
      </c>
      <c r="B67" s="247">
        <v>219</v>
      </c>
      <c r="C67" s="12">
        <f t="shared" si="27"/>
        <v>493</v>
      </c>
      <c r="D67" s="12">
        <f t="shared" si="27"/>
        <v>434</v>
      </c>
      <c r="E67" s="12">
        <f t="shared" si="28"/>
        <v>468</v>
      </c>
      <c r="F67" s="12">
        <f t="shared" si="28"/>
        <v>409</v>
      </c>
      <c r="G67" s="12">
        <f t="shared" si="24"/>
        <v>475</v>
      </c>
      <c r="H67" s="12">
        <f t="shared" si="24"/>
        <v>431</v>
      </c>
      <c r="I67" s="12">
        <f t="shared" si="24"/>
        <v>261</v>
      </c>
      <c r="J67" s="12">
        <f t="shared" si="24"/>
        <v>434</v>
      </c>
      <c r="K67" s="12">
        <f t="shared" si="24"/>
        <v>432</v>
      </c>
      <c r="L67" s="12">
        <f t="shared" si="24"/>
        <v>454</v>
      </c>
      <c r="M67" s="12">
        <f t="shared" si="24"/>
        <v>279</v>
      </c>
      <c r="N67" s="12">
        <f t="shared" si="24"/>
        <v>432</v>
      </c>
      <c r="O67" s="12">
        <f t="shared" si="24"/>
        <v>432</v>
      </c>
      <c r="P67" s="12">
        <f t="shared" si="24"/>
        <v>451</v>
      </c>
      <c r="Q67" s="12">
        <f t="shared" si="5"/>
        <v>126</v>
      </c>
      <c r="R67" s="12">
        <f t="shared" si="6"/>
        <v>20</v>
      </c>
      <c r="S67" s="12">
        <f t="shared" si="6"/>
        <v>263</v>
      </c>
      <c r="T67" s="12">
        <f t="shared" ref="T67:AF67" si="31">T27-S27</f>
        <v>517</v>
      </c>
      <c r="U67" s="12">
        <f t="shared" si="31"/>
        <v>477</v>
      </c>
      <c r="V67" s="12">
        <f t="shared" si="31"/>
        <v>432</v>
      </c>
      <c r="W67" s="12">
        <f t="shared" si="31"/>
        <v>560</v>
      </c>
      <c r="X67" s="12">
        <f t="shared" si="31"/>
        <v>561</v>
      </c>
      <c r="Y67" s="12">
        <f t="shared" si="31"/>
        <v>408</v>
      </c>
      <c r="Z67" s="12">
        <f t="shared" si="31"/>
        <v>230</v>
      </c>
      <c r="AA67" s="12">
        <f t="shared" si="31"/>
        <v>176</v>
      </c>
      <c r="AB67" s="12">
        <f t="shared" si="31"/>
        <v>88</v>
      </c>
      <c r="AC67" s="12">
        <f t="shared" si="31"/>
        <v>173</v>
      </c>
      <c r="AD67" s="12">
        <f t="shared" si="31"/>
        <v>452</v>
      </c>
      <c r="AE67" s="12">
        <f t="shared" si="31"/>
        <v>538</v>
      </c>
      <c r="AF67" s="12">
        <f t="shared" si="31"/>
        <v>519</v>
      </c>
    </row>
    <row r="68" spans="1:32" x14ac:dyDescent="0.25">
      <c r="A68" s="13" t="s">
        <v>27</v>
      </c>
      <c r="B68" s="247">
        <v>415</v>
      </c>
      <c r="C68" s="12">
        <f t="shared" si="27"/>
        <v>448</v>
      </c>
      <c r="D68" s="12">
        <f t="shared" si="27"/>
        <v>281</v>
      </c>
      <c r="E68" s="12">
        <f t="shared" si="28"/>
        <v>451</v>
      </c>
      <c r="F68" s="12">
        <f t="shared" si="28"/>
        <v>450</v>
      </c>
      <c r="G68" s="12">
        <f t="shared" si="24"/>
        <v>430</v>
      </c>
      <c r="H68" s="12">
        <f t="shared" si="24"/>
        <v>432</v>
      </c>
      <c r="I68" s="12">
        <f t="shared" si="24"/>
        <v>517</v>
      </c>
      <c r="J68" s="12">
        <f t="shared" si="24"/>
        <v>474</v>
      </c>
      <c r="K68" s="12">
        <f t="shared" si="24"/>
        <v>305</v>
      </c>
      <c r="L68" s="12">
        <f t="shared" si="24"/>
        <v>517</v>
      </c>
      <c r="M68" s="12">
        <f t="shared" si="24"/>
        <v>346</v>
      </c>
      <c r="N68" s="12">
        <f t="shared" si="24"/>
        <v>3</v>
      </c>
      <c r="O68" s="12">
        <f t="shared" si="24"/>
        <v>348</v>
      </c>
      <c r="P68" s="12">
        <f t="shared" si="24"/>
        <v>88</v>
      </c>
      <c r="Q68" s="12">
        <f t="shared" si="5"/>
        <v>351</v>
      </c>
      <c r="R68" s="12">
        <f t="shared" si="6"/>
        <v>193</v>
      </c>
      <c r="S68" s="12">
        <f t="shared" si="6"/>
        <v>108</v>
      </c>
      <c r="T68" s="12">
        <f t="shared" ref="T68:AF68" si="32">T28-S28</f>
        <v>304</v>
      </c>
      <c r="U68" s="12">
        <f t="shared" si="32"/>
        <v>302</v>
      </c>
      <c r="V68" s="12">
        <f t="shared" si="32"/>
        <v>475</v>
      </c>
      <c r="W68" s="12">
        <f t="shared" si="32"/>
        <v>345</v>
      </c>
      <c r="X68" s="12">
        <f t="shared" si="32"/>
        <v>427</v>
      </c>
      <c r="Y68" s="12">
        <f t="shared" si="32"/>
        <v>348</v>
      </c>
      <c r="Z68" s="12">
        <f t="shared" si="32"/>
        <v>432</v>
      </c>
      <c r="AA68" s="12">
        <f t="shared" si="32"/>
        <v>345</v>
      </c>
      <c r="AB68" s="12">
        <f t="shared" si="32"/>
        <v>173</v>
      </c>
      <c r="AC68" s="12">
        <f t="shared" si="32"/>
        <v>416</v>
      </c>
      <c r="AD68" s="12">
        <f t="shared" si="32"/>
        <v>543</v>
      </c>
      <c r="AE68" s="12">
        <f t="shared" si="32"/>
        <v>488</v>
      </c>
      <c r="AF68" s="12">
        <f t="shared" si="32"/>
        <v>506</v>
      </c>
    </row>
    <row r="69" spans="1:32" x14ac:dyDescent="0.25">
      <c r="A69" s="11" t="s">
        <v>28</v>
      </c>
      <c r="B69" s="247">
        <v>107</v>
      </c>
      <c r="C69" s="12">
        <f t="shared" si="27"/>
        <v>40</v>
      </c>
      <c r="D69" s="12">
        <f t="shared" si="27"/>
        <v>503</v>
      </c>
      <c r="E69" s="12">
        <f t="shared" si="28"/>
        <v>561</v>
      </c>
      <c r="F69" s="12">
        <f t="shared" si="28"/>
        <v>493</v>
      </c>
      <c r="G69" s="12">
        <f t="shared" si="24"/>
        <v>0</v>
      </c>
      <c r="H69" s="12">
        <f t="shared" si="24"/>
        <v>0</v>
      </c>
      <c r="I69" s="12">
        <f t="shared" si="24"/>
        <v>588</v>
      </c>
      <c r="J69" s="12">
        <f t="shared" si="24"/>
        <v>520</v>
      </c>
      <c r="K69" s="12">
        <f t="shared" si="24"/>
        <v>216</v>
      </c>
      <c r="L69" s="12">
        <f t="shared" si="24"/>
        <v>152</v>
      </c>
      <c r="M69" s="12">
        <f t="shared" si="24"/>
        <v>332</v>
      </c>
      <c r="N69" s="12">
        <f t="shared" si="24"/>
        <v>478</v>
      </c>
      <c r="O69" s="12">
        <f t="shared" si="24"/>
        <v>393</v>
      </c>
      <c r="P69" s="12">
        <f t="shared" si="24"/>
        <v>87</v>
      </c>
      <c r="Q69" s="12">
        <f t="shared" si="5"/>
        <v>432</v>
      </c>
      <c r="R69" s="12">
        <f t="shared" si="6"/>
        <v>91</v>
      </c>
      <c r="S69" s="12">
        <f t="shared" si="6"/>
        <v>195</v>
      </c>
      <c r="T69" s="12">
        <f t="shared" ref="T69:AF69" si="33">T29-S29</f>
        <v>372</v>
      </c>
      <c r="U69" s="12">
        <f t="shared" si="33"/>
        <v>475</v>
      </c>
      <c r="V69" s="12">
        <f t="shared" si="33"/>
        <v>432</v>
      </c>
      <c r="W69" s="12">
        <f t="shared" si="33"/>
        <v>561</v>
      </c>
      <c r="X69" s="12">
        <f t="shared" si="33"/>
        <v>406</v>
      </c>
      <c r="Y69" s="12">
        <f t="shared" si="33"/>
        <v>126</v>
      </c>
      <c r="Z69" s="12">
        <f t="shared" si="33"/>
        <v>110</v>
      </c>
      <c r="AA69" s="12">
        <f t="shared" si="33"/>
        <v>57</v>
      </c>
      <c r="AB69" s="12">
        <f t="shared" si="33"/>
        <v>0</v>
      </c>
      <c r="AC69" s="12">
        <f t="shared" si="33"/>
        <v>1</v>
      </c>
      <c r="AD69" s="12">
        <f t="shared" si="33"/>
        <v>0</v>
      </c>
      <c r="AE69" s="12">
        <f t="shared" si="33"/>
        <v>0</v>
      </c>
      <c r="AF69" s="12">
        <f t="shared" si="33"/>
        <v>2</v>
      </c>
    </row>
    <row r="70" spans="1:32" x14ac:dyDescent="0.25">
      <c r="A70" s="13" t="s">
        <v>29</v>
      </c>
      <c r="B70" s="247">
        <v>0</v>
      </c>
      <c r="C70" s="12">
        <f t="shared" si="27"/>
        <v>47</v>
      </c>
      <c r="D70" s="12">
        <f t="shared" si="27"/>
        <v>24</v>
      </c>
      <c r="E70" s="12">
        <f t="shared" si="28"/>
        <v>535</v>
      </c>
      <c r="F70" s="12">
        <f t="shared" si="28"/>
        <v>518</v>
      </c>
      <c r="G70" s="12">
        <f t="shared" si="24"/>
        <v>474</v>
      </c>
      <c r="H70" s="12">
        <f t="shared" si="24"/>
        <v>431</v>
      </c>
      <c r="I70" s="12">
        <f t="shared" si="24"/>
        <v>426</v>
      </c>
      <c r="J70" s="12">
        <f t="shared" si="24"/>
        <v>449</v>
      </c>
      <c r="K70" s="12">
        <f t="shared" si="24"/>
        <v>432</v>
      </c>
      <c r="L70" s="12">
        <f t="shared" si="24"/>
        <v>495</v>
      </c>
      <c r="M70" s="12">
        <f t="shared" si="24"/>
        <v>384</v>
      </c>
      <c r="N70" s="12">
        <f t="shared" si="24"/>
        <v>217</v>
      </c>
      <c r="O70" s="12">
        <f t="shared" si="24"/>
        <v>434</v>
      </c>
      <c r="P70" s="12">
        <f t="shared" si="24"/>
        <v>351</v>
      </c>
      <c r="Q70" s="12">
        <f t="shared" si="5"/>
        <v>433</v>
      </c>
      <c r="R70" s="12">
        <f t="shared" si="6"/>
        <v>110</v>
      </c>
      <c r="S70" s="12">
        <f t="shared" si="6"/>
        <v>500</v>
      </c>
      <c r="T70" s="12">
        <f t="shared" ref="T70:AF70" si="34">T30-S30</f>
        <v>306</v>
      </c>
      <c r="U70" s="12">
        <f t="shared" si="34"/>
        <v>475</v>
      </c>
      <c r="V70" s="12">
        <f t="shared" si="34"/>
        <v>434</v>
      </c>
      <c r="W70" s="12">
        <f t="shared" si="34"/>
        <v>264</v>
      </c>
      <c r="X70" s="12">
        <f t="shared" si="34"/>
        <v>135</v>
      </c>
      <c r="Y70" s="12">
        <f t="shared" si="34"/>
        <v>561</v>
      </c>
      <c r="Z70" s="12">
        <f t="shared" si="34"/>
        <v>137</v>
      </c>
      <c r="AA70" s="12">
        <f t="shared" si="34"/>
        <v>2</v>
      </c>
      <c r="AB70" s="12">
        <f t="shared" si="34"/>
        <v>0</v>
      </c>
      <c r="AC70" s="12">
        <f t="shared" si="34"/>
        <v>0</v>
      </c>
      <c r="AD70" s="12">
        <f t="shared" si="34"/>
        <v>503</v>
      </c>
      <c r="AE70" s="12">
        <f t="shared" si="34"/>
        <v>305</v>
      </c>
      <c r="AF70" s="12">
        <f t="shared" si="34"/>
        <v>234</v>
      </c>
    </row>
    <row r="71" spans="1:32" x14ac:dyDescent="0.25">
      <c r="A71" s="11" t="s">
        <v>30</v>
      </c>
      <c r="B71" s="247">
        <v>0</v>
      </c>
      <c r="C71" s="12">
        <f t="shared" si="27"/>
        <v>517</v>
      </c>
      <c r="D71" s="12">
        <f t="shared" si="27"/>
        <v>474</v>
      </c>
      <c r="E71" s="12">
        <f t="shared" si="28"/>
        <v>232</v>
      </c>
      <c r="F71" s="12">
        <f t="shared" si="28"/>
        <v>437</v>
      </c>
      <c r="G71" s="12">
        <f t="shared" si="24"/>
        <v>433</v>
      </c>
      <c r="H71" s="12">
        <f t="shared" si="24"/>
        <v>0</v>
      </c>
      <c r="I71" s="12">
        <f t="shared" si="24"/>
        <v>524</v>
      </c>
      <c r="J71" s="12">
        <f t="shared" si="24"/>
        <v>452</v>
      </c>
      <c r="K71" s="12">
        <f t="shared" si="24"/>
        <v>126</v>
      </c>
      <c r="L71" s="12">
        <f t="shared" si="24"/>
        <v>501</v>
      </c>
      <c r="M71" s="12">
        <f t="shared" si="24"/>
        <v>394</v>
      </c>
      <c r="N71" s="12">
        <f t="shared" si="24"/>
        <v>302</v>
      </c>
      <c r="O71" s="12">
        <f t="shared" si="24"/>
        <v>90</v>
      </c>
      <c r="P71" s="12">
        <f t="shared" si="24"/>
        <v>264</v>
      </c>
      <c r="Q71" s="12">
        <f t="shared" si="5"/>
        <v>476</v>
      </c>
      <c r="R71" s="12">
        <f t="shared" si="6"/>
        <v>493</v>
      </c>
      <c r="S71" s="12">
        <f t="shared" si="6"/>
        <v>434</v>
      </c>
      <c r="T71" s="12">
        <f t="shared" ref="T71:AF71" si="35">T31-S31</f>
        <v>213</v>
      </c>
      <c r="U71" s="12">
        <f t="shared" si="35"/>
        <v>0</v>
      </c>
      <c r="V71" s="12">
        <f t="shared" si="35"/>
        <v>21</v>
      </c>
      <c r="W71" s="12">
        <f t="shared" si="35"/>
        <v>477</v>
      </c>
      <c r="X71" s="12">
        <f t="shared" si="35"/>
        <v>475</v>
      </c>
      <c r="Y71" s="12">
        <f t="shared" si="35"/>
        <v>91</v>
      </c>
      <c r="Z71" s="12">
        <f t="shared" si="35"/>
        <v>564</v>
      </c>
      <c r="AA71" s="12">
        <f t="shared" si="35"/>
        <v>63</v>
      </c>
      <c r="AB71" s="12">
        <f t="shared" si="35"/>
        <v>0</v>
      </c>
      <c r="AC71" s="12">
        <f t="shared" si="35"/>
        <v>0</v>
      </c>
      <c r="AD71" s="12">
        <f t="shared" si="35"/>
        <v>185</v>
      </c>
      <c r="AE71" s="12">
        <f t="shared" si="35"/>
        <v>310</v>
      </c>
      <c r="AF71" s="12">
        <f t="shared" si="35"/>
        <v>518</v>
      </c>
    </row>
    <row r="72" spans="1:32" s="130" customFormat="1" x14ac:dyDescent="0.25">
      <c r="A72" s="13" t="s">
        <v>111</v>
      </c>
      <c r="B72" s="247">
        <v>260</v>
      </c>
      <c r="C72" s="12">
        <f t="shared" si="27"/>
        <v>495</v>
      </c>
      <c r="D72" s="12">
        <f t="shared" si="27"/>
        <v>542</v>
      </c>
      <c r="E72" s="12">
        <f t="shared" si="28"/>
        <v>349</v>
      </c>
      <c r="F72" s="12">
        <f t="shared" si="28"/>
        <v>519</v>
      </c>
      <c r="G72" s="12">
        <f t="shared" si="24"/>
        <v>476</v>
      </c>
      <c r="H72" s="12">
        <f t="shared" si="24"/>
        <v>43</v>
      </c>
      <c r="I72" s="12">
        <f t="shared" si="24"/>
        <v>431</v>
      </c>
      <c r="J72" s="12">
        <f t="shared" si="24"/>
        <v>517</v>
      </c>
      <c r="K72" s="12">
        <f t="shared" si="24"/>
        <v>432</v>
      </c>
      <c r="L72" s="12">
        <f t="shared" si="24"/>
        <v>432</v>
      </c>
      <c r="M72" s="12">
        <f t="shared" si="24"/>
        <v>279</v>
      </c>
      <c r="N72" s="12">
        <f t="shared" si="24"/>
        <v>0</v>
      </c>
      <c r="O72" s="12">
        <f t="shared" si="24"/>
        <v>0</v>
      </c>
      <c r="P72" s="12">
        <f t="shared" si="24"/>
        <v>321</v>
      </c>
      <c r="Q72" s="12">
        <f t="shared" si="5"/>
        <v>388</v>
      </c>
      <c r="R72" s="12">
        <f t="shared" si="6"/>
        <v>451</v>
      </c>
      <c r="S72" s="12">
        <f t="shared" si="6"/>
        <v>39</v>
      </c>
      <c r="T72" s="12">
        <f t="shared" ref="T72:AF72" si="36">T32-S32</f>
        <v>468</v>
      </c>
      <c r="U72" s="12">
        <f t="shared" si="36"/>
        <v>0</v>
      </c>
      <c r="V72" s="12">
        <f t="shared" si="36"/>
        <v>0</v>
      </c>
      <c r="W72" s="12">
        <f t="shared" si="36"/>
        <v>263</v>
      </c>
      <c r="X72" s="12">
        <f t="shared" si="36"/>
        <v>2</v>
      </c>
      <c r="Y72" s="12">
        <f t="shared" si="36"/>
        <v>20</v>
      </c>
      <c r="Z72" s="12">
        <f t="shared" si="36"/>
        <v>87</v>
      </c>
      <c r="AA72" s="12">
        <f t="shared" si="36"/>
        <v>262</v>
      </c>
      <c r="AB72" s="12">
        <f t="shared" si="36"/>
        <v>347</v>
      </c>
      <c r="AC72" s="12">
        <f t="shared" si="36"/>
        <v>0</v>
      </c>
      <c r="AD72" s="12">
        <f t="shared" si="36"/>
        <v>106</v>
      </c>
      <c r="AE72" s="12">
        <f t="shared" si="36"/>
        <v>194</v>
      </c>
      <c r="AF72" s="12">
        <f t="shared" si="36"/>
        <v>307</v>
      </c>
    </row>
    <row r="73" spans="1:32" s="130" customFormat="1" x14ac:dyDescent="0.25">
      <c r="A73" s="11" t="s">
        <v>112</v>
      </c>
      <c r="B73" s="247">
        <v>21</v>
      </c>
      <c r="C73" s="12">
        <f t="shared" si="27"/>
        <v>279</v>
      </c>
      <c r="D73" s="12">
        <f t="shared" si="27"/>
        <v>450</v>
      </c>
      <c r="E73" s="12">
        <f t="shared" si="28"/>
        <v>519</v>
      </c>
      <c r="F73" s="12">
        <f t="shared" si="28"/>
        <v>175</v>
      </c>
      <c r="G73" s="12">
        <f t="shared" si="24"/>
        <v>0</v>
      </c>
      <c r="H73" s="12">
        <f t="shared" si="24"/>
        <v>0</v>
      </c>
      <c r="I73" s="12">
        <f t="shared" si="24"/>
        <v>450</v>
      </c>
      <c r="J73" s="12">
        <f t="shared" si="24"/>
        <v>432</v>
      </c>
      <c r="K73" s="12">
        <f t="shared" si="24"/>
        <v>519</v>
      </c>
      <c r="L73" s="12">
        <f t="shared" si="24"/>
        <v>431</v>
      </c>
      <c r="M73" s="12">
        <f t="shared" si="24"/>
        <v>437</v>
      </c>
      <c r="N73" s="12">
        <f t="shared" si="24"/>
        <v>0</v>
      </c>
      <c r="O73" s="12">
        <f t="shared" si="24"/>
        <v>0</v>
      </c>
      <c r="P73" s="12">
        <f t="shared" si="24"/>
        <v>433</v>
      </c>
      <c r="Q73" s="12">
        <f t="shared" si="5"/>
        <v>107</v>
      </c>
      <c r="R73" s="12">
        <f t="shared" si="6"/>
        <v>194</v>
      </c>
      <c r="S73" s="12">
        <f t="shared" si="6"/>
        <v>431</v>
      </c>
      <c r="T73" s="12">
        <f t="shared" ref="T73:AF73" si="37">T33-S33</f>
        <v>452</v>
      </c>
      <c r="U73" s="12">
        <f t="shared" si="37"/>
        <v>0</v>
      </c>
      <c r="V73" s="12">
        <f t="shared" si="37"/>
        <v>0</v>
      </c>
      <c r="W73" s="12">
        <f t="shared" si="37"/>
        <v>468</v>
      </c>
      <c r="X73" s="12">
        <f t="shared" si="37"/>
        <v>20</v>
      </c>
      <c r="Y73" s="12">
        <f t="shared" si="37"/>
        <v>195</v>
      </c>
      <c r="Z73" s="12">
        <f t="shared" si="37"/>
        <v>2</v>
      </c>
      <c r="AA73" s="12">
        <f t="shared" si="37"/>
        <v>154</v>
      </c>
      <c r="AB73" s="12">
        <f t="shared" si="37"/>
        <v>0</v>
      </c>
      <c r="AC73" s="12">
        <f t="shared" si="37"/>
        <v>23</v>
      </c>
      <c r="AD73" s="12">
        <f t="shared" si="37"/>
        <v>221</v>
      </c>
      <c r="AE73" s="12">
        <f t="shared" si="37"/>
        <v>184</v>
      </c>
      <c r="AF73" s="12">
        <f t="shared" si="37"/>
        <v>89</v>
      </c>
    </row>
    <row r="74" spans="1:32" s="130" customFormat="1" x14ac:dyDescent="0.25">
      <c r="A74" s="13" t="s">
        <v>113</v>
      </c>
      <c r="B74" s="247">
        <v>435</v>
      </c>
      <c r="C74" s="12">
        <f t="shared" si="27"/>
        <v>536</v>
      </c>
      <c r="D74" s="12">
        <f t="shared" si="27"/>
        <v>108</v>
      </c>
      <c r="E74" s="12">
        <f t="shared" si="28"/>
        <v>0</v>
      </c>
      <c r="F74" s="12">
        <f t="shared" si="28"/>
        <v>347</v>
      </c>
      <c r="G74" s="12">
        <f t="shared" si="24"/>
        <v>0</v>
      </c>
      <c r="H74" s="12">
        <f t="shared" si="24"/>
        <v>0</v>
      </c>
      <c r="I74" s="12">
        <f t="shared" si="24"/>
        <v>193</v>
      </c>
      <c r="J74" s="12">
        <f t="shared" si="24"/>
        <v>537</v>
      </c>
      <c r="K74" s="12">
        <f t="shared" si="24"/>
        <v>452</v>
      </c>
      <c r="L74" s="12">
        <f t="shared" si="24"/>
        <v>544</v>
      </c>
      <c r="M74" s="12">
        <f t="shared" si="24"/>
        <v>324</v>
      </c>
      <c r="N74" s="12">
        <f t="shared" si="24"/>
        <v>0</v>
      </c>
      <c r="O74" s="12">
        <f t="shared" si="24"/>
        <v>0</v>
      </c>
      <c r="P74" s="12">
        <f t="shared" si="24"/>
        <v>450</v>
      </c>
      <c r="Q74" s="12">
        <f t="shared" si="5"/>
        <v>437</v>
      </c>
      <c r="R74" s="12">
        <f t="shared" si="6"/>
        <v>262</v>
      </c>
      <c r="S74" s="12">
        <f t="shared" si="6"/>
        <v>433</v>
      </c>
      <c r="T74" s="12">
        <f t="shared" ref="T74:AF74" si="38">T34-S34</f>
        <v>451</v>
      </c>
      <c r="U74" s="12">
        <f t="shared" si="38"/>
        <v>0</v>
      </c>
      <c r="V74" s="12">
        <f t="shared" si="38"/>
        <v>19</v>
      </c>
      <c r="W74" s="12">
        <f t="shared" si="38"/>
        <v>434</v>
      </c>
      <c r="X74" s="12">
        <f t="shared" si="38"/>
        <v>194</v>
      </c>
      <c r="Y74" s="12">
        <f t="shared" si="38"/>
        <v>432</v>
      </c>
      <c r="Z74" s="12">
        <f t="shared" si="38"/>
        <v>39</v>
      </c>
      <c r="AA74" s="12">
        <f t="shared" si="38"/>
        <v>39</v>
      </c>
      <c r="AB74" s="12">
        <f t="shared" si="38"/>
        <v>0</v>
      </c>
      <c r="AC74" s="12">
        <f t="shared" si="38"/>
        <v>1</v>
      </c>
      <c r="AD74" s="12">
        <f t="shared" si="38"/>
        <v>0</v>
      </c>
      <c r="AE74" s="12">
        <f t="shared" si="38"/>
        <v>194</v>
      </c>
      <c r="AF74" s="12">
        <f t="shared" si="38"/>
        <v>308</v>
      </c>
    </row>
    <row r="75" spans="1:32" s="130" customFormat="1" x14ac:dyDescent="0.25">
      <c r="A75" s="11" t="s">
        <v>114</v>
      </c>
      <c r="B75" s="247">
        <v>173</v>
      </c>
      <c r="C75" s="12">
        <f t="shared" si="27"/>
        <v>163</v>
      </c>
      <c r="D75" s="12">
        <f t="shared" si="27"/>
        <v>285</v>
      </c>
      <c r="E75" s="12">
        <f t="shared" si="28"/>
        <v>521</v>
      </c>
      <c r="F75" s="12">
        <f t="shared" si="28"/>
        <v>521</v>
      </c>
      <c r="G75" s="12">
        <f t="shared" si="24"/>
        <v>0</v>
      </c>
      <c r="H75" s="12">
        <f t="shared" si="24"/>
        <v>0</v>
      </c>
      <c r="I75" s="12">
        <f t="shared" si="24"/>
        <v>453</v>
      </c>
      <c r="J75" s="12">
        <f t="shared" si="24"/>
        <v>434</v>
      </c>
      <c r="K75" s="12">
        <f t="shared" si="24"/>
        <v>520</v>
      </c>
      <c r="L75" s="12">
        <f t="shared" si="24"/>
        <v>433</v>
      </c>
      <c r="M75" s="12">
        <f t="shared" si="24"/>
        <v>285</v>
      </c>
      <c r="N75" s="12">
        <f t="shared" si="24"/>
        <v>0</v>
      </c>
      <c r="O75" s="12">
        <f t="shared" si="24"/>
        <v>0</v>
      </c>
      <c r="P75" s="12">
        <f t="shared" si="24"/>
        <v>1</v>
      </c>
      <c r="Q75" s="12">
        <f t="shared" si="5"/>
        <v>197</v>
      </c>
      <c r="R75" s="12">
        <f t="shared" si="6"/>
        <v>348</v>
      </c>
      <c r="S75" s="12">
        <f t="shared" si="6"/>
        <v>89</v>
      </c>
      <c r="T75" s="12">
        <f t="shared" ref="T75:AF75" si="39">T35-S35</f>
        <v>88</v>
      </c>
      <c r="U75" s="12">
        <f t="shared" si="39"/>
        <v>178</v>
      </c>
      <c r="V75" s="12">
        <f t="shared" si="39"/>
        <v>0</v>
      </c>
      <c r="W75" s="12">
        <f t="shared" si="39"/>
        <v>345</v>
      </c>
      <c r="X75" s="12">
        <f t="shared" si="39"/>
        <v>434</v>
      </c>
      <c r="Y75" s="12">
        <f t="shared" si="39"/>
        <v>212</v>
      </c>
      <c r="Z75" s="12">
        <f t="shared" si="39"/>
        <v>475</v>
      </c>
      <c r="AA75" s="12">
        <f t="shared" si="39"/>
        <v>389</v>
      </c>
      <c r="AB75" s="12">
        <f t="shared" si="39"/>
        <v>431</v>
      </c>
      <c r="AC75" s="12">
        <f t="shared" si="39"/>
        <v>23</v>
      </c>
      <c r="AD75" s="12">
        <f t="shared" si="39"/>
        <v>211</v>
      </c>
      <c r="AE75" s="12">
        <f t="shared" si="39"/>
        <v>21</v>
      </c>
      <c r="AF75" s="12">
        <f t="shared" si="39"/>
        <v>279</v>
      </c>
    </row>
    <row r="76" spans="1:32" s="130" customFormat="1" x14ac:dyDescent="0.25">
      <c r="A76" s="13" t="s">
        <v>115</v>
      </c>
      <c r="B76" s="247">
        <v>0</v>
      </c>
      <c r="C76" s="12">
        <f t="shared" si="27"/>
        <v>279</v>
      </c>
      <c r="D76" s="12">
        <f t="shared" si="27"/>
        <v>348</v>
      </c>
      <c r="E76" s="12">
        <f t="shared" si="28"/>
        <v>433</v>
      </c>
      <c r="F76" s="12">
        <f t="shared" si="28"/>
        <v>88</v>
      </c>
      <c r="G76" s="12">
        <f t="shared" si="24"/>
        <v>0</v>
      </c>
      <c r="H76" s="12">
        <f t="shared" si="24"/>
        <v>0</v>
      </c>
      <c r="I76" s="12">
        <f t="shared" si="24"/>
        <v>366</v>
      </c>
      <c r="J76" s="12">
        <f t="shared" si="24"/>
        <v>503</v>
      </c>
      <c r="K76" s="12">
        <f t="shared" si="24"/>
        <v>451</v>
      </c>
      <c r="L76" s="12">
        <f t="shared" si="24"/>
        <v>544</v>
      </c>
      <c r="M76" s="12">
        <f t="shared" si="24"/>
        <v>320</v>
      </c>
      <c r="N76" s="12">
        <f t="shared" si="24"/>
        <v>0</v>
      </c>
      <c r="O76" s="12">
        <f t="shared" si="24"/>
        <v>0</v>
      </c>
      <c r="P76" s="12">
        <f t="shared" si="24"/>
        <v>39</v>
      </c>
      <c r="Q76" s="12">
        <f t="shared" si="5"/>
        <v>366</v>
      </c>
      <c r="R76" s="12">
        <f t="shared" si="6"/>
        <v>105</v>
      </c>
      <c r="S76" s="12">
        <f t="shared" si="6"/>
        <v>272</v>
      </c>
      <c r="T76" s="12">
        <f t="shared" ref="T76:AF76" si="40">T36-S36</f>
        <v>407</v>
      </c>
      <c r="U76" s="12">
        <f t="shared" si="40"/>
        <v>0</v>
      </c>
      <c r="V76" s="12">
        <f t="shared" si="40"/>
        <v>20</v>
      </c>
      <c r="W76" s="12">
        <f t="shared" si="40"/>
        <v>434</v>
      </c>
      <c r="X76" s="12">
        <f t="shared" si="40"/>
        <v>194</v>
      </c>
      <c r="Y76" s="12">
        <f t="shared" si="40"/>
        <v>433</v>
      </c>
      <c r="Z76" s="12">
        <f t="shared" si="40"/>
        <v>39</v>
      </c>
      <c r="AA76" s="12">
        <f t="shared" si="40"/>
        <v>38</v>
      </c>
      <c r="AB76" s="12">
        <f t="shared" si="40"/>
        <v>0</v>
      </c>
      <c r="AC76" s="12">
        <f t="shared" si="40"/>
        <v>0</v>
      </c>
      <c r="AD76" s="12">
        <f t="shared" si="40"/>
        <v>3</v>
      </c>
      <c r="AE76" s="12">
        <f t="shared" si="40"/>
        <v>0</v>
      </c>
      <c r="AF76" s="12">
        <f t="shared" si="40"/>
        <v>364</v>
      </c>
    </row>
    <row r="77" spans="1:32" s="130" customFormat="1" x14ac:dyDescent="0.25">
      <c r="A77" s="11" t="s">
        <v>116</v>
      </c>
      <c r="B77" s="247">
        <v>174</v>
      </c>
      <c r="C77" s="12">
        <f t="shared" si="27"/>
        <v>170</v>
      </c>
      <c r="D77" s="12">
        <f t="shared" si="27"/>
        <v>473</v>
      </c>
      <c r="E77" s="12">
        <f t="shared" si="28"/>
        <v>177</v>
      </c>
      <c r="F77" s="12">
        <f t="shared" si="28"/>
        <v>347</v>
      </c>
      <c r="G77" s="12">
        <f t="shared" si="24"/>
        <v>261</v>
      </c>
      <c r="H77" s="12">
        <f t="shared" si="24"/>
        <v>432</v>
      </c>
      <c r="I77" s="12">
        <f t="shared" si="24"/>
        <v>437</v>
      </c>
      <c r="J77" s="12">
        <f t="shared" si="24"/>
        <v>517</v>
      </c>
      <c r="K77" s="12">
        <f t="shared" si="24"/>
        <v>431</v>
      </c>
      <c r="L77" s="12">
        <f t="shared" si="24"/>
        <v>105</v>
      </c>
      <c r="M77" s="12">
        <f t="shared" si="24"/>
        <v>213</v>
      </c>
      <c r="N77" s="12">
        <f t="shared" si="24"/>
        <v>0</v>
      </c>
      <c r="O77" s="12">
        <f t="shared" si="24"/>
        <v>0</v>
      </c>
      <c r="P77" s="12">
        <f t="shared" si="24"/>
        <v>450</v>
      </c>
      <c r="Q77" s="12">
        <f t="shared" si="5"/>
        <v>194</v>
      </c>
      <c r="R77" s="12">
        <f t="shared" si="6"/>
        <v>194</v>
      </c>
      <c r="S77" s="12">
        <f t="shared" si="6"/>
        <v>90</v>
      </c>
      <c r="T77" s="12">
        <f t="shared" ref="T77:AF77" si="41">T37-S37</f>
        <v>87</v>
      </c>
      <c r="U77" s="12">
        <f t="shared" si="41"/>
        <v>434</v>
      </c>
      <c r="V77" s="12">
        <f t="shared" si="41"/>
        <v>2</v>
      </c>
      <c r="W77" s="12">
        <f t="shared" si="41"/>
        <v>347</v>
      </c>
      <c r="X77" s="12">
        <f t="shared" si="41"/>
        <v>520</v>
      </c>
      <c r="Y77" s="12">
        <f t="shared" si="41"/>
        <v>263</v>
      </c>
      <c r="Z77" s="12">
        <f t="shared" si="41"/>
        <v>340</v>
      </c>
      <c r="AA77" s="12">
        <f t="shared" si="41"/>
        <v>388</v>
      </c>
      <c r="AB77" s="12">
        <f t="shared" si="41"/>
        <v>432</v>
      </c>
      <c r="AC77" s="12">
        <f t="shared" si="41"/>
        <v>347</v>
      </c>
      <c r="AD77" s="12">
        <f t="shared" si="41"/>
        <v>89</v>
      </c>
      <c r="AE77" s="12">
        <f t="shared" si="41"/>
        <v>105</v>
      </c>
      <c r="AF77" s="12">
        <f t="shared" si="41"/>
        <v>20</v>
      </c>
    </row>
    <row r="78" spans="1:32" s="130" customFormat="1" x14ac:dyDescent="0.25">
      <c r="A78" s="13" t="s">
        <v>117</v>
      </c>
      <c r="B78" s="247">
        <v>21</v>
      </c>
      <c r="C78" s="12">
        <f t="shared" si="27"/>
        <v>497</v>
      </c>
      <c r="D78" s="12">
        <f t="shared" si="27"/>
        <v>543</v>
      </c>
      <c r="E78" s="12">
        <f t="shared" si="28"/>
        <v>434</v>
      </c>
      <c r="F78" s="12">
        <f t="shared" si="28"/>
        <v>522</v>
      </c>
      <c r="G78" s="12">
        <f t="shared" si="24"/>
        <v>478</v>
      </c>
      <c r="H78" s="12">
        <f t="shared" si="24"/>
        <v>44</v>
      </c>
      <c r="I78" s="12">
        <f t="shared" si="24"/>
        <v>365</v>
      </c>
      <c r="J78" s="12">
        <f t="shared" si="24"/>
        <v>452</v>
      </c>
      <c r="K78" s="12">
        <f t="shared" si="24"/>
        <v>351</v>
      </c>
      <c r="L78" s="12">
        <f t="shared" si="24"/>
        <v>106</v>
      </c>
      <c r="M78" s="12">
        <f t="shared" si="24"/>
        <v>471</v>
      </c>
      <c r="N78" s="12">
        <f t="shared" si="24"/>
        <v>0</v>
      </c>
      <c r="O78" s="12">
        <f t="shared" si="24"/>
        <v>0</v>
      </c>
      <c r="P78" s="12">
        <f t="shared" si="24"/>
        <v>322</v>
      </c>
      <c r="Q78" s="12">
        <f t="shared" si="5"/>
        <v>391</v>
      </c>
      <c r="R78" s="12">
        <f t="shared" si="6"/>
        <v>349</v>
      </c>
      <c r="S78" s="12">
        <f t="shared" si="6"/>
        <v>220</v>
      </c>
      <c r="T78" s="12">
        <f t="shared" ref="T78:AF78" si="42">T38-S38</f>
        <v>274</v>
      </c>
      <c r="U78" s="12">
        <f t="shared" si="42"/>
        <v>0</v>
      </c>
      <c r="V78" s="12">
        <f t="shared" si="42"/>
        <v>0</v>
      </c>
      <c r="W78" s="12">
        <f t="shared" si="42"/>
        <v>472</v>
      </c>
      <c r="X78" s="12">
        <f t="shared" si="42"/>
        <v>504</v>
      </c>
      <c r="Y78" s="12">
        <f t="shared" si="42"/>
        <v>2</v>
      </c>
      <c r="Z78" s="12">
        <f t="shared" si="42"/>
        <v>90</v>
      </c>
      <c r="AA78" s="12">
        <f t="shared" si="42"/>
        <v>265</v>
      </c>
      <c r="AB78" s="12">
        <f t="shared" si="42"/>
        <v>348</v>
      </c>
      <c r="AC78" s="12">
        <f t="shared" si="42"/>
        <v>0</v>
      </c>
      <c r="AD78" s="12">
        <f t="shared" si="42"/>
        <v>107</v>
      </c>
      <c r="AE78" s="12">
        <f t="shared" si="42"/>
        <v>156</v>
      </c>
      <c r="AF78" s="12">
        <f t="shared" si="42"/>
        <v>433</v>
      </c>
    </row>
    <row r="79" spans="1:32" s="130" customFormat="1" x14ac:dyDescent="0.25">
      <c r="A79" s="11" t="s">
        <v>118</v>
      </c>
      <c r="B79" s="247">
        <v>432</v>
      </c>
      <c r="C79" s="12">
        <f t="shared" si="27"/>
        <v>536</v>
      </c>
      <c r="D79" s="12">
        <f t="shared" si="27"/>
        <v>21</v>
      </c>
      <c r="E79" s="12">
        <f t="shared" si="28"/>
        <v>347</v>
      </c>
      <c r="F79" s="12">
        <f t="shared" si="28"/>
        <v>452</v>
      </c>
      <c r="G79" s="12">
        <f t="shared" ref="G79:P79" si="43">G39-F39</f>
        <v>0</v>
      </c>
      <c r="H79" s="12">
        <f t="shared" si="43"/>
        <v>0</v>
      </c>
      <c r="I79" s="12">
        <f t="shared" si="43"/>
        <v>91</v>
      </c>
      <c r="J79" s="12">
        <f t="shared" si="43"/>
        <v>416</v>
      </c>
      <c r="K79" s="12">
        <f t="shared" si="43"/>
        <v>432</v>
      </c>
      <c r="L79" s="12">
        <f t="shared" si="43"/>
        <v>432</v>
      </c>
      <c r="M79" s="12">
        <f t="shared" si="43"/>
        <v>436</v>
      </c>
      <c r="N79" s="12">
        <f t="shared" si="43"/>
        <v>0</v>
      </c>
      <c r="O79" s="12">
        <f t="shared" si="43"/>
        <v>0</v>
      </c>
      <c r="P79" s="12">
        <f t="shared" si="43"/>
        <v>432</v>
      </c>
      <c r="Q79" s="12">
        <f t="shared" si="5"/>
        <v>349</v>
      </c>
      <c r="R79" s="12">
        <f t="shared" si="6"/>
        <v>106</v>
      </c>
      <c r="S79" s="12">
        <f t="shared" si="6"/>
        <v>1</v>
      </c>
      <c r="T79" s="12">
        <f t="shared" ref="T79:AF79" si="44">T39-S39</f>
        <v>383</v>
      </c>
      <c r="U79" s="12">
        <f t="shared" si="44"/>
        <v>0</v>
      </c>
      <c r="V79" s="12">
        <f t="shared" si="44"/>
        <v>0</v>
      </c>
      <c r="W79" s="12">
        <f t="shared" si="44"/>
        <v>262</v>
      </c>
      <c r="X79" s="12">
        <f t="shared" si="44"/>
        <v>415</v>
      </c>
      <c r="Y79" s="12">
        <f t="shared" si="44"/>
        <v>197</v>
      </c>
      <c r="Z79" s="12">
        <f t="shared" si="44"/>
        <v>1</v>
      </c>
      <c r="AA79" s="12">
        <f t="shared" si="44"/>
        <v>156</v>
      </c>
      <c r="AB79" s="12">
        <f t="shared" si="44"/>
        <v>0</v>
      </c>
      <c r="AC79" s="12">
        <f t="shared" si="44"/>
        <v>346</v>
      </c>
      <c r="AD79" s="12">
        <f t="shared" si="44"/>
        <v>89</v>
      </c>
      <c r="AE79" s="12">
        <f t="shared" si="44"/>
        <v>106</v>
      </c>
      <c r="AF79" s="12">
        <f t="shared" si="44"/>
        <v>334</v>
      </c>
    </row>
    <row r="80" spans="1:32" ht="15.75" thickBot="1" x14ac:dyDescent="0.3">
      <c r="A80" s="14"/>
      <c r="B80" s="18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/>
      <c r="AC80" s="130"/>
      <c r="AF80" s="130"/>
    </row>
    <row r="81" spans="1:32" ht="15.75" thickBot="1" x14ac:dyDescent="0.3">
      <c r="A81" s="15" t="s">
        <v>34</v>
      </c>
      <c r="B81" s="16">
        <f t="shared" ref="B81:P81" si="45">SUM(B45:B79)</f>
        <v>5487</v>
      </c>
      <c r="C81" s="16">
        <f t="shared" si="45"/>
        <v>13622</v>
      </c>
      <c r="D81" s="16">
        <f t="shared" si="45"/>
        <v>12824</v>
      </c>
      <c r="E81" s="16">
        <f t="shared" si="45"/>
        <v>12902</v>
      </c>
      <c r="F81" s="16">
        <f t="shared" si="45"/>
        <v>12947</v>
      </c>
      <c r="G81" s="16">
        <f t="shared" si="45"/>
        <v>6373</v>
      </c>
      <c r="H81" s="16">
        <f t="shared" si="45"/>
        <v>4982</v>
      </c>
      <c r="I81" s="16">
        <f t="shared" si="45"/>
        <v>12276</v>
      </c>
      <c r="J81" s="16">
        <f t="shared" si="45"/>
        <v>12060</v>
      </c>
      <c r="K81" s="16">
        <f t="shared" si="45"/>
        <v>12051</v>
      </c>
      <c r="L81" s="16">
        <f t="shared" si="45"/>
        <v>12004</v>
      </c>
      <c r="M81" s="16">
        <f t="shared" si="45"/>
        <v>12183</v>
      </c>
      <c r="N81" s="16">
        <f t="shared" si="45"/>
        <v>6439</v>
      </c>
      <c r="O81" s="16">
        <f t="shared" si="45"/>
        <v>4950</v>
      </c>
      <c r="P81" s="16">
        <f t="shared" si="45"/>
        <v>11512</v>
      </c>
      <c r="Q81" s="16">
        <f>SUM(Q45:Q79)</f>
        <v>11454</v>
      </c>
      <c r="R81" s="16">
        <f t="shared" ref="R81:AE81" si="46">SUM(R45:R79)</f>
        <v>11237</v>
      </c>
      <c r="S81" s="16">
        <f t="shared" si="46"/>
        <v>11425</v>
      </c>
      <c r="T81" s="16">
        <f t="shared" si="46"/>
        <v>11493</v>
      </c>
      <c r="U81" s="16">
        <f t="shared" si="46"/>
        <v>6533</v>
      </c>
      <c r="V81" s="16">
        <f t="shared" si="46"/>
        <v>5119</v>
      </c>
      <c r="W81" s="16">
        <f t="shared" si="46"/>
        <v>10691</v>
      </c>
      <c r="X81" s="16">
        <f t="shared" si="46"/>
        <v>10696</v>
      </c>
      <c r="Y81" s="16">
        <f t="shared" si="46"/>
        <v>10714</v>
      </c>
      <c r="Z81" s="16">
        <f t="shared" si="46"/>
        <v>10801</v>
      </c>
      <c r="AA81" s="16">
        <f t="shared" si="46"/>
        <v>7448</v>
      </c>
      <c r="AB81" s="16">
        <f t="shared" si="46"/>
        <v>5603</v>
      </c>
      <c r="AC81" s="16">
        <f t="shared" si="46"/>
        <v>5100</v>
      </c>
      <c r="AD81" s="16">
        <f t="shared" si="46"/>
        <v>10686</v>
      </c>
      <c r="AE81" s="16">
        <f t="shared" si="46"/>
        <v>10755</v>
      </c>
      <c r="AF81" s="16">
        <f t="shared" ref="AF81" si="47">SUM(AF45:AF79)</f>
        <v>12043</v>
      </c>
    </row>
    <row r="82" spans="1:32" s="130" customFormat="1" x14ac:dyDescent="0.25">
      <c r="A82" s="270"/>
      <c r="B82" s="271"/>
      <c r="C82" s="271"/>
      <c r="D82" s="271"/>
      <c r="E82" s="271"/>
      <c r="F82" s="271"/>
      <c r="G82" s="271"/>
      <c r="H82" s="271"/>
      <c r="I82" s="271"/>
      <c r="J82" s="271"/>
      <c r="K82" s="271"/>
      <c r="L82" s="271"/>
      <c r="M82" s="271"/>
      <c r="N82" s="271"/>
      <c r="O82" s="271"/>
      <c r="P82" s="271"/>
      <c r="Q82" s="271"/>
      <c r="R82" s="271"/>
      <c r="S82" s="271"/>
      <c r="T82" s="271"/>
      <c r="U82" s="271"/>
      <c r="V82" s="271"/>
      <c r="W82" s="271"/>
      <c r="X82" s="271"/>
      <c r="Y82" s="271"/>
      <c r="Z82" s="271"/>
      <c r="AA82" s="271"/>
      <c r="AB82" s="271"/>
      <c r="AC82" s="271"/>
      <c r="AD82" s="271"/>
      <c r="AE82" s="271"/>
    </row>
    <row r="85" spans="1:32" ht="15.75" thickBot="1" x14ac:dyDescent="0.3"/>
    <row r="86" spans="1:32" ht="15.75" thickBot="1" x14ac:dyDescent="0.3">
      <c r="Q86" s="313"/>
      <c r="R86" s="313"/>
      <c r="S86" s="313"/>
      <c r="T86" s="313"/>
      <c r="U86" s="313"/>
      <c r="V86" s="313"/>
      <c r="W86" s="313"/>
      <c r="X86" s="313"/>
    </row>
    <row r="87" spans="1:32" ht="15.75" thickBot="1" x14ac:dyDescent="0.3">
      <c r="Q87" s="313"/>
      <c r="R87" s="313"/>
      <c r="S87" s="313"/>
      <c r="T87" s="313"/>
      <c r="U87" s="313"/>
      <c r="V87" s="313"/>
      <c r="W87" s="313"/>
      <c r="X87" s="313"/>
    </row>
    <row r="88" spans="1:32" ht="15.75" thickBot="1" x14ac:dyDescent="0.3">
      <c r="Q88" s="313"/>
      <c r="R88" s="313"/>
      <c r="S88" s="313"/>
      <c r="T88" s="313"/>
      <c r="U88" s="313"/>
      <c r="V88" s="313"/>
      <c r="W88" s="313"/>
      <c r="X88" s="313"/>
    </row>
    <row r="89" spans="1:32" ht="15.75" thickBot="1" x14ac:dyDescent="0.3">
      <c r="Q89" s="313"/>
      <c r="R89" s="313"/>
      <c r="S89" s="313"/>
      <c r="T89" s="313"/>
      <c r="U89" s="313"/>
      <c r="V89" s="313"/>
      <c r="W89" s="313"/>
      <c r="X89" s="313"/>
    </row>
    <row r="90" spans="1:32" ht="15.75" thickBot="1" x14ac:dyDescent="0.3">
      <c r="Q90" s="313"/>
      <c r="R90" s="313"/>
      <c r="S90" s="313"/>
      <c r="T90" s="313"/>
      <c r="U90" s="313"/>
      <c r="V90" s="313"/>
      <c r="W90" s="313"/>
      <c r="X90" s="313"/>
    </row>
    <row r="91" spans="1:32" ht="15.75" thickBot="1" x14ac:dyDescent="0.3">
      <c r="Q91" s="313"/>
      <c r="R91" s="313"/>
      <c r="S91" s="313"/>
      <c r="T91" s="313"/>
      <c r="U91" s="313"/>
      <c r="V91" s="313"/>
      <c r="W91" s="313"/>
      <c r="X91" s="313"/>
    </row>
    <row r="92" spans="1:32" ht="15.75" thickBot="1" x14ac:dyDescent="0.3">
      <c r="Q92" s="313"/>
      <c r="R92" s="313"/>
      <c r="S92" s="313"/>
      <c r="T92" s="313"/>
      <c r="U92" s="313"/>
      <c r="V92" s="313"/>
      <c r="W92" s="313"/>
      <c r="X92" s="313"/>
    </row>
    <row r="93" spans="1:32" ht="15.75" thickBot="1" x14ac:dyDescent="0.3">
      <c r="Q93" s="313"/>
      <c r="R93" s="313"/>
      <c r="S93" s="313"/>
      <c r="T93" s="313"/>
      <c r="U93" s="313"/>
      <c r="V93" s="313"/>
      <c r="W93" s="313"/>
      <c r="X93" s="313"/>
    </row>
    <row r="94" spans="1:32" ht="15.75" thickBot="1" x14ac:dyDescent="0.3">
      <c r="Q94" s="313"/>
      <c r="R94" s="313"/>
      <c r="S94" s="313"/>
      <c r="T94" s="313"/>
      <c r="U94" s="313"/>
      <c r="V94" s="313"/>
      <c r="W94" s="313"/>
      <c r="X94" s="313"/>
    </row>
    <row r="95" spans="1:32" ht="15.75" thickBot="1" x14ac:dyDescent="0.3">
      <c r="Q95" s="313"/>
      <c r="R95" s="313"/>
      <c r="S95" s="313"/>
      <c r="T95" s="313"/>
      <c r="U95" s="313"/>
      <c r="V95" s="313"/>
      <c r="W95" s="313"/>
      <c r="X95" s="313"/>
    </row>
    <row r="96" spans="1:32" ht="15.75" thickBot="1" x14ac:dyDescent="0.3">
      <c r="Q96" s="313"/>
      <c r="R96" s="313"/>
      <c r="S96" s="313"/>
      <c r="T96" s="313"/>
      <c r="U96" s="313"/>
      <c r="V96" s="313"/>
      <c r="W96" s="313"/>
      <c r="X96" s="313"/>
    </row>
    <row r="97" spans="17:24" ht="15.75" thickBot="1" x14ac:dyDescent="0.3">
      <c r="Q97" s="313"/>
      <c r="R97" s="313"/>
      <c r="S97" s="313"/>
      <c r="T97" s="313"/>
      <c r="U97" s="313"/>
      <c r="V97" s="313"/>
      <c r="W97" s="313"/>
      <c r="X97" s="313"/>
    </row>
    <row r="98" spans="17:24" ht="15.75" thickBot="1" x14ac:dyDescent="0.3">
      <c r="Q98" s="313"/>
      <c r="R98" s="313"/>
      <c r="S98" s="313"/>
      <c r="T98" s="313"/>
      <c r="U98" s="313"/>
      <c r="V98" s="313"/>
      <c r="W98" s="313"/>
      <c r="X98" s="313"/>
    </row>
    <row r="99" spans="17:24" ht="15.75" thickBot="1" x14ac:dyDescent="0.3">
      <c r="Q99" s="313"/>
      <c r="R99" s="313"/>
      <c r="S99" s="313"/>
      <c r="T99" s="313"/>
      <c r="U99" s="313"/>
      <c r="V99" s="313"/>
      <c r="W99" s="313"/>
      <c r="X99" s="313"/>
    </row>
    <row r="100" spans="17:24" ht="15.75" thickBot="1" x14ac:dyDescent="0.3">
      <c r="Q100" s="313"/>
      <c r="R100" s="313"/>
      <c r="S100" s="313"/>
      <c r="T100" s="313"/>
      <c r="U100" s="313"/>
      <c r="V100" s="313"/>
      <c r="W100" s="313"/>
      <c r="X100" s="313"/>
    </row>
    <row r="101" spans="17:24" ht="15.75" thickBot="1" x14ac:dyDescent="0.3">
      <c r="Q101" s="313"/>
      <c r="R101" s="313"/>
      <c r="S101" s="313"/>
      <c r="T101" s="313"/>
      <c r="U101" s="313"/>
      <c r="V101" s="313"/>
      <c r="W101" s="313"/>
      <c r="X101" s="313"/>
    </row>
    <row r="102" spans="17:24" ht="15.75" thickBot="1" x14ac:dyDescent="0.3">
      <c r="Q102" s="313"/>
      <c r="R102" s="313"/>
      <c r="S102" s="313"/>
      <c r="T102" s="313"/>
      <c r="U102" s="313"/>
      <c r="V102" s="313"/>
      <c r="W102" s="313"/>
      <c r="X102" s="313"/>
    </row>
    <row r="103" spans="17:24" ht="15.75" thickBot="1" x14ac:dyDescent="0.3">
      <c r="Q103" s="313"/>
      <c r="R103" s="313"/>
      <c r="S103" s="313"/>
      <c r="T103" s="313"/>
      <c r="U103" s="313"/>
      <c r="V103" s="313"/>
      <c r="W103" s="313"/>
      <c r="X103" s="313"/>
    </row>
    <row r="104" spans="17:24" ht="15.75" thickBot="1" x14ac:dyDescent="0.3">
      <c r="Q104" s="313"/>
      <c r="R104" s="313"/>
      <c r="S104" s="313"/>
      <c r="T104" s="313"/>
      <c r="U104" s="313"/>
      <c r="V104" s="313"/>
      <c r="W104" s="313"/>
      <c r="X104" s="313"/>
    </row>
    <row r="105" spans="17:24" ht="15.75" thickBot="1" x14ac:dyDescent="0.3">
      <c r="Q105" s="313"/>
      <c r="R105" s="313"/>
      <c r="S105" s="313"/>
      <c r="T105" s="313"/>
      <c r="U105" s="313"/>
      <c r="V105" s="313"/>
      <c r="W105" s="313"/>
      <c r="X105" s="313"/>
    </row>
    <row r="106" spans="17:24" ht="15.75" thickBot="1" x14ac:dyDescent="0.3">
      <c r="Q106" s="313"/>
      <c r="R106" s="313"/>
      <c r="S106" s="313"/>
      <c r="T106" s="313"/>
      <c r="U106" s="313"/>
      <c r="V106" s="313"/>
      <c r="W106" s="313"/>
      <c r="X106" s="313"/>
    </row>
    <row r="107" spans="17:24" ht="15.75" thickBot="1" x14ac:dyDescent="0.3">
      <c r="Q107" s="313"/>
      <c r="R107" s="313"/>
      <c r="S107" s="313"/>
      <c r="T107" s="313"/>
      <c r="U107" s="313"/>
      <c r="V107" s="313"/>
      <c r="W107" s="313"/>
      <c r="X107" s="313"/>
    </row>
    <row r="108" spans="17:24" ht="15.75" thickBot="1" x14ac:dyDescent="0.3">
      <c r="Q108" s="313"/>
      <c r="R108" s="313"/>
      <c r="S108" s="313"/>
      <c r="T108" s="313"/>
      <c r="U108" s="313"/>
      <c r="V108" s="313"/>
      <c r="W108" s="313"/>
      <c r="X108" s="313"/>
    </row>
    <row r="109" spans="17:24" ht="15.75" thickBot="1" x14ac:dyDescent="0.3">
      <c r="Q109" s="313"/>
      <c r="R109" s="313"/>
      <c r="S109" s="313"/>
      <c r="T109" s="313"/>
      <c r="U109" s="313"/>
      <c r="V109" s="313"/>
      <c r="W109" s="313"/>
      <c r="X109" s="313"/>
    </row>
    <row r="110" spans="17:24" ht="15.75" thickBot="1" x14ac:dyDescent="0.3">
      <c r="Q110" s="313"/>
      <c r="R110" s="313"/>
      <c r="S110" s="313"/>
      <c r="T110" s="313"/>
      <c r="U110" s="313"/>
      <c r="V110" s="313"/>
      <c r="W110" s="313"/>
      <c r="X110" s="313"/>
    </row>
    <row r="111" spans="17:24" ht="15.75" thickBot="1" x14ac:dyDescent="0.3">
      <c r="Q111" s="313"/>
      <c r="R111" s="313"/>
      <c r="S111" s="313"/>
      <c r="T111" s="313"/>
      <c r="U111" s="313"/>
      <c r="V111" s="313"/>
      <c r="W111" s="313"/>
      <c r="X111" s="313"/>
    </row>
    <row r="112" spans="17:24" ht="15.75" thickBot="1" x14ac:dyDescent="0.3">
      <c r="Q112" s="313"/>
      <c r="R112" s="313"/>
      <c r="S112" s="313"/>
      <c r="T112" s="313"/>
      <c r="U112" s="313"/>
      <c r="V112" s="313"/>
      <c r="W112" s="313"/>
      <c r="X112" s="313"/>
    </row>
    <row r="113" spans="17:24" ht="15.75" thickBot="1" x14ac:dyDescent="0.3">
      <c r="Q113" s="313"/>
      <c r="R113" s="313"/>
      <c r="S113" s="313"/>
      <c r="T113" s="313"/>
      <c r="U113" s="313"/>
      <c r="V113" s="313"/>
      <c r="W113" s="313"/>
      <c r="X113" s="313"/>
    </row>
    <row r="114" spans="17:24" ht="15.75" thickBot="1" x14ac:dyDescent="0.3">
      <c r="Q114" s="313"/>
      <c r="R114" s="313"/>
      <c r="S114" s="313"/>
      <c r="T114" s="313"/>
      <c r="U114" s="313"/>
      <c r="V114" s="313"/>
      <c r="W114" s="313"/>
      <c r="X114" s="313"/>
    </row>
    <row r="115" spans="17:24" ht="15.75" thickBot="1" x14ac:dyDescent="0.3">
      <c r="Q115" s="313"/>
      <c r="R115" s="313"/>
      <c r="S115" s="313"/>
      <c r="T115" s="313"/>
      <c r="U115" s="313"/>
      <c r="V115" s="313"/>
      <c r="W115" s="313"/>
      <c r="X115" s="313"/>
    </row>
    <row r="116" spans="17:24" ht="15.75" thickBot="1" x14ac:dyDescent="0.3">
      <c r="Q116" s="313"/>
      <c r="R116" s="313"/>
      <c r="S116" s="313"/>
      <c r="T116" s="313"/>
      <c r="U116" s="313"/>
      <c r="V116" s="313"/>
      <c r="W116" s="313"/>
      <c r="X116" s="313"/>
    </row>
    <row r="117" spans="17:24" ht="15.75" thickBot="1" x14ac:dyDescent="0.3">
      <c r="Q117" s="313"/>
      <c r="R117" s="313"/>
      <c r="S117" s="313"/>
      <c r="T117" s="313"/>
      <c r="U117" s="313"/>
      <c r="V117" s="313"/>
      <c r="W117" s="313"/>
      <c r="X117" s="313"/>
    </row>
    <row r="118" spans="17:24" ht="15.75" thickBot="1" x14ac:dyDescent="0.3">
      <c r="Q118" s="313"/>
      <c r="R118" s="313"/>
      <c r="S118" s="313"/>
      <c r="T118" s="313"/>
      <c r="U118" s="313"/>
      <c r="V118" s="313"/>
      <c r="W118" s="313"/>
      <c r="X118" s="313"/>
    </row>
    <row r="119" spans="17:24" ht="15.75" thickBot="1" x14ac:dyDescent="0.3">
      <c r="Q119" s="313"/>
      <c r="R119" s="313"/>
      <c r="S119" s="313"/>
      <c r="T119" s="313"/>
      <c r="U119" s="313"/>
      <c r="V119" s="313"/>
      <c r="W119" s="313"/>
      <c r="X119" s="313"/>
    </row>
    <row r="120" spans="17:24" ht="15.75" thickBot="1" x14ac:dyDescent="0.3">
      <c r="Q120" s="314"/>
      <c r="R120" s="314"/>
      <c r="S120" s="314"/>
      <c r="T120" s="314"/>
      <c r="U120" s="314"/>
      <c r="V120" s="314"/>
      <c r="W120" s="314"/>
      <c r="X120" s="315"/>
    </row>
  </sheetData>
  <dataConsolidate>
    <dataRefs count="2">
      <dataRef ref="B38:B64" sheet="Odometro-Kilometraje" r:id="rId1"/>
      <dataRef ref="D38:D64" sheet="Odometro-Kilometraje" r:id="rId2"/>
    </dataRefs>
  </dataConsolidate>
  <mergeCells count="2">
    <mergeCell ref="A1:AC1"/>
    <mergeCell ref="A41:AC41"/>
  </mergeCell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L244"/>
  <sheetViews>
    <sheetView tabSelected="1" zoomScaleNormal="100" workbookViewId="0">
      <pane ySplit="4" topLeftCell="A203" activePane="bottomLeft" state="frozen"/>
      <selection pane="bottomLeft" activeCell="B5" sqref="B5:C11"/>
    </sheetView>
  </sheetViews>
  <sheetFormatPr baseColWidth="10" defaultColWidth="11.5703125" defaultRowHeight="15" x14ac:dyDescent="0.25"/>
  <cols>
    <col min="1" max="1" width="23.85546875" customWidth="1"/>
    <col min="2" max="2" width="11.7109375" customWidth="1"/>
    <col min="3" max="3" width="10.85546875" customWidth="1"/>
    <col min="4" max="4" width="10.28515625" customWidth="1"/>
    <col min="5" max="5" width="14.28515625" customWidth="1"/>
    <col min="6" max="6" width="13" customWidth="1"/>
    <col min="7" max="7" width="16" customWidth="1"/>
    <col min="8" max="8" width="13.28515625" customWidth="1"/>
    <col min="11" max="11" width="14.140625" customWidth="1"/>
    <col min="13" max="13" width="15.140625" customWidth="1"/>
    <col min="15" max="15" width="12" customWidth="1"/>
    <col min="16" max="16" width="6.7109375" customWidth="1"/>
    <col min="17" max="17" width="6.28515625" customWidth="1"/>
    <col min="18" max="18" width="6" style="130" customWidth="1"/>
    <col min="19" max="19" width="4.140625" customWidth="1"/>
    <col min="20" max="20" width="3.85546875" customWidth="1"/>
    <col min="21" max="21" width="3.85546875" style="130" customWidth="1"/>
  </cols>
  <sheetData>
    <row r="1" spans="1:22" x14ac:dyDescent="0.25">
      <c r="A1" s="17"/>
      <c r="B1" s="18"/>
      <c r="C1" s="18"/>
      <c r="D1" s="18"/>
      <c r="E1" s="18"/>
      <c r="F1" s="18"/>
      <c r="G1" s="165" t="s">
        <v>125</v>
      </c>
      <c r="H1" s="165">
        <v>21.7</v>
      </c>
      <c r="I1" s="165" t="s">
        <v>35</v>
      </c>
      <c r="J1" s="165">
        <v>25.4</v>
      </c>
      <c r="K1" s="165" t="s">
        <v>36</v>
      </c>
      <c r="L1" s="165">
        <v>29.11</v>
      </c>
      <c r="M1" s="165" t="s">
        <v>119</v>
      </c>
      <c r="N1" s="165">
        <v>21.7</v>
      </c>
      <c r="O1" s="258" t="s">
        <v>163</v>
      </c>
      <c r="P1" s="281">
        <v>8.3000000000000007</v>
      </c>
      <c r="Q1" s="258" t="s">
        <v>164</v>
      </c>
      <c r="R1" s="281">
        <v>34.83</v>
      </c>
    </row>
    <row r="2" spans="1:22" ht="15.75" thickBot="1" x14ac:dyDescent="0.3">
      <c r="A2" s="17"/>
      <c r="B2" s="338" t="s">
        <v>37</v>
      </c>
      <c r="C2" s="338"/>
      <c r="D2" s="339" t="s">
        <v>37</v>
      </c>
      <c r="E2" s="339"/>
      <c r="F2" s="41"/>
      <c r="G2" s="221" t="s">
        <v>150</v>
      </c>
      <c r="H2" s="221">
        <v>30.4</v>
      </c>
      <c r="I2" s="165" t="s">
        <v>121</v>
      </c>
      <c r="J2" s="165">
        <v>25.4</v>
      </c>
      <c r="K2" s="165" t="s">
        <v>38</v>
      </c>
      <c r="L2" s="165">
        <v>43.13</v>
      </c>
      <c r="M2" s="165" t="s">
        <v>110</v>
      </c>
      <c r="N2" s="165">
        <v>35.729999999999997</v>
      </c>
      <c r="O2" s="258" t="s">
        <v>156</v>
      </c>
      <c r="P2" s="256">
        <v>33.97</v>
      </c>
      <c r="Q2" s="258" t="s">
        <v>169</v>
      </c>
      <c r="R2" s="310">
        <v>7.4</v>
      </c>
    </row>
    <row r="3" spans="1:22" ht="14.1" customHeight="1" x14ac:dyDescent="0.25">
      <c r="A3" s="17"/>
      <c r="B3" s="338" t="s">
        <v>39</v>
      </c>
      <c r="C3" s="338"/>
      <c r="D3" s="339" t="s">
        <v>40</v>
      </c>
      <c r="E3" s="339"/>
      <c r="F3" s="340" t="s">
        <v>41</v>
      </c>
      <c r="G3" s="340" t="s">
        <v>42</v>
      </c>
      <c r="H3" s="340" t="s">
        <v>43</v>
      </c>
      <c r="I3" s="340" t="s">
        <v>44</v>
      </c>
      <c r="J3" s="340" t="s">
        <v>45</v>
      </c>
      <c r="K3" s="340" t="s">
        <v>46</v>
      </c>
      <c r="L3" s="340" t="s">
        <v>47</v>
      </c>
      <c r="M3" s="352" t="s">
        <v>48</v>
      </c>
      <c r="N3" s="352" t="s">
        <v>49</v>
      </c>
      <c r="O3" s="351"/>
      <c r="P3" s="353" t="s">
        <v>142</v>
      </c>
      <c r="Q3" s="354"/>
      <c r="R3" s="355"/>
      <c r="S3" s="327" t="s">
        <v>145</v>
      </c>
      <c r="T3" s="328"/>
      <c r="U3" s="329"/>
      <c r="V3" s="349" t="s">
        <v>146</v>
      </c>
    </row>
    <row r="4" spans="1:22" ht="17.25" customHeight="1" thickBot="1" x14ac:dyDescent="0.3">
      <c r="A4" s="17"/>
      <c r="B4" s="42" t="s">
        <v>50</v>
      </c>
      <c r="C4" s="42" t="s">
        <v>51</v>
      </c>
      <c r="D4" s="43" t="s">
        <v>50</v>
      </c>
      <c r="E4" s="43" t="s">
        <v>51</v>
      </c>
      <c r="F4" s="340"/>
      <c r="G4" s="341"/>
      <c r="H4" s="340"/>
      <c r="I4" s="340"/>
      <c r="J4" s="340"/>
      <c r="K4" s="340"/>
      <c r="L4" s="340"/>
      <c r="M4" s="352"/>
      <c r="N4" s="352"/>
      <c r="O4" s="351"/>
      <c r="P4" s="207" t="s">
        <v>143</v>
      </c>
      <c r="Q4" s="208" t="s">
        <v>144</v>
      </c>
      <c r="R4" s="208" t="s">
        <v>149</v>
      </c>
      <c r="S4" s="209" t="s">
        <v>143</v>
      </c>
      <c r="T4" s="261" t="s">
        <v>144</v>
      </c>
      <c r="U4" s="262" t="s">
        <v>149</v>
      </c>
      <c r="V4" s="350"/>
    </row>
    <row r="5" spans="1:22" x14ac:dyDescent="0.25">
      <c r="A5" s="219">
        <v>45292</v>
      </c>
      <c r="B5" s="238">
        <v>51</v>
      </c>
      <c r="C5" s="238">
        <v>3</v>
      </c>
      <c r="D5" s="144">
        <f>'Data Ocupacion'!D33</f>
        <v>51</v>
      </c>
      <c r="E5" s="144">
        <v>3</v>
      </c>
      <c r="F5" s="238" t="s">
        <v>38</v>
      </c>
      <c r="G5" s="238">
        <f t="shared" ref="G5:G11" si="0">D5+E5*2</f>
        <v>57</v>
      </c>
      <c r="H5" s="238">
        <f t="shared" ref="H5:H11" si="1">D5+E5</f>
        <v>54</v>
      </c>
      <c r="I5" s="238">
        <f>G5*L$2</f>
        <v>2458.4100000000003</v>
      </c>
      <c r="J5" s="161">
        <f>H5*L$2</f>
        <v>2329.02</v>
      </c>
      <c r="K5" s="238">
        <f t="shared" ref="K5:K11" si="2">I5*104</f>
        <v>255674.64000000004</v>
      </c>
      <c r="L5" s="238">
        <f t="shared" ref="L5:L11" si="3">H5*104</f>
        <v>5616</v>
      </c>
      <c r="M5" s="19"/>
      <c r="N5" s="19"/>
      <c r="O5" s="153"/>
      <c r="P5" s="194"/>
      <c r="Q5" s="194"/>
      <c r="R5" s="222"/>
      <c r="S5" s="203"/>
      <c r="T5" s="204"/>
      <c r="U5" s="252"/>
      <c r="V5" s="193">
        <f>I5-(P5*($L$2-$J$1)+(Q5*($L$2-$L$1))+  (R5*($L$2-$H$2)))</f>
        <v>2458.4100000000003</v>
      </c>
    </row>
    <row r="6" spans="1:22" s="130" customFormat="1" x14ac:dyDescent="0.25">
      <c r="A6" s="323"/>
      <c r="B6" s="238">
        <v>0</v>
      </c>
      <c r="C6" s="238">
        <v>1</v>
      </c>
      <c r="D6" s="144">
        <v>0</v>
      </c>
      <c r="E6" s="144">
        <v>1</v>
      </c>
      <c r="F6" s="238" t="s">
        <v>157</v>
      </c>
      <c r="G6" s="238">
        <f t="shared" si="0"/>
        <v>2</v>
      </c>
      <c r="H6" s="238">
        <f t="shared" si="1"/>
        <v>1</v>
      </c>
      <c r="I6" s="238">
        <f>G6*N$2</f>
        <v>71.459999999999994</v>
      </c>
      <c r="J6" s="161">
        <f>H6*N$2</f>
        <v>35.729999999999997</v>
      </c>
      <c r="K6" s="238">
        <f t="shared" si="2"/>
        <v>7431.8399999999992</v>
      </c>
      <c r="L6" s="238">
        <f t="shared" si="3"/>
        <v>104</v>
      </c>
      <c r="M6" s="19"/>
      <c r="N6" s="19"/>
      <c r="O6" s="153"/>
      <c r="P6" s="321"/>
      <c r="Q6" s="321"/>
      <c r="R6" s="322"/>
      <c r="S6" s="203"/>
      <c r="T6" s="204"/>
      <c r="U6" s="252"/>
      <c r="V6" s="193">
        <f>I6-(P6*($L$2-$J$1)+(Q6*($L$2-$L$1))+  (R6*($L$2-$H$2)))</f>
        <v>71.459999999999994</v>
      </c>
    </row>
    <row r="7" spans="1:22" ht="15" customHeight="1" x14ac:dyDescent="0.25">
      <c r="A7" s="334" t="s">
        <v>170</v>
      </c>
      <c r="B7" s="238">
        <v>55</v>
      </c>
      <c r="C7" s="238">
        <v>2</v>
      </c>
      <c r="D7" s="144">
        <f>'Data Ocupacion'!D34</f>
        <v>55</v>
      </c>
      <c r="E7" s="144">
        <f>'Data Ocupacion'!E34</f>
        <v>2</v>
      </c>
      <c r="F7" s="238" t="s">
        <v>52</v>
      </c>
      <c r="G7" s="238">
        <f t="shared" si="0"/>
        <v>59</v>
      </c>
      <c r="H7" s="238">
        <f t="shared" si="1"/>
        <v>57</v>
      </c>
      <c r="I7" s="238">
        <f>G7*L$2</f>
        <v>2544.67</v>
      </c>
      <c r="J7" s="161">
        <f>H7*L$2</f>
        <v>2458.4100000000003</v>
      </c>
      <c r="K7" s="238">
        <f t="shared" si="2"/>
        <v>264645.68</v>
      </c>
      <c r="L7" s="238">
        <f t="shared" si="3"/>
        <v>5928</v>
      </c>
      <c r="M7" s="19"/>
      <c r="N7" s="19"/>
      <c r="O7" s="153"/>
      <c r="P7" s="199"/>
      <c r="Q7" s="199"/>
      <c r="R7" s="199"/>
      <c r="S7" s="194"/>
      <c r="T7" s="220"/>
      <c r="U7" s="253"/>
      <c r="V7" s="197">
        <f>I7-(S7*($L$2-$J$1)+(T7*($L$2-$L$1)))</f>
        <v>2544.67</v>
      </c>
    </row>
    <row r="8" spans="1:22" ht="15" customHeight="1" x14ac:dyDescent="0.25">
      <c r="A8" s="334"/>
      <c r="B8" s="238">
        <v>0</v>
      </c>
      <c r="C8" s="238">
        <v>0</v>
      </c>
      <c r="D8" s="144">
        <f>'Data Ocupacion'!D35</f>
        <v>0</v>
      </c>
      <c r="E8" s="144">
        <f>'Data Ocupacion'!E35</f>
        <v>0</v>
      </c>
      <c r="F8" s="238" t="s">
        <v>36</v>
      </c>
      <c r="G8" s="238">
        <f t="shared" si="0"/>
        <v>0</v>
      </c>
      <c r="H8" s="238">
        <f t="shared" si="1"/>
        <v>0</v>
      </c>
      <c r="I8" s="238">
        <f>G8*L$1</f>
        <v>0</v>
      </c>
      <c r="J8" s="161">
        <f>H8*L$1</f>
        <v>0</v>
      </c>
      <c r="K8" s="238">
        <f t="shared" si="2"/>
        <v>0</v>
      </c>
      <c r="L8" s="238">
        <f t="shared" si="3"/>
        <v>0</v>
      </c>
      <c r="M8" s="19"/>
      <c r="N8" s="19"/>
      <c r="O8" s="153"/>
      <c r="P8" s="198"/>
      <c r="Q8" s="200"/>
      <c r="R8" s="223"/>
      <c r="S8" s="201"/>
      <c r="T8" s="202"/>
      <c r="U8" s="202"/>
      <c r="V8" s="193">
        <f>I8-(P8*($L$1-$J$1))</f>
        <v>0</v>
      </c>
    </row>
    <row r="9" spans="1:22" ht="15" customHeight="1" x14ac:dyDescent="0.25">
      <c r="A9" s="334"/>
      <c r="B9" s="238">
        <v>0</v>
      </c>
      <c r="C9" s="238">
        <v>0</v>
      </c>
      <c r="D9" s="144">
        <f>'Data Ocupacion'!D36</f>
        <v>0</v>
      </c>
      <c r="E9" s="144">
        <f>'Data Ocupacion'!E36</f>
        <v>0</v>
      </c>
      <c r="F9" s="238" t="s">
        <v>53</v>
      </c>
      <c r="G9" s="238">
        <f t="shared" si="0"/>
        <v>0</v>
      </c>
      <c r="H9" s="238">
        <f t="shared" si="1"/>
        <v>0</v>
      </c>
      <c r="I9" s="238">
        <f>G9*L$1</f>
        <v>0</v>
      </c>
      <c r="J9" s="161">
        <f>H9*L$1</f>
        <v>0</v>
      </c>
      <c r="K9" s="238">
        <f t="shared" si="2"/>
        <v>0</v>
      </c>
      <c r="L9" s="238">
        <f t="shared" si="3"/>
        <v>0</v>
      </c>
      <c r="M9" s="19"/>
      <c r="N9" s="19"/>
      <c r="O9" s="153"/>
      <c r="P9" s="202"/>
      <c r="Q9" s="202"/>
      <c r="R9" s="202"/>
      <c r="S9" s="202"/>
      <c r="T9" s="202"/>
      <c r="U9" s="202"/>
      <c r="V9" s="193">
        <f t="shared" ref="V9:V10" si="4">I9</f>
        <v>0</v>
      </c>
    </row>
    <row r="10" spans="1:22" s="130" customFormat="1" ht="15" customHeight="1" x14ac:dyDescent="0.25">
      <c r="A10" s="334"/>
      <c r="B10" s="238">
        <v>0</v>
      </c>
      <c r="C10" s="238">
        <v>0</v>
      </c>
      <c r="D10" s="144">
        <f>'Data Ocupacion'!D37</f>
        <v>0</v>
      </c>
      <c r="E10" s="144">
        <f>'Data Ocupacion'!E37</f>
        <v>0</v>
      </c>
      <c r="F10" s="238" t="s">
        <v>122</v>
      </c>
      <c r="G10" s="238">
        <f t="shared" si="0"/>
        <v>0</v>
      </c>
      <c r="H10" s="238">
        <f t="shared" si="1"/>
        <v>0</v>
      </c>
      <c r="I10" s="238">
        <f>G10*J$1</f>
        <v>0</v>
      </c>
      <c r="J10" s="161">
        <f>H10*J$1</f>
        <v>0</v>
      </c>
      <c r="K10" s="238">
        <f t="shared" si="2"/>
        <v>0</v>
      </c>
      <c r="L10" s="238">
        <f t="shared" si="3"/>
        <v>0</v>
      </c>
      <c r="M10" s="19"/>
      <c r="N10" s="19"/>
      <c r="O10" s="153"/>
      <c r="P10" s="202"/>
      <c r="Q10" s="202"/>
      <c r="R10" s="202"/>
      <c r="S10" s="202"/>
      <c r="T10" s="202"/>
      <c r="U10" s="202"/>
      <c r="V10" s="193">
        <f t="shared" si="4"/>
        <v>0</v>
      </c>
    </row>
    <row r="11" spans="1:22" ht="15.95" customHeight="1" thickBot="1" x14ac:dyDescent="0.3">
      <c r="A11" s="334"/>
      <c r="B11" s="238">
        <v>0</v>
      </c>
      <c r="C11" s="238">
        <v>0</v>
      </c>
      <c r="D11" s="144">
        <f>'Data Ocupacion'!D38</f>
        <v>0</v>
      </c>
      <c r="E11" s="144">
        <f>'Data Ocupacion'!E38</f>
        <v>0</v>
      </c>
      <c r="F11" s="238" t="s">
        <v>35</v>
      </c>
      <c r="G11" s="238">
        <f t="shared" si="0"/>
        <v>0</v>
      </c>
      <c r="H11" s="238">
        <f t="shared" si="1"/>
        <v>0</v>
      </c>
      <c r="I11" s="238">
        <f>G11*J$1</f>
        <v>0</v>
      </c>
      <c r="J11" s="161">
        <f>H11*J$1</f>
        <v>0</v>
      </c>
      <c r="K11" s="238">
        <f t="shared" si="2"/>
        <v>0</v>
      </c>
      <c r="L11" s="238">
        <f t="shared" si="3"/>
        <v>0</v>
      </c>
      <c r="M11" s="19"/>
      <c r="N11" s="19"/>
      <c r="O11" s="153"/>
      <c r="P11" s="202"/>
      <c r="Q11" s="202"/>
      <c r="R11" s="202"/>
      <c r="S11" s="202"/>
      <c r="T11" s="202"/>
      <c r="U11" s="202"/>
      <c r="V11" s="193">
        <f>I11</f>
        <v>0</v>
      </c>
    </row>
    <row r="12" spans="1:22" ht="15.75" thickBot="1" x14ac:dyDescent="0.3">
      <c r="A12" s="20"/>
      <c r="B12" s="237">
        <f>SUM(B5:B11)</f>
        <v>106</v>
      </c>
      <c r="C12" s="237">
        <f>SUM(C5:C11)</f>
        <v>6</v>
      </c>
      <c r="D12" s="160">
        <f>SUM(D5:D11)</f>
        <v>106</v>
      </c>
      <c r="E12" s="160">
        <f>SUM(E5:E11)</f>
        <v>6</v>
      </c>
      <c r="F12" s="124"/>
      <c r="G12" s="124">
        <f t="shared" ref="G12:L12" si="5">SUM(G5:G11)</f>
        <v>118</v>
      </c>
      <c r="H12" s="124">
        <f t="shared" si="5"/>
        <v>112</v>
      </c>
      <c r="I12" s="125">
        <f t="shared" si="5"/>
        <v>5074.5400000000009</v>
      </c>
      <c r="J12" s="124">
        <f t="shared" si="5"/>
        <v>4823.16</v>
      </c>
      <c r="K12" s="123">
        <f t="shared" si="5"/>
        <v>527752.16</v>
      </c>
      <c r="L12" s="159">
        <f t="shared" si="5"/>
        <v>11648</v>
      </c>
      <c r="M12" s="129">
        <f>'Odometro-Kilometraje'!B81</f>
        <v>5487</v>
      </c>
      <c r="N12" s="21">
        <f>(V12/M12)*100</f>
        <v>92.482959722981605</v>
      </c>
      <c r="O12" s="205"/>
      <c r="P12" s="192"/>
      <c r="Q12" s="192"/>
      <c r="R12" s="192"/>
      <c r="S12" s="192"/>
      <c r="T12" s="192"/>
      <c r="U12" s="192"/>
      <c r="V12" s="206">
        <f>SUM(V5:V11)</f>
        <v>5074.5400000000009</v>
      </c>
    </row>
    <row r="13" spans="1:22" x14ac:dyDescent="0.25">
      <c r="A13" s="62">
        <f>A5+1</f>
        <v>45293</v>
      </c>
      <c r="B13" s="131">
        <v>12</v>
      </c>
      <c r="C13" s="131">
        <v>70</v>
      </c>
      <c r="D13" s="132">
        <f>'Data Ocupacion'!F33</f>
        <v>12</v>
      </c>
      <c r="E13" s="132">
        <f>'Data Ocupacion'!G33</f>
        <v>70</v>
      </c>
      <c r="F13" s="131" t="s">
        <v>38</v>
      </c>
      <c r="G13" s="131">
        <f t="shared" ref="G13:G18" si="6">D13+E13*2</f>
        <v>152</v>
      </c>
      <c r="H13" s="131">
        <f t="shared" ref="H13:H18" si="7">D13+E13</f>
        <v>82</v>
      </c>
      <c r="I13" s="131">
        <f>G13*L$2</f>
        <v>6555.76</v>
      </c>
      <c r="J13" s="161">
        <f>H13*L$2</f>
        <v>3536.6600000000003</v>
      </c>
      <c r="K13" s="131">
        <f t="shared" ref="K13:K18" si="8">I13*104</f>
        <v>681799.04</v>
      </c>
      <c r="L13" s="131">
        <f t="shared" ref="L13:L18" si="9">H13*104</f>
        <v>8528</v>
      </c>
      <c r="M13" s="19"/>
      <c r="N13" s="19"/>
      <c r="O13" s="153"/>
      <c r="P13" s="194"/>
      <c r="Q13" s="194"/>
      <c r="R13" s="222"/>
      <c r="S13" s="195"/>
      <c r="T13" s="204"/>
      <c r="U13" s="252"/>
      <c r="V13" s="193">
        <f>I13-(P13*($L$2-$J$1)+(Q13*($L$2-$L$1))+  (R13*($L$2-$H$2))+ (S13*($L$2-$J$1)))</f>
        <v>6555.76</v>
      </c>
    </row>
    <row r="14" spans="1:22" ht="15" customHeight="1" x14ac:dyDescent="0.25">
      <c r="A14" s="299"/>
      <c r="B14" s="131">
        <v>13</v>
      </c>
      <c r="C14" s="131">
        <v>68</v>
      </c>
      <c r="D14" s="155">
        <f>'Data Ocupacion'!F34</f>
        <v>12</v>
      </c>
      <c r="E14" s="155">
        <f>'Data Ocupacion'!G34</f>
        <v>69</v>
      </c>
      <c r="F14" s="131" t="s">
        <v>52</v>
      </c>
      <c r="G14" s="131">
        <f t="shared" si="6"/>
        <v>150</v>
      </c>
      <c r="H14" s="131">
        <f t="shared" si="7"/>
        <v>81</v>
      </c>
      <c r="I14" s="131">
        <f>G14*L$2</f>
        <v>6469.5</v>
      </c>
      <c r="J14" s="161">
        <f>H14*L$2</f>
        <v>3493.53</v>
      </c>
      <c r="K14" s="131">
        <f t="shared" si="8"/>
        <v>672828</v>
      </c>
      <c r="L14" s="131">
        <f t="shared" si="9"/>
        <v>8424</v>
      </c>
      <c r="M14" s="19"/>
      <c r="N14" s="19"/>
      <c r="O14" s="153"/>
      <c r="P14" s="199"/>
      <c r="Q14" s="199"/>
      <c r="R14" s="199"/>
      <c r="S14" s="194">
        <v>1</v>
      </c>
      <c r="T14" s="194"/>
      <c r="U14" s="222"/>
      <c r="V14" s="197">
        <f>I14-(S14*($L$2-$J$1)+(T14*($L$2-$L$1)))</f>
        <v>6451.77</v>
      </c>
    </row>
    <row r="15" spans="1:22" ht="15.95" customHeight="1" x14ac:dyDescent="0.25">
      <c r="A15" s="299"/>
      <c r="B15" s="131">
        <v>0</v>
      </c>
      <c r="C15" s="131">
        <v>0</v>
      </c>
      <c r="D15" s="132">
        <f>'Data Ocupacion'!F35</f>
        <v>0</v>
      </c>
      <c r="E15" s="132">
        <f>'Data Ocupacion'!G35</f>
        <v>0</v>
      </c>
      <c r="F15" s="131" t="s">
        <v>36</v>
      </c>
      <c r="G15" s="131">
        <f t="shared" si="6"/>
        <v>0</v>
      </c>
      <c r="H15" s="131">
        <f t="shared" si="7"/>
        <v>0</v>
      </c>
      <c r="I15" s="131">
        <f>G15*L$1</f>
        <v>0</v>
      </c>
      <c r="J15" s="161">
        <f>H15*L$1</f>
        <v>0</v>
      </c>
      <c r="K15" s="131">
        <f t="shared" si="8"/>
        <v>0</v>
      </c>
      <c r="L15" s="131">
        <f t="shared" si="9"/>
        <v>0</v>
      </c>
      <c r="M15" s="19"/>
      <c r="N15" s="19"/>
      <c r="O15" s="153"/>
      <c r="P15" s="198"/>
      <c r="Q15" s="200"/>
      <c r="R15" s="223"/>
      <c r="S15" s="201"/>
      <c r="T15" s="202"/>
      <c r="U15" s="202"/>
      <c r="V15" s="193">
        <f>I15-(P15*($L$1-$J$1))</f>
        <v>0</v>
      </c>
    </row>
    <row r="16" spans="1:22" ht="15" customHeight="1" x14ac:dyDescent="0.25">
      <c r="A16" s="299"/>
      <c r="B16" s="131">
        <v>0</v>
      </c>
      <c r="C16" s="131">
        <v>0</v>
      </c>
      <c r="D16" s="132">
        <f>'Data Ocupacion'!F36</f>
        <v>0</v>
      </c>
      <c r="E16" s="132">
        <f>'Data Ocupacion'!G36</f>
        <v>0</v>
      </c>
      <c r="F16" s="131" t="s">
        <v>53</v>
      </c>
      <c r="G16" s="131">
        <f t="shared" si="6"/>
        <v>0</v>
      </c>
      <c r="H16" s="131">
        <f t="shared" si="7"/>
        <v>0</v>
      </c>
      <c r="I16" s="131">
        <f>G16*L$1</f>
        <v>0</v>
      </c>
      <c r="J16" s="161">
        <f>H16*L$1</f>
        <v>0</v>
      </c>
      <c r="K16" s="131">
        <f t="shared" si="8"/>
        <v>0</v>
      </c>
      <c r="L16" s="131">
        <f t="shared" si="9"/>
        <v>0</v>
      </c>
      <c r="M16" s="173"/>
      <c r="N16" s="19"/>
      <c r="O16" s="153"/>
      <c r="P16" s="202"/>
      <c r="Q16" s="202"/>
      <c r="R16" s="202"/>
      <c r="S16" s="202"/>
      <c r="T16" s="202"/>
      <c r="U16" s="202"/>
      <c r="V16" s="193">
        <f t="shared" ref="V16:V17" si="10">I16</f>
        <v>0</v>
      </c>
    </row>
    <row r="17" spans="1:22" s="130" customFormat="1" ht="15" customHeight="1" x14ac:dyDescent="0.25">
      <c r="A17" s="299"/>
      <c r="B17" s="131">
        <v>0</v>
      </c>
      <c r="C17" s="131">
        <v>0</v>
      </c>
      <c r="D17" s="132">
        <f>'Data Ocupacion'!F37</f>
        <v>0</v>
      </c>
      <c r="E17" s="132">
        <f>'Data Ocupacion'!G37</f>
        <v>0</v>
      </c>
      <c r="F17" s="131" t="s">
        <v>122</v>
      </c>
      <c r="G17" s="131">
        <f t="shared" si="6"/>
        <v>0</v>
      </c>
      <c r="H17" s="131">
        <f t="shared" si="7"/>
        <v>0</v>
      </c>
      <c r="I17" s="131">
        <f>G17*J$1</f>
        <v>0</v>
      </c>
      <c r="J17" s="161">
        <f>H17*J$1</f>
        <v>0</v>
      </c>
      <c r="K17" s="131">
        <f t="shared" si="8"/>
        <v>0</v>
      </c>
      <c r="L17" s="131">
        <f t="shared" si="9"/>
        <v>0</v>
      </c>
      <c r="M17" s="173"/>
      <c r="N17" s="19"/>
      <c r="O17" s="153"/>
      <c r="P17" s="202"/>
      <c r="Q17" s="202"/>
      <c r="R17" s="202"/>
      <c r="S17" s="202"/>
      <c r="T17" s="202"/>
      <c r="U17" s="202"/>
      <c r="V17" s="193">
        <f t="shared" si="10"/>
        <v>0</v>
      </c>
    </row>
    <row r="18" spans="1:22" ht="15.95" customHeight="1" thickBot="1" x14ac:dyDescent="0.3">
      <c r="A18" s="299"/>
      <c r="B18" s="131">
        <v>0</v>
      </c>
      <c r="C18" s="131">
        <v>1</v>
      </c>
      <c r="D18" s="132">
        <f>'Data Ocupacion'!F38</f>
        <v>0</v>
      </c>
      <c r="E18" s="132">
        <f>'Data Ocupacion'!G38</f>
        <v>1</v>
      </c>
      <c r="F18" s="131" t="s">
        <v>35</v>
      </c>
      <c r="G18" s="131">
        <f t="shared" si="6"/>
        <v>2</v>
      </c>
      <c r="H18" s="131">
        <f t="shared" si="7"/>
        <v>1</v>
      </c>
      <c r="I18" s="131">
        <f>G18*J$1</f>
        <v>50.8</v>
      </c>
      <c r="J18" s="161">
        <f>H18*J$1</f>
        <v>25.4</v>
      </c>
      <c r="K18" s="131">
        <f t="shared" si="8"/>
        <v>5283.2</v>
      </c>
      <c r="L18" s="131">
        <f t="shared" si="9"/>
        <v>104</v>
      </c>
      <c r="M18" s="19"/>
      <c r="N18" s="19"/>
      <c r="O18" s="153"/>
      <c r="P18" s="202"/>
      <c r="Q18" s="202"/>
      <c r="R18" s="202"/>
      <c r="S18" s="202"/>
      <c r="T18" s="202"/>
      <c r="U18" s="202"/>
      <c r="V18" s="193">
        <f>I18</f>
        <v>50.8</v>
      </c>
    </row>
    <row r="19" spans="1:22" ht="15.75" thickBot="1" x14ac:dyDescent="0.3">
      <c r="A19" s="20"/>
      <c r="B19" s="237">
        <f>SUM(B13:B18)</f>
        <v>25</v>
      </c>
      <c r="C19" s="237">
        <f>SUM(C13:C18)</f>
        <v>139</v>
      </c>
      <c r="D19" s="160">
        <f>SUM(D13:D18)</f>
        <v>24</v>
      </c>
      <c r="E19" s="160">
        <f>SUM(E13:E18)</f>
        <v>140</v>
      </c>
      <c r="F19" s="124"/>
      <c r="G19" s="124">
        <f t="shared" ref="G19:L19" si="11">SUM(G13:G18)</f>
        <v>304</v>
      </c>
      <c r="H19" s="124">
        <f t="shared" si="11"/>
        <v>164</v>
      </c>
      <c r="I19" s="125">
        <f t="shared" si="11"/>
        <v>13076.06</v>
      </c>
      <c r="J19" s="124">
        <f t="shared" si="11"/>
        <v>7055.59</v>
      </c>
      <c r="K19" s="123">
        <f t="shared" si="11"/>
        <v>1359910.24</v>
      </c>
      <c r="L19" s="159">
        <f t="shared" si="11"/>
        <v>17056</v>
      </c>
      <c r="M19" s="129">
        <f>'Odometro-Kilometraje'!C81</f>
        <v>13622</v>
      </c>
      <c r="N19" s="21">
        <f>(V19/M19)*100</f>
        <v>95.862061371311114</v>
      </c>
      <c r="O19" s="205"/>
      <c r="P19" s="192"/>
      <c r="Q19" s="192"/>
      <c r="R19" s="192"/>
      <c r="S19" s="192"/>
      <c r="T19" s="192"/>
      <c r="U19" s="192"/>
      <c r="V19" s="206">
        <f>SUM(V13:V18)</f>
        <v>13058.33</v>
      </c>
    </row>
    <row r="20" spans="1:22" x14ac:dyDescent="0.25">
      <c r="A20" s="62">
        <f>A13+1</f>
        <v>45294</v>
      </c>
      <c r="B20" s="131">
        <v>21</v>
      </c>
      <c r="C20" s="131">
        <v>61</v>
      </c>
      <c r="D20" s="132">
        <f>'Data Ocupacion'!H33</f>
        <v>22</v>
      </c>
      <c r="E20" s="132">
        <f>'Data Ocupacion'!I33</f>
        <v>60</v>
      </c>
      <c r="F20" s="131" t="s">
        <v>38</v>
      </c>
      <c r="G20" s="131">
        <f t="shared" ref="G20:G25" si="12">D20+E20*2</f>
        <v>142</v>
      </c>
      <c r="H20" s="131">
        <f t="shared" ref="H20:H25" si="13">D20+E20</f>
        <v>82</v>
      </c>
      <c r="I20" s="131">
        <f>G20*L$2</f>
        <v>6124.46</v>
      </c>
      <c r="J20" s="161">
        <f>H20*L$2</f>
        <v>3536.6600000000003</v>
      </c>
      <c r="K20" s="131">
        <f t="shared" ref="K20:K25" si="14">I20*104</f>
        <v>636943.84</v>
      </c>
      <c r="L20" s="131">
        <f t="shared" ref="L20:L25" si="15">H20*104</f>
        <v>8528</v>
      </c>
      <c r="M20" s="19"/>
      <c r="N20" s="19"/>
      <c r="O20" s="153"/>
      <c r="P20" s="194"/>
      <c r="Q20" s="194"/>
      <c r="R20" s="222"/>
      <c r="S20" s="203"/>
      <c r="T20" s="204"/>
      <c r="U20" s="252"/>
      <c r="V20" s="193">
        <f>I20-(P20*($L$2-$J$1)+(Q20*($L$2-$L$1))+  (R20*($L$2-$H$2)))</f>
        <v>6124.46</v>
      </c>
    </row>
    <row r="21" spans="1:22" ht="15.95" customHeight="1" x14ac:dyDescent="0.25">
      <c r="A21" s="330" t="s">
        <v>167</v>
      </c>
      <c r="B21" s="131">
        <v>22</v>
      </c>
      <c r="C21" s="131">
        <v>59</v>
      </c>
      <c r="D21" s="132">
        <f>'Data Ocupacion'!H34</f>
        <v>21</v>
      </c>
      <c r="E21" s="132">
        <f>'Data Ocupacion'!I34</f>
        <v>60</v>
      </c>
      <c r="F21" s="131" t="s">
        <v>52</v>
      </c>
      <c r="G21" s="131">
        <f t="shared" si="12"/>
        <v>141</v>
      </c>
      <c r="H21" s="131">
        <f t="shared" si="13"/>
        <v>81</v>
      </c>
      <c r="I21" s="131">
        <f>G21*L$2</f>
        <v>6081.33</v>
      </c>
      <c r="J21" s="161">
        <f>H21*L$2</f>
        <v>3493.53</v>
      </c>
      <c r="K21" s="131">
        <f t="shared" si="14"/>
        <v>632458.31999999995</v>
      </c>
      <c r="L21" s="131">
        <f t="shared" si="15"/>
        <v>8424</v>
      </c>
      <c r="M21" s="19"/>
      <c r="N21" s="19"/>
      <c r="O21" s="153"/>
      <c r="P21" s="199"/>
      <c r="Q21" s="199"/>
      <c r="R21" s="199"/>
      <c r="S21" s="194">
        <v>6</v>
      </c>
      <c r="T21" s="196"/>
      <c r="U21" s="253"/>
      <c r="V21" s="197">
        <f>I21-(S21*($L$2-$J$1)+(T21*($L$2-$L$1)))</f>
        <v>5974.95</v>
      </c>
    </row>
    <row r="22" spans="1:22" ht="15" customHeight="1" x14ac:dyDescent="0.25">
      <c r="A22" s="330"/>
      <c r="B22" s="131">
        <v>0</v>
      </c>
      <c r="C22" s="131">
        <v>0</v>
      </c>
      <c r="D22" s="132">
        <f>'Data Ocupacion'!H35</f>
        <v>0</v>
      </c>
      <c r="E22" s="132">
        <f>'Data Ocupacion'!I35</f>
        <v>0</v>
      </c>
      <c r="F22" s="131" t="s">
        <v>36</v>
      </c>
      <c r="G22" s="131">
        <f t="shared" si="12"/>
        <v>0</v>
      </c>
      <c r="H22" s="131">
        <f t="shared" si="13"/>
        <v>0</v>
      </c>
      <c r="I22" s="131">
        <f>G22*L$1</f>
        <v>0</v>
      </c>
      <c r="J22" s="161">
        <f>H22*L$1</f>
        <v>0</v>
      </c>
      <c r="K22" s="131">
        <f t="shared" si="14"/>
        <v>0</v>
      </c>
      <c r="L22" s="131">
        <f t="shared" si="15"/>
        <v>0</v>
      </c>
      <c r="M22" s="19"/>
      <c r="N22" s="19"/>
      <c r="O22" s="153"/>
      <c r="P22" s="198"/>
      <c r="Q22" s="200"/>
      <c r="R22" s="223"/>
      <c r="S22" s="201"/>
      <c r="T22" s="202"/>
      <c r="U22" s="202"/>
      <c r="V22" s="193">
        <f>I22-(P22*($L$1-$J$1))</f>
        <v>0</v>
      </c>
    </row>
    <row r="23" spans="1:22" ht="15" customHeight="1" x14ac:dyDescent="0.25">
      <c r="A23" s="330"/>
      <c r="B23" s="131">
        <v>0</v>
      </c>
      <c r="C23" s="131">
        <v>0</v>
      </c>
      <c r="D23" s="132">
        <f>'Data Ocupacion'!H36</f>
        <v>0</v>
      </c>
      <c r="E23" s="132">
        <f>'Data Ocupacion'!I36</f>
        <v>0</v>
      </c>
      <c r="F23" s="131" t="s">
        <v>53</v>
      </c>
      <c r="G23" s="131">
        <f t="shared" si="12"/>
        <v>0</v>
      </c>
      <c r="H23" s="131">
        <f t="shared" si="13"/>
        <v>0</v>
      </c>
      <c r="I23" s="131">
        <f>G23*L$1</f>
        <v>0</v>
      </c>
      <c r="J23" s="161">
        <f>H23*L$1</f>
        <v>0</v>
      </c>
      <c r="K23" s="131">
        <f t="shared" si="14"/>
        <v>0</v>
      </c>
      <c r="L23" s="131">
        <f t="shared" si="15"/>
        <v>0</v>
      </c>
      <c r="M23" s="19"/>
      <c r="N23" s="19"/>
      <c r="O23" s="153"/>
      <c r="P23" s="202"/>
      <c r="Q23" s="202"/>
      <c r="R23" s="202"/>
      <c r="S23" s="202"/>
      <c r="T23" s="202"/>
      <c r="U23" s="202"/>
      <c r="V23" s="193">
        <f t="shared" ref="V23:V24" si="16">I23</f>
        <v>0</v>
      </c>
    </row>
    <row r="24" spans="1:22" s="130" customFormat="1" ht="15" customHeight="1" x14ac:dyDescent="0.25">
      <c r="A24" s="330"/>
      <c r="B24" s="131">
        <v>0</v>
      </c>
      <c r="C24" s="131">
        <v>0</v>
      </c>
      <c r="D24" s="132">
        <f>'Data Ocupacion'!H37</f>
        <v>0</v>
      </c>
      <c r="E24" s="132">
        <f>'Data Ocupacion'!I37</f>
        <v>0</v>
      </c>
      <c r="F24" s="131" t="s">
        <v>122</v>
      </c>
      <c r="G24" s="131">
        <f t="shared" si="12"/>
        <v>0</v>
      </c>
      <c r="H24" s="131">
        <f t="shared" si="13"/>
        <v>0</v>
      </c>
      <c r="I24" s="131">
        <f>G24*J$1</f>
        <v>0</v>
      </c>
      <c r="J24" s="161">
        <f>H24*J$1</f>
        <v>0</v>
      </c>
      <c r="K24" s="131">
        <f t="shared" si="14"/>
        <v>0</v>
      </c>
      <c r="L24" s="131">
        <f t="shared" si="15"/>
        <v>0</v>
      </c>
      <c r="M24" s="19"/>
      <c r="N24" s="19"/>
      <c r="O24" s="153"/>
      <c r="P24" s="202"/>
      <c r="Q24" s="202"/>
      <c r="R24" s="202"/>
      <c r="S24" s="202"/>
      <c r="T24" s="202"/>
      <c r="U24" s="202"/>
      <c r="V24" s="193">
        <f t="shared" si="16"/>
        <v>0</v>
      </c>
    </row>
    <row r="25" spans="1:22" ht="13.5" customHeight="1" thickBot="1" x14ac:dyDescent="0.3">
      <c r="A25" s="330"/>
      <c r="B25" s="131">
        <v>0</v>
      </c>
      <c r="C25" s="131">
        <v>1</v>
      </c>
      <c r="D25" s="301">
        <f>'Data Ocupacion'!H38</f>
        <v>0</v>
      </c>
      <c r="E25" s="132">
        <f>'Data Ocupacion'!I38</f>
        <v>1</v>
      </c>
      <c r="F25" s="131" t="s">
        <v>35</v>
      </c>
      <c r="G25" s="131">
        <f t="shared" si="12"/>
        <v>2</v>
      </c>
      <c r="H25" s="131">
        <f t="shared" si="13"/>
        <v>1</v>
      </c>
      <c r="I25" s="131">
        <f>G25*J$1</f>
        <v>50.8</v>
      </c>
      <c r="J25" s="161">
        <f>H25*J$1</f>
        <v>25.4</v>
      </c>
      <c r="K25" s="131">
        <f t="shared" si="14"/>
        <v>5283.2</v>
      </c>
      <c r="L25" s="131">
        <f t="shared" si="15"/>
        <v>104</v>
      </c>
      <c r="M25" s="19"/>
      <c r="N25" s="19"/>
      <c r="O25" s="153"/>
      <c r="P25" s="202"/>
      <c r="Q25" s="202"/>
      <c r="R25" s="202"/>
      <c r="S25" s="202"/>
      <c r="T25" s="202"/>
      <c r="U25" s="202"/>
      <c r="V25" s="193">
        <f>I25</f>
        <v>50.8</v>
      </c>
    </row>
    <row r="26" spans="1:22" ht="15.95" customHeight="1" thickBot="1" x14ac:dyDescent="0.3">
      <c r="A26" s="20"/>
      <c r="B26" s="237">
        <f>SUM(B20:B25)</f>
        <v>43</v>
      </c>
      <c r="C26" s="237">
        <f>SUM(C20:C25)</f>
        <v>121</v>
      </c>
      <c r="D26" s="160">
        <f>SUM(D20:D25)</f>
        <v>43</v>
      </c>
      <c r="E26" s="160">
        <f>SUM(E20:E25)</f>
        <v>121</v>
      </c>
      <c r="F26" s="124"/>
      <c r="G26" s="124">
        <f t="shared" ref="G26:L26" si="17">SUM(G20:G25)</f>
        <v>285</v>
      </c>
      <c r="H26" s="124">
        <f t="shared" si="17"/>
        <v>164</v>
      </c>
      <c r="I26" s="125">
        <f t="shared" si="17"/>
        <v>12256.59</v>
      </c>
      <c r="J26" s="124">
        <f t="shared" si="17"/>
        <v>7055.59</v>
      </c>
      <c r="K26" s="123">
        <f t="shared" si="17"/>
        <v>1274685.3599999999</v>
      </c>
      <c r="L26" s="159">
        <f t="shared" si="17"/>
        <v>17056</v>
      </c>
      <c r="M26" s="191">
        <f>'Odometro-Kilometraje'!D81</f>
        <v>12824</v>
      </c>
      <c r="N26" s="21">
        <f>(V26/M26)*100</f>
        <v>94.745867124142222</v>
      </c>
      <c r="O26" s="205"/>
      <c r="P26" s="192"/>
      <c r="Q26" s="192"/>
      <c r="R26" s="192"/>
      <c r="S26" s="192"/>
      <c r="T26" s="192"/>
      <c r="U26" s="192"/>
      <c r="V26" s="206">
        <f>SUM(V20:V25)</f>
        <v>12150.21</v>
      </c>
    </row>
    <row r="27" spans="1:22" x14ac:dyDescent="0.25">
      <c r="A27" s="62">
        <f>A20+1</f>
        <v>45295</v>
      </c>
      <c r="B27" s="131">
        <v>21</v>
      </c>
      <c r="C27" s="131">
        <v>61</v>
      </c>
      <c r="D27" s="132">
        <f>'Data Ocupacion'!J33</f>
        <v>18</v>
      </c>
      <c r="E27" s="132">
        <f>'Data Ocupacion'!K33</f>
        <v>64</v>
      </c>
      <c r="F27" s="131" t="s">
        <v>38</v>
      </c>
      <c r="G27" s="131">
        <f t="shared" ref="G27:G32" si="18">D27+E27*2</f>
        <v>146</v>
      </c>
      <c r="H27" s="131">
        <f t="shared" ref="H27:H32" si="19">D27+E27</f>
        <v>82</v>
      </c>
      <c r="I27" s="131">
        <f>G27*L$2</f>
        <v>6296.9800000000005</v>
      </c>
      <c r="J27" s="161">
        <f>H27*L$2</f>
        <v>3536.6600000000003</v>
      </c>
      <c r="K27" s="131">
        <f t="shared" ref="K27:K32" si="20">I27*104</f>
        <v>654885.92000000004</v>
      </c>
      <c r="L27" s="131">
        <f t="shared" ref="L27:L32" si="21">H27*104</f>
        <v>8528</v>
      </c>
      <c r="M27" s="19"/>
      <c r="N27" s="19"/>
      <c r="O27" s="153"/>
      <c r="P27" s="194"/>
      <c r="Q27" s="194"/>
      <c r="R27" s="222"/>
      <c r="S27" s="203"/>
      <c r="T27" s="204"/>
      <c r="U27" s="252"/>
      <c r="V27" s="193">
        <f>I27-(P27*($L$2-$J$1)+(Q27*($L$2-$L$1))+  (R27*($L$2-$H$2)))</f>
        <v>6296.9800000000005</v>
      </c>
    </row>
    <row r="28" spans="1:22" ht="17.25" customHeight="1" x14ac:dyDescent="0.25">
      <c r="A28" s="299"/>
      <c r="B28" s="131">
        <v>22</v>
      </c>
      <c r="C28" s="131">
        <v>59</v>
      </c>
      <c r="D28" s="132">
        <f>'Data Ocupacion'!J34</f>
        <v>18</v>
      </c>
      <c r="E28" s="132">
        <f>'Data Ocupacion'!K34</f>
        <v>63</v>
      </c>
      <c r="F28" s="131" t="s">
        <v>52</v>
      </c>
      <c r="G28" s="131">
        <f t="shared" si="18"/>
        <v>144</v>
      </c>
      <c r="H28" s="131">
        <f t="shared" si="19"/>
        <v>81</v>
      </c>
      <c r="I28" s="131">
        <f>G28*L$2</f>
        <v>6210.72</v>
      </c>
      <c r="J28" s="161">
        <f>H28*L$2</f>
        <v>3493.53</v>
      </c>
      <c r="K28" s="131">
        <f t="shared" si="20"/>
        <v>645914.88</v>
      </c>
      <c r="L28" s="131">
        <f t="shared" si="21"/>
        <v>8424</v>
      </c>
      <c r="M28" s="19"/>
      <c r="N28" s="19"/>
      <c r="O28" s="153"/>
      <c r="P28" s="199"/>
      <c r="Q28" s="199"/>
      <c r="R28" s="199"/>
      <c r="S28" s="194">
        <v>12</v>
      </c>
      <c r="T28" s="220"/>
      <c r="U28" s="253"/>
      <c r="V28" s="197">
        <f>I28-(S28*($L$2-$J$1)+(T28*($L$2-$L$1))+(U28*($L$2-$H$2)))</f>
        <v>5997.96</v>
      </c>
    </row>
    <row r="29" spans="1:22" ht="15" customHeight="1" x14ac:dyDescent="0.25">
      <c r="A29" s="299"/>
      <c r="B29" s="131">
        <v>0</v>
      </c>
      <c r="C29" s="131">
        <v>0</v>
      </c>
      <c r="D29" s="132">
        <f>'Data Ocupacion'!J35</f>
        <v>0</v>
      </c>
      <c r="E29" s="132">
        <f>'Data Ocupacion'!K35</f>
        <v>0</v>
      </c>
      <c r="F29" s="131" t="s">
        <v>36</v>
      </c>
      <c r="G29" s="131">
        <f t="shared" si="18"/>
        <v>0</v>
      </c>
      <c r="H29" s="131">
        <f t="shared" si="19"/>
        <v>0</v>
      </c>
      <c r="I29" s="131">
        <f>G29*L$1</f>
        <v>0</v>
      </c>
      <c r="J29" s="161">
        <f>H29*L$1</f>
        <v>0</v>
      </c>
      <c r="K29" s="131">
        <f t="shared" si="20"/>
        <v>0</v>
      </c>
      <c r="L29" s="131">
        <f t="shared" si="21"/>
        <v>0</v>
      </c>
      <c r="M29" s="19"/>
      <c r="N29" s="19"/>
      <c r="O29" s="153"/>
      <c r="P29" s="198"/>
      <c r="Q29" s="200"/>
      <c r="R29" s="223"/>
      <c r="S29" s="201"/>
      <c r="T29" s="202"/>
      <c r="U29" s="202"/>
      <c r="V29" s="193">
        <f>I29-(P29*($L$1-$J$1))</f>
        <v>0</v>
      </c>
    </row>
    <row r="30" spans="1:22" ht="15" customHeight="1" x14ac:dyDescent="0.25">
      <c r="A30" s="299"/>
      <c r="B30" s="131">
        <v>0</v>
      </c>
      <c r="C30" s="131">
        <v>0</v>
      </c>
      <c r="D30" s="132">
        <f>'Data Ocupacion'!J36</f>
        <v>0</v>
      </c>
      <c r="E30" s="132">
        <f>'Data Ocupacion'!K36</f>
        <v>0</v>
      </c>
      <c r="F30" s="131" t="s">
        <v>53</v>
      </c>
      <c r="G30" s="131">
        <f t="shared" si="18"/>
        <v>0</v>
      </c>
      <c r="H30" s="131">
        <f t="shared" si="19"/>
        <v>0</v>
      </c>
      <c r="I30" s="131">
        <f>G30*L$1</f>
        <v>0</v>
      </c>
      <c r="J30" s="161">
        <f>H30*L$1</f>
        <v>0</v>
      </c>
      <c r="K30" s="131">
        <f t="shared" si="20"/>
        <v>0</v>
      </c>
      <c r="L30" s="131">
        <f t="shared" si="21"/>
        <v>0</v>
      </c>
      <c r="M30" s="19"/>
      <c r="N30" s="19"/>
      <c r="O30" s="153"/>
      <c r="P30" s="202"/>
      <c r="Q30" s="202"/>
      <c r="R30" s="202"/>
      <c r="S30" s="202"/>
      <c r="T30" s="202"/>
      <c r="U30" s="202"/>
      <c r="V30" s="193">
        <f t="shared" ref="V30:V31" si="22">I30</f>
        <v>0</v>
      </c>
    </row>
    <row r="31" spans="1:22" s="130" customFormat="1" ht="15" customHeight="1" x14ac:dyDescent="0.25">
      <c r="A31" s="299"/>
      <c r="B31" s="131">
        <v>0</v>
      </c>
      <c r="C31" s="131">
        <v>0</v>
      </c>
      <c r="D31" s="132">
        <f>'Data Ocupacion'!J37</f>
        <v>0</v>
      </c>
      <c r="E31" s="132">
        <f>'Data Ocupacion'!K37</f>
        <v>0</v>
      </c>
      <c r="F31" s="131" t="s">
        <v>122</v>
      </c>
      <c r="G31" s="131">
        <f t="shared" si="18"/>
        <v>0</v>
      </c>
      <c r="H31" s="131">
        <f t="shared" si="19"/>
        <v>0</v>
      </c>
      <c r="I31" s="131">
        <f>G31*J$1</f>
        <v>0</v>
      </c>
      <c r="J31" s="161">
        <f>H31*J$1</f>
        <v>0</v>
      </c>
      <c r="K31" s="131">
        <f t="shared" si="20"/>
        <v>0</v>
      </c>
      <c r="L31" s="131">
        <f t="shared" si="21"/>
        <v>0</v>
      </c>
      <c r="M31" s="19"/>
      <c r="O31" s="153"/>
      <c r="P31" s="202"/>
      <c r="Q31" s="202"/>
      <c r="R31" s="202"/>
      <c r="S31" s="202"/>
      <c r="T31" s="202"/>
      <c r="U31" s="202"/>
      <c r="V31" s="193">
        <f t="shared" si="22"/>
        <v>0</v>
      </c>
    </row>
    <row r="32" spans="1:22" ht="15.95" customHeight="1" thickBot="1" x14ac:dyDescent="0.3">
      <c r="A32" s="299"/>
      <c r="B32" s="131">
        <v>0</v>
      </c>
      <c r="C32" s="131">
        <v>1</v>
      </c>
      <c r="D32" s="301">
        <f>'Data Ocupacion'!J38</f>
        <v>0</v>
      </c>
      <c r="E32" s="132">
        <f>'Data Ocupacion'!K38</f>
        <v>1</v>
      </c>
      <c r="F32" s="131" t="s">
        <v>35</v>
      </c>
      <c r="G32" s="131">
        <f t="shared" si="18"/>
        <v>2</v>
      </c>
      <c r="H32" s="131">
        <f t="shared" si="19"/>
        <v>1</v>
      </c>
      <c r="I32" s="131">
        <f>G32*J$1</f>
        <v>50.8</v>
      </c>
      <c r="J32" s="161">
        <f>H32*J$1</f>
        <v>25.4</v>
      </c>
      <c r="K32" s="131">
        <f t="shared" si="20"/>
        <v>5283.2</v>
      </c>
      <c r="L32" s="131">
        <f t="shared" si="21"/>
        <v>104</v>
      </c>
      <c r="M32" s="19"/>
      <c r="O32" s="153"/>
      <c r="P32" s="202"/>
      <c r="Q32" s="202"/>
      <c r="R32" s="202"/>
      <c r="S32" s="202"/>
      <c r="T32" s="202"/>
      <c r="U32" s="202"/>
      <c r="V32" s="193">
        <f>I32</f>
        <v>50.8</v>
      </c>
    </row>
    <row r="33" spans="1:31" ht="15.75" thickBot="1" x14ac:dyDescent="0.3">
      <c r="A33" s="20"/>
      <c r="B33" s="237">
        <f>SUM(B27:B32)</f>
        <v>43</v>
      </c>
      <c r="C33" s="237">
        <f>SUM(C27:C32)</f>
        <v>121</v>
      </c>
      <c r="D33" s="160">
        <f>SUM(D27:D32)</f>
        <v>36</v>
      </c>
      <c r="E33" s="160">
        <f>SUM(E27:E32)</f>
        <v>128</v>
      </c>
      <c r="F33" s="124"/>
      <c r="G33" s="124">
        <f t="shared" ref="G33:L33" si="23">SUM(G27:G32)</f>
        <v>292</v>
      </c>
      <c r="H33" s="124">
        <f t="shared" si="23"/>
        <v>164</v>
      </c>
      <c r="I33" s="125">
        <f t="shared" si="23"/>
        <v>12558.5</v>
      </c>
      <c r="J33" s="124">
        <f t="shared" si="23"/>
        <v>7055.59</v>
      </c>
      <c r="K33" s="123">
        <f t="shared" si="23"/>
        <v>1306084</v>
      </c>
      <c r="L33" s="159">
        <f t="shared" si="23"/>
        <v>17056</v>
      </c>
      <c r="M33" s="129">
        <f>'Odometro-Kilometraje'!E81</f>
        <v>12902</v>
      </c>
      <c r="N33" s="21">
        <f>(V33/M33)*100</f>
        <v>95.688575414664385</v>
      </c>
      <c r="O33" s="205"/>
      <c r="P33" s="192"/>
      <c r="Q33" s="192"/>
      <c r="R33" s="192"/>
      <c r="S33" s="192"/>
      <c r="T33" s="192"/>
      <c r="U33" s="192"/>
      <c r="V33" s="206">
        <f>SUM(V27:V32)</f>
        <v>12345.74</v>
      </c>
      <c r="W33" s="130"/>
    </row>
    <row r="34" spans="1:31" x14ac:dyDescent="0.25">
      <c r="A34" s="62">
        <f>A27+1</f>
        <v>45296</v>
      </c>
      <c r="B34" s="131">
        <v>21</v>
      </c>
      <c r="C34" s="131">
        <v>61</v>
      </c>
      <c r="D34" s="132">
        <f>'Data Ocupacion'!L33</f>
        <v>18</v>
      </c>
      <c r="E34" s="132">
        <f>'Data Ocupacion'!M33</f>
        <v>64</v>
      </c>
      <c r="F34" s="131" t="s">
        <v>38</v>
      </c>
      <c r="G34" s="131">
        <f t="shared" ref="G34:G39" si="24">D34+E34*2</f>
        <v>146</v>
      </c>
      <c r="H34" s="131">
        <f t="shared" ref="H34:H39" si="25">D34+E34</f>
        <v>82</v>
      </c>
      <c r="I34" s="131">
        <f>G34*L$2</f>
        <v>6296.9800000000005</v>
      </c>
      <c r="J34" s="161">
        <f>H34*L$2</f>
        <v>3536.6600000000003</v>
      </c>
      <c r="K34" s="131">
        <f t="shared" ref="K34:K39" si="26">I34*104</f>
        <v>654885.92000000004</v>
      </c>
      <c r="L34" s="131">
        <f t="shared" ref="L34:L39" si="27">H34*104</f>
        <v>8528</v>
      </c>
      <c r="M34" s="19"/>
      <c r="N34" s="19"/>
      <c r="O34" s="153"/>
      <c r="P34" s="194"/>
      <c r="Q34" s="199"/>
      <c r="R34" s="199"/>
      <c r="S34" s="203"/>
      <c r="T34" s="204"/>
      <c r="U34" s="252"/>
      <c r="V34" s="193">
        <f>I34-(P34*($L$2-$J$1)+(Q34*($L$2-$L$1))+  (R34*($L$2-$H$2)))</f>
        <v>6296.9800000000005</v>
      </c>
    </row>
    <row r="35" spans="1:31" ht="15" customHeight="1" x14ac:dyDescent="0.25">
      <c r="A35" s="299"/>
      <c r="B35" s="131">
        <v>22</v>
      </c>
      <c r="C35" s="131">
        <v>59</v>
      </c>
      <c r="D35" s="132">
        <f>'Data Ocupacion'!L34</f>
        <v>18</v>
      </c>
      <c r="E35" s="132">
        <f>'Data Ocupacion'!M34</f>
        <v>63</v>
      </c>
      <c r="F35" s="131" t="s">
        <v>52</v>
      </c>
      <c r="G35" s="131">
        <f t="shared" si="24"/>
        <v>144</v>
      </c>
      <c r="H35" s="131">
        <f t="shared" si="25"/>
        <v>81</v>
      </c>
      <c r="I35" s="131">
        <f>G35*L$2</f>
        <v>6210.72</v>
      </c>
      <c r="J35" s="161">
        <f>H35*L$2</f>
        <v>3493.53</v>
      </c>
      <c r="K35" s="131">
        <f t="shared" si="26"/>
        <v>645914.88</v>
      </c>
      <c r="L35" s="131">
        <f t="shared" si="27"/>
        <v>8424</v>
      </c>
      <c r="M35" s="19"/>
      <c r="N35" s="19"/>
      <c r="O35" s="153"/>
      <c r="P35" s="199"/>
      <c r="Q35" s="199"/>
      <c r="R35" s="199"/>
      <c r="S35" s="267">
        <v>5</v>
      </c>
      <c r="T35" s="236"/>
      <c r="U35" s="199"/>
      <c r="V35" s="197">
        <f>I35-(S35*($L$2-$J$1)+(T35*($L$2-$L$1)))</f>
        <v>6122.0700000000006</v>
      </c>
    </row>
    <row r="36" spans="1:31" ht="15" customHeight="1" x14ac:dyDescent="0.25">
      <c r="A36" s="299"/>
      <c r="B36" s="131">
        <v>0</v>
      </c>
      <c r="C36" s="131">
        <v>0</v>
      </c>
      <c r="D36" s="132">
        <f>'Data Ocupacion'!L35</f>
        <v>0</v>
      </c>
      <c r="E36" s="132">
        <f>'Data Ocupacion'!M35</f>
        <v>0</v>
      </c>
      <c r="F36" s="131" t="s">
        <v>36</v>
      </c>
      <c r="G36" s="131">
        <f t="shared" si="24"/>
        <v>0</v>
      </c>
      <c r="H36" s="131">
        <f t="shared" si="25"/>
        <v>0</v>
      </c>
      <c r="I36" s="131">
        <f>G36*L$1</f>
        <v>0</v>
      </c>
      <c r="J36" s="161">
        <f>H36*L$1</f>
        <v>0</v>
      </c>
      <c r="K36" s="131">
        <f t="shared" si="26"/>
        <v>0</v>
      </c>
      <c r="L36" s="131">
        <f t="shared" si="27"/>
        <v>0</v>
      </c>
      <c r="M36" s="19"/>
      <c r="N36" s="19"/>
      <c r="O36" s="153"/>
      <c r="P36" s="199"/>
      <c r="Q36" s="268"/>
      <c r="R36" s="223"/>
      <c r="S36" s="201"/>
      <c r="T36" s="202"/>
      <c r="U36" s="202"/>
      <c r="V36" s="193">
        <f>I36-(P36*($L$1-$J$1))</f>
        <v>0</v>
      </c>
    </row>
    <row r="37" spans="1:31" ht="15" customHeight="1" x14ac:dyDescent="0.25">
      <c r="A37" s="299"/>
      <c r="B37" s="131">
        <v>0</v>
      </c>
      <c r="C37" s="131">
        <v>0</v>
      </c>
      <c r="D37" s="132">
        <f>'Data Ocupacion'!L36</f>
        <v>0</v>
      </c>
      <c r="E37" s="132">
        <f>'Data Ocupacion'!M36</f>
        <v>0</v>
      </c>
      <c r="F37" s="131" t="s">
        <v>53</v>
      </c>
      <c r="G37" s="131">
        <f t="shared" si="24"/>
        <v>0</v>
      </c>
      <c r="H37" s="131">
        <f t="shared" si="25"/>
        <v>0</v>
      </c>
      <c r="I37" s="131">
        <f>G37*L$1</f>
        <v>0</v>
      </c>
      <c r="J37" s="161">
        <f>H37*L$1</f>
        <v>0</v>
      </c>
      <c r="K37" s="131">
        <f t="shared" si="26"/>
        <v>0</v>
      </c>
      <c r="L37" s="131">
        <f t="shared" si="27"/>
        <v>0</v>
      </c>
      <c r="M37" s="19"/>
      <c r="N37" s="19"/>
      <c r="O37" s="153"/>
      <c r="P37" s="202"/>
      <c r="Q37" s="202"/>
      <c r="R37" s="202"/>
      <c r="S37" s="202"/>
      <c r="T37" s="202"/>
      <c r="U37" s="202"/>
      <c r="V37" s="193">
        <f t="shared" ref="V37:V38" si="28">I37</f>
        <v>0</v>
      </c>
    </row>
    <row r="38" spans="1:31" s="130" customFormat="1" ht="15" customHeight="1" x14ac:dyDescent="0.25">
      <c r="A38" s="299"/>
      <c r="B38" s="131">
        <v>0</v>
      </c>
      <c r="C38" s="131">
        <v>0</v>
      </c>
      <c r="D38" s="132">
        <f>'Data Ocupacion'!L37</f>
        <v>0</v>
      </c>
      <c r="E38" s="132">
        <f>'Data Ocupacion'!M37</f>
        <v>0</v>
      </c>
      <c r="F38" s="131" t="s">
        <v>122</v>
      </c>
      <c r="G38" s="131">
        <f t="shared" si="24"/>
        <v>0</v>
      </c>
      <c r="H38" s="131">
        <f t="shared" si="25"/>
        <v>0</v>
      </c>
      <c r="I38" s="131">
        <f>G38*J$1</f>
        <v>0</v>
      </c>
      <c r="J38" s="161">
        <f>H38*J$1</f>
        <v>0</v>
      </c>
      <c r="K38" s="131">
        <f t="shared" si="26"/>
        <v>0</v>
      </c>
      <c r="L38" s="131">
        <f t="shared" si="27"/>
        <v>0</v>
      </c>
      <c r="M38" s="19"/>
      <c r="N38" s="19"/>
      <c r="O38" s="153"/>
      <c r="P38" s="202"/>
      <c r="Q38" s="202"/>
      <c r="R38" s="202"/>
      <c r="S38" s="202"/>
      <c r="T38" s="202"/>
      <c r="U38" s="202"/>
      <c r="V38" s="193">
        <f t="shared" si="28"/>
        <v>0</v>
      </c>
    </row>
    <row r="39" spans="1:31" ht="15.95" customHeight="1" thickBot="1" x14ac:dyDescent="0.3">
      <c r="A39" s="299"/>
      <c r="B39" s="131">
        <v>0</v>
      </c>
      <c r="C39" s="131">
        <v>1</v>
      </c>
      <c r="D39" s="301">
        <f>'Data Ocupacion'!L38</f>
        <v>0</v>
      </c>
      <c r="E39" s="132">
        <f>'Data Ocupacion'!M38</f>
        <v>1</v>
      </c>
      <c r="F39" s="131" t="s">
        <v>35</v>
      </c>
      <c r="G39" s="131">
        <f t="shared" si="24"/>
        <v>2</v>
      </c>
      <c r="H39" s="131">
        <f t="shared" si="25"/>
        <v>1</v>
      </c>
      <c r="I39" s="131">
        <f>G39*J$1</f>
        <v>50.8</v>
      </c>
      <c r="J39" s="161">
        <f>H39*J$1</f>
        <v>25.4</v>
      </c>
      <c r="K39" s="131">
        <f t="shared" si="26"/>
        <v>5283.2</v>
      </c>
      <c r="L39" s="131">
        <f t="shared" si="27"/>
        <v>104</v>
      </c>
      <c r="M39" s="19"/>
      <c r="N39" s="19"/>
      <c r="O39" s="153"/>
      <c r="P39" s="202"/>
      <c r="Q39" s="202"/>
      <c r="R39" s="202"/>
      <c r="S39" s="202"/>
      <c r="T39" s="202"/>
      <c r="U39" s="202"/>
      <c r="V39" s="193">
        <f>I39</f>
        <v>50.8</v>
      </c>
    </row>
    <row r="40" spans="1:31" ht="15.75" thickBot="1" x14ac:dyDescent="0.3">
      <c r="A40" s="20"/>
      <c r="B40" s="237">
        <f>SUM(B34:B39)</f>
        <v>43</v>
      </c>
      <c r="C40" s="237">
        <f>SUM(C34:C39)</f>
        <v>121</v>
      </c>
      <c r="D40" s="160">
        <f>SUM(D34:D39)</f>
        <v>36</v>
      </c>
      <c r="E40" s="160">
        <f>SUM(E34:E39)</f>
        <v>128</v>
      </c>
      <c r="F40" s="124"/>
      <c r="G40" s="124">
        <f t="shared" ref="G40:L40" si="29">SUM(G34:G39)</f>
        <v>292</v>
      </c>
      <c r="H40" s="124">
        <f t="shared" si="29"/>
        <v>164</v>
      </c>
      <c r="I40" s="125">
        <f t="shared" si="29"/>
        <v>12558.5</v>
      </c>
      <c r="J40" s="124">
        <f t="shared" si="29"/>
        <v>7055.59</v>
      </c>
      <c r="K40" s="123">
        <f t="shared" si="29"/>
        <v>1306084</v>
      </c>
      <c r="L40" s="159">
        <f t="shared" si="29"/>
        <v>17056</v>
      </c>
      <c r="M40" s="129">
        <f>'Odometro-Kilometraje'!F81</f>
        <v>12947</v>
      </c>
      <c r="N40" s="21">
        <f>(V40/M40)*100</f>
        <v>96.314590252568166</v>
      </c>
      <c r="O40" s="205"/>
      <c r="P40" s="192"/>
      <c r="Q40" s="192"/>
      <c r="R40" s="192"/>
      <c r="S40" s="192"/>
      <c r="T40" s="192"/>
      <c r="U40" s="192"/>
      <c r="V40" s="206">
        <f>SUM(V34:V39)</f>
        <v>12469.85</v>
      </c>
    </row>
    <row r="41" spans="1:31" x14ac:dyDescent="0.25">
      <c r="A41" s="62">
        <f>A34+1</f>
        <v>45297</v>
      </c>
      <c r="B41" s="119">
        <v>67</v>
      </c>
      <c r="C41" s="119">
        <v>3</v>
      </c>
      <c r="D41" s="155">
        <f>'Data Ocupacion'!N33</f>
        <v>67</v>
      </c>
      <c r="E41" s="155">
        <f>'Data Ocupacion'!O33</f>
        <v>3</v>
      </c>
      <c r="F41" s="119" t="s">
        <v>38</v>
      </c>
      <c r="G41" s="119">
        <f t="shared" ref="G41:G46" si="30">D41+E41*2</f>
        <v>73</v>
      </c>
      <c r="H41" s="119">
        <f t="shared" ref="H41:H46" si="31">D41+E41</f>
        <v>70</v>
      </c>
      <c r="I41" s="119">
        <f>G41*L$2</f>
        <v>3148.4900000000002</v>
      </c>
      <c r="J41" s="161">
        <f>H41*L$2</f>
        <v>3019.1000000000004</v>
      </c>
      <c r="K41" s="119">
        <f t="shared" ref="K41:K46" si="32">I41*104</f>
        <v>327442.96000000002</v>
      </c>
      <c r="L41" s="119">
        <f t="shared" ref="L41:L46" si="33">H41*104</f>
        <v>7280</v>
      </c>
      <c r="M41" s="19"/>
      <c r="N41" s="19"/>
      <c r="O41" s="153"/>
      <c r="P41" s="194"/>
      <c r="Q41" s="194"/>
      <c r="R41" s="222"/>
      <c r="S41" s="203"/>
      <c r="T41" s="235"/>
      <c r="U41" s="150"/>
      <c r="V41" s="193">
        <f>I41-(P41*($L$2-$J$1)+(Q41*($L$2-$L$1))+  (R41*($L$2-$H$2)))</f>
        <v>3148.4900000000002</v>
      </c>
    </row>
    <row r="42" spans="1:31" ht="15" customHeight="1" x14ac:dyDescent="0.25">
      <c r="A42" s="234"/>
      <c r="B42" s="119">
        <v>73</v>
      </c>
      <c r="C42" s="119">
        <v>0</v>
      </c>
      <c r="D42" s="155">
        <f>'Data Ocupacion'!N34</f>
        <v>73</v>
      </c>
      <c r="E42" s="155">
        <f>'Data Ocupacion'!O34</f>
        <v>0</v>
      </c>
      <c r="F42" s="119" t="s">
        <v>52</v>
      </c>
      <c r="G42" s="119">
        <f t="shared" si="30"/>
        <v>73</v>
      </c>
      <c r="H42" s="119">
        <f t="shared" si="31"/>
        <v>73</v>
      </c>
      <c r="I42" s="119">
        <f>G42*L$2</f>
        <v>3148.4900000000002</v>
      </c>
      <c r="J42" s="161">
        <f>H42*L$2</f>
        <v>3148.4900000000002</v>
      </c>
      <c r="K42" s="119">
        <f t="shared" si="32"/>
        <v>327442.96000000002</v>
      </c>
      <c r="L42" s="119">
        <f t="shared" si="33"/>
        <v>7592</v>
      </c>
      <c r="M42" s="19"/>
      <c r="N42" s="19"/>
      <c r="O42" s="153"/>
      <c r="P42" s="199"/>
      <c r="Q42" s="236"/>
      <c r="R42" s="199"/>
      <c r="S42" s="194"/>
      <c r="T42" s="220"/>
      <c r="U42" s="253"/>
      <c r="V42" s="197">
        <f>I42-(S42*($L$2-$J$1)+(T42*($L$2-$L$1)))</f>
        <v>3148.4900000000002</v>
      </c>
    </row>
    <row r="43" spans="1:31" ht="15" customHeight="1" x14ac:dyDescent="0.25">
      <c r="A43" s="234"/>
      <c r="B43" s="119">
        <v>0</v>
      </c>
      <c r="C43" s="119">
        <v>0</v>
      </c>
      <c r="D43" s="155">
        <f>'Data Ocupacion'!N35</f>
        <v>0</v>
      </c>
      <c r="E43" s="155">
        <f>'Data Ocupacion'!O35</f>
        <v>0</v>
      </c>
      <c r="F43" s="119" t="s">
        <v>36</v>
      </c>
      <c r="G43" s="119">
        <f t="shared" si="30"/>
        <v>0</v>
      </c>
      <c r="H43" s="119">
        <f t="shared" si="31"/>
        <v>0</v>
      </c>
      <c r="I43" s="119">
        <f>G43*L$1</f>
        <v>0</v>
      </c>
      <c r="J43" s="161">
        <f>H43*L$1</f>
        <v>0</v>
      </c>
      <c r="K43" s="119">
        <f t="shared" si="32"/>
        <v>0</v>
      </c>
      <c r="L43" s="119">
        <f t="shared" si="33"/>
        <v>0</v>
      </c>
      <c r="M43" s="19"/>
      <c r="N43" s="19"/>
      <c r="O43" s="153"/>
      <c r="P43" s="198"/>
      <c r="Q43" s="200"/>
      <c r="R43" s="223"/>
      <c r="S43" s="201"/>
      <c r="T43" s="202"/>
      <c r="U43" s="202"/>
      <c r="V43" s="193">
        <f>I43-(P43*($L$1-$J$1))</f>
        <v>0</v>
      </c>
      <c r="Y43" s="309"/>
      <c r="Z43" s="309"/>
      <c r="AA43" s="309"/>
      <c r="AB43" s="309"/>
      <c r="AC43" s="309"/>
      <c r="AD43" s="309"/>
      <c r="AE43" s="309"/>
    </row>
    <row r="44" spans="1:31" x14ac:dyDescent="0.25">
      <c r="A44" s="234"/>
      <c r="B44" s="119">
        <v>0</v>
      </c>
      <c r="C44" s="119">
        <v>0</v>
      </c>
      <c r="D44" s="155">
        <f>'Data Ocupacion'!N36</f>
        <v>0</v>
      </c>
      <c r="E44" s="155">
        <f>'Data Ocupacion'!O36</f>
        <v>0</v>
      </c>
      <c r="F44" s="119" t="s">
        <v>53</v>
      </c>
      <c r="G44" s="119">
        <f t="shared" si="30"/>
        <v>0</v>
      </c>
      <c r="H44" s="119">
        <f t="shared" si="31"/>
        <v>0</v>
      </c>
      <c r="I44" s="119">
        <f>G44*L$1</f>
        <v>0</v>
      </c>
      <c r="J44" s="161">
        <f>H44*L$1</f>
        <v>0</v>
      </c>
      <c r="K44" s="119">
        <f t="shared" si="32"/>
        <v>0</v>
      </c>
      <c r="L44" s="119">
        <f t="shared" si="33"/>
        <v>0</v>
      </c>
      <c r="M44" s="19"/>
      <c r="N44" s="19"/>
      <c r="O44" s="153"/>
      <c r="P44" s="202"/>
      <c r="Q44" s="202"/>
      <c r="R44" s="202"/>
      <c r="S44" s="202"/>
      <c r="T44" s="202"/>
      <c r="U44" s="202"/>
      <c r="V44" s="193">
        <f t="shared" ref="V44:V45" si="34">I44</f>
        <v>0</v>
      </c>
      <c r="Y44" s="309"/>
      <c r="Z44" s="309"/>
      <c r="AA44" s="309"/>
      <c r="AB44" s="309"/>
      <c r="AC44" s="309"/>
      <c r="AD44" s="309"/>
      <c r="AE44" s="309"/>
    </row>
    <row r="45" spans="1:31" s="130" customFormat="1" x14ac:dyDescent="0.25">
      <c r="A45" s="234"/>
      <c r="B45" s="119">
        <v>0</v>
      </c>
      <c r="C45" s="119">
        <v>0</v>
      </c>
      <c r="D45" s="155">
        <f>'Data Ocupacion'!N37</f>
        <v>0</v>
      </c>
      <c r="E45" s="155">
        <f>'Data Ocupacion'!O37</f>
        <v>0</v>
      </c>
      <c r="F45" s="119" t="s">
        <v>122</v>
      </c>
      <c r="G45" s="119">
        <f t="shared" si="30"/>
        <v>0</v>
      </c>
      <c r="H45" s="119">
        <f t="shared" si="31"/>
        <v>0</v>
      </c>
      <c r="I45" s="119">
        <f>G45*J$1</f>
        <v>0</v>
      </c>
      <c r="J45" s="161">
        <f>H45*J$1</f>
        <v>0</v>
      </c>
      <c r="K45" s="119">
        <f t="shared" si="32"/>
        <v>0</v>
      </c>
      <c r="L45" s="119">
        <f t="shared" si="33"/>
        <v>0</v>
      </c>
      <c r="M45" s="19"/>
      <c r="N45" s="19"/>
      <c r="O45" s="153"/>
      <c r="P45" s="202"/>
      <c r="Q45" s="202"/>
      <c r="R45" s="202"/>
      <c r="S45" s="202"/>
      <c r="T45" s="202"/>
      <c r="U45" s="202"/>
      <c r="V45" s="193">
        <f t="shared" si="34"/>
        <v>0</v>
      </c>
      <c r="Y45" s="309"/>
      <c r="Z45" s="309"/>
      <c r="AA45" s="309"/>
      <c r="AB45" s="309"/>
      <c r="AC45" s="309"/>
      <c r="AD45" s="309"/>
      <c r="AE45" s="309"/>
    </row>
    <row r="46" spans="1:31" ht="15.75" thickBot="1" x14ac:dyDescent="0.3">
      <c r="A46" s="190"/>
      <c r="B46" s="119">
        <v>0</v>
      </c>
      <c r="C46" s="119">
        <v>0</v>
      </c>
      <c r="D46" s="155">
        <f>'Data Ocupacion'!N38</f>
        <v>0</v>
      </c>
      <c r="E46" s="155">
        <f>'Data Ocupacion'!O38</f>
        <v>0</v>
      </c>
      <c r="F46" s="119" t="s">
        <v>35</v>
      </c>
      <c r="G46" s="119">
        <f t="shared" si="30"/>
        <v>0</v>
      </c>
      <c r="H46" s="119">
        <f t="shared" si="31"/>
        <v>0</v>
      </c>
      <c r="I46" s="119">
        <f>G46*J$1</f>
        <v>0</v>
      </c>
      <c r="J46" s="161">
        <f>H46*J$1</f>
        <v>0</v>
      </c>
      <c r="K46" s="119">
        <f t="shared" si="32"/>
        <v>0</v>
      </c>
      <c r="L46" s="119">
        <f t="shared" si="33"/>
        <v>0</v>
      </c>
      <c r="M46" s="19"/>
      <c r="N46" s="19"/>
      <c r="O46" s="153"/>
      <c r="P46" s="202"/>
      <c r="Q46" s="202"/>
      <c r="R46" s="202"/>
      <c r="S46" s="202"/>
      <c r="T46" s="202"/>
      <c r="U46" s="202"/>
      <c r="V46" s="193">
        <f>I46</f>
        <v>0</v>
      </c>
      <c r="Y46" s="309"/>
      <c r="Z46" s="309"/>
      <c r="AA46" s="309"/>
      <c r="AB46" s="309"/>
      <c r="AC46" s="309"/>
      <c r="AD46" s="309"/>
      <c r="AE46" s="309"/>
    </row>
    <row r="47" spans="1:31" ht="15.75" thickBot="1" x14ac:dyDescent="0.3">
      <c r="A47" s="213"/>
      <c r="B47" s="237">
        <f>SUM(B41:B46)</f>
        <v>140</v>
      </c>
      <c r="C47" s="237">
        <f>SUM(C41:C46)</f>
        <v>3</v>
      </c>
      <c r="D47" s="160">
        <f>SUM(D41:D46)</f>
        <v>140</v>
      </c>
      <c r="E47" s="160">
        <f>SUM(E41:E46)</f>
        <v>3</v>
      </c>
      <c r="F47" s="124"/>
      <c r="G47" s="124">
        <f t="shared" ref="G47:L47" si="35">SUM(G41:G46)</f>
        <v>146</v>
      </c>
      <c r="H47" s="124">
        <f t="shared" si="35"/>
        <v>143</v>
      </c>
      <c r="I47" s="125">
        <f t="shared" si="35"/>
        <v>6296.9800000000005</v>
      </c>
      <c r="J47" s="124">
        <f t="shared" si="35"/>
        <v>6167.59</v>
      </c>
      <c r="K47" s="123">
        <f t="shared" si="35"/>
        <v>654885.92000000004</v>
      </c>
      <c r="L47" s="159">
        <f t="shared" si="35"/>
        <v>14872</v>
      </c>
      <c r="M47" s="129">
        <f>'Odometro-Kilometraje'!G81</f>
        <v>6373</v>
      </c>
      <c r="N47" s="21">
        <f>(V47/M47)*100</f>
        <v>98.807155185940701</v>
      </c>
      <c r="O47" s="205"/>
      <c r="P47" s="192"/>
      <c r="Q47" s="192"/>
      <c r="R47" s="192"/>
      <c r="S47" s="192"/>
      <c r="T47" s="192"/>
      <c r="U47" s="192"/>
      <c r="V47" s="206">
        <f>SUM(V41:V46)</f>
        <v>6296.9800000000005</v>
      </c>
      <c r="Y47" s="309"/>
      <c r="Z47" s="309"/>
      <c r="AA47" s="309"/>
      <c r="AB47" s="309"/>
      <c r="AC47" s="309"/>
      <c r="AD47" s="309"/>
      <c r="AE47" s="309"/>
    </row>
    <row r="48" spans="1:31" x14ac:dyDescent="0.25">
      <c r="A48" s="62">
        <f>A41+1</f>
        <v>45298</v>
      </c>
      <c r="B48" s="238">
        <v>51</v>
      </c>
      <c r="C48" s="238">
        <v>3</v>
      </c>
      <c r="D48" s="144">
        <f>'Data Ocupacion'!P33</f>
        <v>51</v>
      </c>
      <c r="E48" s="144">
        <f>'Data Ocupacion'!Q33</f>
        <v>3</v>
      </c>
      <c r="F48" s="302" t="s">
        <v>38</v>
      </c>
      <c r="G48" s="303">
        <f t="shared" ref="G48:G53" si="36">D48+E48*2</f>
        <v>57</v>
      </c>
      <c r="H48" s="304">
        <f t="shared" ref="H48:H53" si="37">D48+E48</f>
        <v>54</v>
      </c>
      <c r="I48" s="304">
        <f>G48*L$2</f>
        <v>2458.4100000000003</v>
      </c>
      <c r="J48" s="161">
        <f>H48*L$2</f>
        <v>2329.02</v>
      </c>
      <c r="K48" s="238">
        <f t="shared" ref="K48:K53" si="38">I48*104</f>
        <v>255674.64000000004</v>
      </c>
      <c r="L48" s="238">
        <f t="shared" ref="L48:L53" si="39">H48*104</f>
        <v>5616</v>
      </c>
      <c r="M48" s="19"/>
      <c r="N48" s="19"/>
      <c r="O48" s="153"/>
      <c r="P48" s="194"/>
      <c r="Q48" s="194"/>
      <c r="R48" s="222"/>
      <c r="S48" s="203"/>
      <c r="T48" s="204"/>
      <c r="U48" s="252"/>
      <c r="V48" s="193">
        <f>I48-(P48*($L$2-$J$1)+(Q48*($L$2-$L$1))+  (R48*($L$2-$H$2)))</f>
        <v>2458.4100000000003</v>
      </c>
      <c r="Y48" s="309"/>
      <c r="Z48" s="309"/>
      <c r="AA48" s="309"/>
      <c r="AB48" s="309"/>
      <c r="AC48" s="309"/>
      <c r="AD48" s="309"/>
      <c r="AE48" s="309"/>
    </row>
    <row r="49" spans="1:64" ht="15" customHeight="1" x14ac:dyDescent="0.25">
      <c r="A49" s="190"/>
      <c r="B49" s="238">
        <v>57</v>
      </c>
      <c r="C49" s="238">
        <v>0</v>
      </c>
      <c r="D49" s="144">
        <f>'Data Ocupacion'!P34</f>
        <v>57</v>
      </c>
      <c r="E49" s="144">
        <f>'Data Ocupacion'!Q34</f>
        <v>0</v>
      </c>
      <c r="F49" s="302" t="s">
        <v>52</v>
      </c>
      <c r="G49" s="303">
        <f t="shared" si="36"/>
        <v>57</v>
      </c>
      <c r="H49" s="238">
        <f t="shared" si="37"/>
        <v>57</v>
      </c>
      <c r="I49" s="238">
        <f>G49*L$2</f>
        <v>2458.4100000000003</v>
      </c>
      <c r="J49" s="161">
        <f>H49*L$2</f>
        <v>2458.4100000000003</v>
      </c>
      <c r="K49" s="238">
        <f t="shared" si="38"/>
        <v>255674.64000000004</v>
      </c>
      <c r="L49" s="238">
        <f t="shared" si="39"/>
        <v>5928</v>
      </c>
      <c r="M49" s="19"/>
      <c r="N49" s="19"/>
      <c r="O49" s="153"/>
      <c r="P49" s="199"/>
      <c r="Q49" s="199"/>
      <c r="R49" s="199"/>
      <c r="S49" s="194"/>
      <c r="T49" s="220"/>
      <c r="U49" s="253"/>
      <c r="V49" s="197">
        <f>I49-(S49*($L$2-$J$1)+(T49*($L$2-$L$1)))</f>
        <v>2458.4100000000003</v>
      </c>
    </row>
    <row r="50" spans="1:64" ht="16.5" customHeight="1" x14ac:dyDescent="0.25">
      <c r="A50" s="190"/>
      <c r="B50" s="238">
        <v>0</v>
      </c>
      <c r="C50" s="238">
        <v>0</v>
      </c>
      <c r="D50" s="144">
        <f>'Data Ocupacion'!P35</f>
        <v>0</v>
      </c>
      <c r="E50" s="144">
        <f>'Data Ocupacion'!Q35</f>
        <v>0</v>
      </c>
      <c r="F50" s="302" t="s">
        <v>36</v>
      </c>
      <c r="G50" s="303">
        <f t="shared" si="36"/>
        <v>0</v>
      </c>
      <c r="H50" s="238">
        <f t="shared" si="37"/>
        <v>0</v>
      </c>
      <c r="I50" s="238">
        <f>G50*L$1</f>
        <v>0</v>
      </c>
      <c r="J50" s="161">
        <f>H50*L$1</f>
        <v>0</v>
      </c>
      <c r="K50" s="238">
        <f t="shared" si="38"/>
        <v>0</v>
      </c>
      <c r="L50" s="238">
        <f t="shared" si="39"/>
        <v>0</v>
      </c>
      <c r="M50" s="19"/>
      <c r="N50" s="19"/>
      <c r="O50" s="153"/>
      <c r="P50" s="199"/>
      <c r="Q50" s="200"/>
      <c r="R50" s="223"/>
      <c r="S50" s="201"/>
      <c r="T50" s="202"/>
      <c r="U50" s="202"/>
      <c r="V50" s="193">
        <f>I50-(P50*($L$1-$J$1))</f>
        <v>0</v>
      </c>
    </row>
    <row r="51" spans="1:64" x14ac:dyDescent="0.25">
      <c r="A51" s="190"/>
      <c r="B51" s="238">
        <v>0</v>
      </c>
      <c r="C51" s="238">
        <v>0</v>
      </c>
      <c r="D51" s="144">
        <f>'Data Ocupacion'!P36</f>
        <v>0</v>
      </c>
      <c r="E51" s="144">
        <f>'Data Ocupacion'!Q36</f>
        <v>0</v>
      </c>
      <c r="F51" s="302" t="s">
        <v>53</v>
      </c>
      <c r="G51" s="303">
        <f t="shared" si="36"/>
        <v>0</v>
      </c>
      <c r="H51" s="238">
        <f t="shared" si="37"/>
        <v>0</v>
      </c>
      <c r="I51" s="238">
        <f>G51*L$1</f>
        <v>0</v>
      </c>
      <c r="J51" s="161">
        <f>H51*L$1</f>
        <v>0</v>
      </c>
      <c r="K51" s="238">
        <f t="shared" si="38"/>
        <v>0</v>
      </c>
      <c r="L51" s="238">
        <f t="shared" si="39"/>
        <v>0</v>
      </c>
      <c r="M51" s="19"/>
      <c r="N51" s="19"/>
      <c r="O51" s="153"/>
      <c r="P51" s="202"/>
      <c r="Q51" s="202"/>
      <c r="R51" s="202"/>
      <c r="S51" s="202"/>
      <c r="T51" s="202"/>
      <c r="U51" s="202"/>
      <c r="V51" s="193">
        <f t="shared" ref="V51:V52" si="40">I51</f>
        <v>0</v>
      </c>
    </row>
    <row r="52" spans="1:64" s="130" customFormat="1" x14ac:dyDescent="0.25">
      <c r="A52" s="190"/>
      <c r="B52" s="238">
        <v>0</v>
      </c>
      <c r="C52" s="238">
        <v>0</v>
      </c>
      <c r="D52" s="144">
        <f>'Data Ocupacion'!P37</f>
        <v>0</v>
      </c>
      <c r="E52" s="144">
        <f>'Data Ocupacion'!Q37</f>
        <v>0</v>
      </c>
      <c r="F52" s="302" t="s">
        <v>122</v>
      </c>
      <c r="G52" s="303">
        <f t="shared" si="36"/>
        <v>0</v>
      </c>
      <c r="H52" s="238">
        <f t="shared" si="37"/>
        <v>0</v>
      </c>
      <c r="I52" s="305">
        <f>G52*J$1</f>
        <v>0</v>
      </c>
      <c r="J52" s="161">
        <f>H52*J$1</f>
        <v>0</v>
      </c>
      <c r="K52" s="238">
        <f t="shared" si="38"/>
        <v>0</v>
      </c>
      <c r="L52" s="238">
        <f t="shared" si="39"/>
        <v>0</v>
      </c>
      <c r="M52" s="19"/>
      <c r="N52" s="19"/>
      <c r="O52" s="153"/>
      <c r="P52" s="202"/>
      <c r="Q52" s="202"/>
      <c r="R52" s="202"/>
      <c r="S52" s="202"/>
      <c r="T52" s="202"/>
      <c r="U52" s="202"/>
      <c r="V52" s="193">
        <f t="shared" si="40"/>
        <v>0</v>
      </c>
    </row>
    <row r="53" spans="1:64" ht="15.75" thickBot="1" x14ac:dyDescent="0.3">
      <c r="A53" s="190"/>
      <c r="B53" s="238">
        <v>0</v>
      </c>
      <c r="C53" s="238">
        <v>0</v>
      </c>
      <c r="D53" s="144">
        <f>'Data Ocupacion'!P38</f>
        <v>0</v>
      </c>
      <c r="E53" s="144">
        <f>'Data Ocupacion'!Q38</f>
        <v>0</v>
      </c>
      <c r="F53" s="302" t="s">
        <v>35</v>
      </c>
      <c r="G53" s="303">
        <f t="shared" si="36"/>
        <v>0</v>
      </c>
      <c r="H53" s="306">
        <f t="shared" si="37"/>
        <v>0</v>
      </c>
      <c r="I53" s="306">
        <f>G53*J$1</f>
        <v>0</v>
      </c>
      <c r="J53" s="161">
        <f>H53*J$1</f>
        <v>0</v>
      </c>
      <c r="K53" s="238">
        <f t="shared" si="38"/>
        <v>0</v>
      </c>
      <c r="L53" s="238">
        <f t="shared" si="39"/>
        <v>0</v>
      </c>
      <c r="M53" s="19"/>
      <c r="N53" s="19"/>
      <c r="O53" s="153"/>
      <c r="P53" s="202"/>
      <c r="Q53" s="202"/>
      <c r="R53" s="202"/>
      <c r="S53" s="202"/>
      <c r="T53" s="202"/>
      <c r="U53" s="202"/>
      <c r="V53" s="193">
        <f>I53</f>
        <v>0</v>
      </c>
    </row>
    <row r="54" spans="1:64" ht="18" customHeight="1" thickBot="1" x14ac:dyDescent="0.3">
      <c r="A54" s="20"/>
      <c r="B54" s="237">
        <f>SUM(B48:B53)</f>
        <v>108</v>
      </c>
      <c r="C54" s="237">
        <f>SUM(C48:C53)</f>
        <v>3</v>
      </c>
      <c r="D54" s="156">
        <f>SUM(D48:D53)</f>
        <v>108</v>
      </c>
      <c r="E54" s="156">
        <f>SUM(E48:E53)</f>
        <v>3</v>
      </c>
      <c r="F54" s="124"/>
      <c r="G54" s="124">
        <f t="shared" ref="G54:L54" si="41">SUM(G48:G53)</f>
        <v>114</v>
      </c>
      <c r="H54" s="124">
        <f t="shared" si="41"/>
        <v>111</v>
      </c>
      <c r="I54" s="125">
        <f t="shared" si="41"/>
        <v>4916.8200000000006</v>
      </c>
      <c r="J54" s="124">
        <f t="shared" si="41"/>
        <v>4787.43</v>
      </c>
      <c r="K54" s="124">
        <f t="shared" si="41"/>
        <v>511349.28000000009</v>
      </c>
      <c r="L54" s="124">
        <f t="shared" si="41"/>
        <v>11544</v>
      </c>
      <c r="M54" s="129">
        <f>'Odometro-Kilometraje'!H81</f>
        <v>4982</v>
      </c>
      <c r="N54" s="21">
        <f>(V54/M54)*100</f>
        <v>98.691690084303502</v>
      </c>
      <c r="O54" s="205"/>
      <c r="P54" s="192"/>
      <c r="Q54" s="192"/>
      <c r="R54" s="192"/>
      <c r="S54" s="192"/>
      <c r="T54" s="192"/>
      <c r="U54" s="192"/>
      <c r="V54" s="206">
        <f>SUM(V48:V53)</f>
        <v>4916.8200000000006</v>
      </c>
    </row>
    <row r="55" spans="1:64" x14ac:dyDescent="0.25">
      <c r="A55" s="62">
        <f>A48+1</f>
        <v>45299</v>
      </c>
      <c r="B55" s="131">
        <v>28</v>
      </c>
      <c r="C55" s="131">
        <v>54</v>
      </c>
      <c r="D55" s="144">
        <f>'Data Ocupacion'!R33</f>
        <v>20</v>
      </c>
      <c r="E55" s="144">
        <f>'Data Ocupacion'!S33</f>
        <v>61</v>
      </c>
      <c r="F55" s="242" t="s">
        <v>38</v>
      </c>
      <c r="G55" s="243">
        <f t="shared" ref="G55:G60" si="42">D55+E55*2</f>
        <v>142</v>
      </c>
      <c r="H55" s="244">
        <f t="shared" ref="H55:H60" si="43">D55+E55</f>
        <v>81</v>
      </c>
      <c r="I55" s="244">
        <f>G55*L$2</f>
        <v>6124.46</v>
      </c>
      <c r="J55" s="161">
        <f>H55*L$2</f>
        <v>3493.53</v>
      </c>
      <c r="K55" s="131">
        <f t="shared" ref="K55:K60" si="44">I55*104</f>
        <v>636943.84</v>
      </c>
      <c r="L55" s="131">
        <f t="shared" ref="L55:L60" si="45">H55*104</f>
        <v>8424</v>
      </c>
      <c r="M55" s="19"/>
      <c r="N55" s="19"/>
      <c r="O55" s="153"/>
      <c r="P55" s="275"/>
      <c r="Q55" s="194"/>
      <c r="R55" s="222"/>
      <c r="S55" s="216">
        <v>4</v>
      </c>
      <c r="T55" s="204"/>
      <c r="U55" s="252"/>
      <c r="V55" s="193">
        <f>I55-(P55*($L$2-$J$1)+(Q55*($L$2-$L$1))+  (R55*($L$2-$H$2))+(S55*$J$1))</f>
        <v>6022.86</v>
      </c>
    </row>
    <row r="56" spans="1:64" ht="15" customHeight="1" x14ac:dyDescent="0.25">
      <c r="A56" s="335" t="s">
        <v>168</v>
      </c>
      <c r="B56" s="131">
        <v>29</v>
      </c>
      <c r="C56" s="131">
        <v>52</v>
      </c>
      <c r="D56" s="144">
        <f>'Data Ocupacion'!R34</f>
        <v>26</v>
      </c>
      <c r="E56" s="144">
        <f>'Data Ocupacion'!S34</f>
        <v>55</v>
      </c>
      <c r="F56" s="242" t="s">
        <v>52</v>
      </c>
      <c r="G56" s="243">
        <f t="shared" si="42"/>
        <v>136</v>
      </c>
      <c r="H56" s="131">
        <f t="shared" si="43"/>
        <v>81</v>
      </c>
      <c r="I56" s="131">
        <f>G56*L$2</f>
        <v>5865.68</v>
      </c>
      <c r="J56" s="161">
        <f>H56*L$2</f>
        <v>3493.53</v>
      </c>
      <c r="K56" s="131">
        <f t="shared" si="44"/>
        <v>610030.72</v>
      </c>
      <c r="L56" s="131">
        <f t="shared" si="45"/>
        <v>8424</v>
      </c>
      <c r="M56" s="19"/>
      <c r="N56" s="19"/>
      <c r="O56" s="153"/>
      <c r="P56" s="199" t="s">
        <v>147</v>
      </c>
      <c r="Q56" s="199"/>
      <c r="R56" s="199"/>
      <c r="S56" s="194">
        <v>3</v>
      </c>
      <c r="T56" s="196"/>
      <c r="U56" s="253"/>
      <c r="V56" s="197">
        <f>I56-(S56*($L$2-$J$1)+(T56*($L$2-$L$1)))</f>
        <v>5812.4900000000007</v>
      </c>
    </row>
    <row r="57" spans="1:64" ht="15" customHeight="1" x14ac:dyDescent="0.25">
      <c r="A57" s="335"/>
      <c r="B57" s="131">
        <v>0</v>
      </c>
      <c r="C57" s="131">
        <v>0</v>
      </c>
      <c r="D57" s="132">
        <f>'Data Ocupacion'!R35</f>
        <v>0</v>
      </c>
      <c r="E57" s="132">
        <f>'Data Ocupacion'!S35</f>
        <v>0</v>
      </c>
      <c r="F57" s="242" t="s">
        <v>36</v>
      </c>
      <c r="G57" s="243">
        <f t="shared" si="42"/>
        <v>0</v>
      </c>
      <c r="H57" s="131">
        <f t="shared" si="43"/>
        <v>0</v>
      </c>
      <c r="I57" s="131">
        <f>G57*L$1</f>
        <v>0</v>
      </c>
      <c r="J57" s="161">
        <f>H57*L$1</f>
        <v>0</v>
      </c>
      <c r="K57" s="131">
        <f t="shared" si="44"/>
        <v>0</v>
      </c>
      <c r="L57" s="131">
        <f t="shared" si="45"/>
        <v>0</v>
      </c>
      <c r="M57" s="19"/>
      <c r="N57" s="19"/>
      <c r="O57" s="153"/>
      <c r="P57" s="198"/>
      <c r="Q57" s="200"/>
      <c r="R57" s="223"/>
      <c r="S57" s="201"/>
      <c r="T57" s="202"/>
      <c r="U57" s="202"/>
      <c r="V57" s="193">
        <f>I57-(P57*($L$1-$J$1))</f>
        <v>0</v>
      </c>
    </row>
    <row r="58" spans="1:64" x14ac:dyDescent="0.25">
      <c r="A58" s="317"/>
      <c r="B58" s="131">
        <v>0</v>
      </c>
      <c r="C58" s="131">
        <v>0</v>
      </c>
      <c r="D58" s="132">
        <f>'Data Ocupacion'!R36</f>
        <v>0</v>
      </c>
      <c r="E58" s="132">
        <f>'Data Ocupacion'!S36</f>
        <v>0</v>
      </c>
      <c r="F58" s="242" t="s">
        <v>53</v>
      </c>
      <c r="G58" s="243">
        <f t="shared" si="42"/>
        <v>0</v>
      </c>
      <c r="H58" s="131">
        <f t="shared" si="43"/>
        <v>0</v>
      </c>
      <c r="I58" s="131">
        <f>G58*L$1</f>
        <v>0</v>
      </c>
      <c r="J58" s="161">
        <f>H58*L$1</f>
        <v>0</v>
      </c>
      <c r="K58" s="131">
        <f t="shared" si="44"/>
        <v>0</v>
      </c>
      <c r="L58" s="131">
        <f t="shared" si="45"/>
        <v>0</v>
      </c>
      <c r="M58" s="19"/>
      <c r="N58" s="19"/>
      <c r="O58" s="153"/>
      <c r="P58" s="202"/>
      <c r="Q58" s="202"/>
      <c r="R58" s="202"/>
      <c r="S58" s="202"/>
      <c r="T58" s="202"/>
      <c r="U58" s="202"/>
      <c r="V58" s="193">
        <f t="shared" ref="V58:V59" si="46">I58</f>
        <v>0</v>
      </c>
      <c r="BL58" t="s">
        <v>120</v>
      </c>
    </row>
    <row r="59" spans="1:64" s="130" customFormat="1" ht="15" customHeight="1" x14ac:dyDescent="0.25">
      <c r="A59" s="336" t="s">
        <v>171</v>
      </c>
      <c r="B59" s="131">
        <v>0</v>
      </c>
      <c r="C59" s="131">
        <v>0</v>
      </c>
      <c r="D59" s="132">
        <f>'Data Ocupacion'!R37</f>
        <v>0</v>
      </c>
      <c r="E59" s="132">
        <f>'Data Ocupacion'!S37</f>
        <v>0</v>
      </c>
      <c r="F59" s="242" t="s">
        <v>122</v>
      </c>
      <c r="G59" s="243">
        <f t="shared" si="42"/>
        <v>0</v>
      </c>
      <c r="H59" s="131">
        <f t="shared" si="43"/>
        <v>0</v>
      </c>
      <c r="I59" s="245">
        <f>G59*J$1</f>
        <v>0</v>
      </c>
      <c r="J59" s="161">
        <f>H59*J$1</f>
        <v>0</v>
      </c>
      <c r="K59" s="131">
        <f t="shared" si="44"/>
        <v>0</v>
      </c>
      <c r="L59" s="131">
        <f t="shared" si="45"/>
        <v>0</v>
      </c>
      <c r="M59" s="19"/>
      <c r="N59" s="19"/>
      <c r="O59" s="153"/>
      <c r="P59" s="202"/>
      <c r="Q59" s="202"/>
      <c r="R59" s="202"/>
      <c r="S59" s="202"/>
      <c r="T59" s="202"/>
      <c r="U59" s="202"/>
      <c r="V59" s="193">
        <f t="shared" si="46"/>
        <v>0</v>
      </c>
    </row>
    <row r="60" spans="1:64" ht="15.75" thickBot="1" x14ac:dyDescent="0.3">
      <c r="A60" s="336"/>
      <c r="B60" s="131">
        <v>0</v>
      </c>
      <c r="C60" s="131">
        <v>1</v>
      </c>
      <c r="D60" s="132">
        <f>'Data Ocupacion'!R38</f>
        <v>0</v>
      </c>
      <c r="E60" s="132">
        <f>'Data Ocupacion'!S38</f>
        <v>1</v>
      </c>
      <c r="F60" s="242" t="s">
        <v>35</v>
      </c>
      <c r="G60" s="243">
        <f t="shared" si="42"/>
        <v>2</v>
      </c>
      <c r="H60" s="246">
        <f t="shared" si="43"/>
        <v>1</v>
      </c>
      <c r="I60" s="246">
        <f>G60*J$1</f>
        <v>50.8</v>
      </c>
      <c r="J60" s="161">
        <f>H60*J$1</f>
        <v>25.4</v>
      </c>
      <c r="K60" s="131">
        <f t="shared" si="44"/>
        <v>5283.2</v>
      </c>
      <c r="L60" s="131">
        <f t="shared" si="45"/>
        <v>104</v>
      </c>
      <c r="M60" s="19"/>
      <c r="N60" s="19"/>
      <c r="O60" s="153"/>
      <c r="P60" s="202"/>
      <c r="Q60" s="202"/>
      <c r="R60" s="202"/>
      <c r="S60" s="202"/>
      <c r="T60" s="202"/>
      <c r="U60" s="202"/>
      <c r="V60" s="193">
        <f>I60</f>
        <v>50.8</v>
      </c>
    </row>
    <row r="61" spans="1:64" ht="15.75" thickBot="1" x14ac:dyDescent="0.3">
      <c r="A61" s="20"/>
      <c r="B61" s="237">
        <f>SUM(B55:B60)</f>
        <v>57</v>
      </c>
      <c r="C61" s="237">
        <f>SUM(C55:C60)</f>
        <v>107</v>
      </c>
      <c r="D61" s="156">
        <f>SUM(D55:D60)</f>
        <v>46</v>
      </c>
      <c r="E61" s="156">
        <f>SUM(E55:E60)</f>
        <v>117</v>
      </c>
      <c r="F61" s="124"/>
      <c r="G61" s="124">
        <f t="shared" ref="G61:L61" si="47">SUM(G55:G60)</f>
        <v>280</v>
      </c>
      <c r="H61" s="124">
        <f t="shared" si="47"/>
        <v>163</v>
      </c>
      <c r="I61" s="125">
        <f t="shared" si="47"/>
        <v>12040.939999999999</v>
      </c>
      <c r="J61" s="124">
        <f t="shared" si="47"/>
        <v>7012.46</v>
      </c>
      <c r="K61" s="124">
        <f t="shared" si="47"/>
        <v>1252257.76</v>
      </c>
      <c r="L61" s="124">
        <f t="shared" si="47"/>
        <v>16952</v>
      </c>
      <c r="M61" s="129">
        <f>'Odometro-Kilometraje'!I81</f>
        <v>12276</v>
      </c>
      <c r="N61" s="21">
        <f>(V61/M61)*100</f>
        <v>96.824291300097755</v>
      </c>
      <c r="O61" s="205"/>
      <c r="P61" s="192"/>
      <c r="Q61" s="192"/>
      <c r="R61" s="192"/>
      <c r="S61" s="192"/>
      <c r="T61" s="192"/>
      <c r="U61" s="192"/>
      <c r="V61" s="206">
        <f>SUM(V55:V60)</f>
        <v>11886.15</v>
      </c>
    </row>
    <row r="62" spans="1:64" x14ac:dyDescent="0.25">
      <c r="A62" s="62">
        <f>A55+1</f>
        <v>45300</v>
      </c>
      <c r="B62" s="131">
        <v>28</v>
      </c>
      <c r="C62" s="131">
        <v>54</v>
      </c>
      <c r="D62" s="132">
        <f>'Data Ocupacion'!T33</f>
        <v>28</v>
      </c>
      <c r="E62" s="132">
        <f>'Data Ocupacion'!U33</f>
        <v>54</v>
      </c>
      <c r="F62" s="242" t="s">
        <v>38</v>
      </c>
      <c r="G62" s="243">
        <f t="shared" ref="G62:G67" si="48">D62+E62*2</f>
        <v>136</v>
      </c>
      <c r="H62" s="244">
        <f t="shared" ref="H62:H67" si="49">D62+E62</f>
        <v>82</v>
      </c>
      <c r="I62" s="244">
        <f>G62*L$2</f>
        <v>5865.68</v>
      </c>
      <c r="J62" s="161">
        <f>H62*L$2</f>
        <v>3536.6600000000003</v>
      </c>
      <c r="K62" s="131">
        <f>I62*104</f>
        <v>610030.72</v>
      </c>
      <c r="L62" s="131">
        <f t="shared" ref="L62:L67" si="50">H62*104</f>
        <v>8528</v>
      </c>
      <c r="M62" s="19"/>
      <c r="N62" s="19"/>
      <c r="O62" s="153"/>
      <c r="P62" s="194"/>
      <c r="Q62" s="194"/>
      <c r="R62" s="222"/>
      <c r="S62" s="203"/>
      <c r="T62" s="204"/>
      <c r="U62" s="252"/>
      <c r="V62" s="193">
        <f>I62-(P62*($L$2-$J$1)+(Q62*($L$2-$L$1))+  (R62*($L$2-$H$2)))</f>
        <v>5865.68</v>
      </c>
    </row>
    <row r="63" spans="1:64" ht="15" customHeight="1" x14ac:dyDescent="0.25">
      <c r="A63" s="299"/>
      <c r="B63" s="131">
        <v>29</v>
      </c>
      <c r="C63" s="131">
        <v>52</v>
      </c>
      <c r="D63" s="132">
        <f>'Data Ocupacion'!T34</f>
        <v>29</v>
      </c>
      <c r="E63" s="132">
        <f>'Data Ocupacion'!U34</f>
        <v>52</v>
      </c>
      <c r="F63" s="242" t="s">
        <v>52</v>
      </c>
      <c r="G63" s="243">
        <f t="shared" si="48"/>
        <v>133</v>
      </c>
      <c r="H63" s="131">
        <f t="shared" si="49"/>
        <v>81</v>
      </c>
      <c r="I63" s="131">
        <f>G63*L$2</f>
        <v>5736.29</v>
      </c>
      <c r="J63" s="161">
        <f>H63*L$2</f>
        <v>3493.53</v>
      </c>
      <c r="K63" s="131">
        <f>I63*104</f>
        <v>596574.16</v>
      </c>
      <c r="L63" s="131">
        <f t="shared" si="50"/>
        <v>8424</v>
      </c>
      <c r="M63" s="19"/>
      <c r="N63" s="19"/>
      <c r="O63" s="153"/>
      <c r="P63" s="199"/>
      <c r="Q63" s="199"/>
      <c r="R63" s="199"/>
      <c r="S63" s="194">
        <v>6</v>
      </c>
      <c r="T63" s="194"/>
      <c r="U63" s="253"/>
      <c r="V63" s="197">
        <f>I63-(S63*($L$2-$J$1)+(T63*($L$2-$L$1)))</f>
        <v>5629.91</v>
      </c>
      <c r="X63" s="264"/>
      <c r="Z63" s="130"/>
      <c r="AA63" s="130"/>
    </row>
    <row r="64" spans="1:64" x14ac:dyDescent="0.25">
      <c r="A64" s="299"/>
      <c r="B64" s="131">
        <v>0</v>
      </c>
      <c r="C64" s="131">
        <v>0</v>
      </c>
      <c r="D64" s="132">
        <f>'Data Ocupacion'!T35</f>
        <v>0</v>
      </c>
      <c r="E64" s="132">
        <f>'Data Ocupacion'!U35</f>
        <v>0</v>
      </c>
      <c r="F64" s="242" t="s">
        <v>36</v>
      </c>
      <c r="G64" s="243">
        <f t="shared" si="48"/>
        <v>0</v>
      </c>
      <c r="H64" s="131">
        <f t="shared" si="49"/>
        <v>0</v>
      </c>
      <c r="I64" s="131">
        <f>G64*L$1</f>
        <v>0</v>
      </c>
      <c r="J64" s="161">
        <f>H64*L$1</f>
        <v>0</v>
      </c>
      <c r="K64" s="131">
        <f>I64*104</f>
        <v>0</v>
      </c>
      <c r="L64" s="131">
        <f t="shared" si="50"/>
        <v>0</v>
      </c>
      <c r="M64" s="19"/>
      <c r="N64" s="19"/>
      <c r="O64" s="153"/>
      <c r="P64" s="198"/>
      <c r="Q64" s="200"/>
      <c r="R64" s="223"/>
      <c r="S64" s="201"/>
      <c r="T64" s="202"/>
      <c r="U64" s="202"/>
      <c r="V64" s="193">
        <f>I64-(P64*($L$1-$J$1))</f>
        <v>0</v>
      </c>
      <c r="X64" s="264"/>
    </row>
    <row r="65" spans="1:24" x14ac:dyDescent="0.25">
      <c r="A65" s="299"/>
      <c r="B65" s="131">
        <v>0</v>
      </c>
      <c r="C65" s="131">
        <v>0</v>
      </c>
      <c r="D65" s="132">
        <f>'Data Ocupacion'!T36</f>
        <v>0</v>
      </c>
      <c r="E65" s="132">
        <f>'Data Ocupacion'!U36</f>
        <v>0</v>
      </c>
      <c r="F65" s="242" t="s">
        <v>53</v>
      </c>
      <c r="G65" s="243">
        <f t="shared" si="48"/>
        <v>0</v>
      </c>
      <c r="H65" s="131">
        <f t="shared" si="49"/>
        <v>0</v>
      </c>
      <c r="I65" s="131">
        <f>G65*L$1</f>
        <v>0</v>
      </c>
      <c r="J65" s="161">
        <f>H65*L$1</f>
        <v>0</v>
      </c>
      <c r="K65" s="131">
        <f>I65*104</f>
        <v>0</v>
      </c>
      <c r="L65" s="131">
        <f t="shared" si="50"/>
        <v>0</v>
      </c>
      <c r="M65" s="19"/>
      <c r="N65" s="19"/>
      <c r="O65" s="153"/>
      <c r="P65" s="202"/>
      <c r="Q65" s="202"/>
      <c r="R65" s="202"/>
      <c r="S65" s="202"/>
      <c r="T65" s="202"/>
      <c r="U65" s="202"/>
      <c r="V65" s="193">
        <f t="shared" ref="V65:V66" si="51">I65</f>
        <v>0</v>
      </c>
    </row>
    <row r="66" spans="1:24" s="130" customFormat="1" x14ac:dyDescent="0.25">
      <c r="A66" s="299"/>
      <c r="B66" s="131">
        <v>0</v>
      </c>
      <c r="C66" s="131">
        <v>0</v>
      </c>
      <c r="D66" s="132">
        <f>'Data Ocupacion'!T37</f>
        <v>0</v>
      </c>
      <c r="E66" s="132">
        <f>'Data Ocupacion'!U37</f>
        <v>0</v>
      </c>
      <c r="F66" s="242" t="s">
        <v>122</v>
      </c>
      <c r="G66" s="243">
        <f t="shared" si="48"/>
        <v>0</v>
      </c>
      <c r="H66" s="131">
        <f t="shared" si="49"/>
        <v>0</v>
      </c>
      <c r="I66" s="245">
        <f>G66*J$1</f>
        <v>0</v>
      </c>
      <c r="J66" s="161">
        <f>H66*J$1</f>
        <v>0</v>
      </c>
      <c r="K66" s="131">
        <f t="shared" ref="K66" si="52">I66*104</f>
        <v>0</v>
      </c>
      <c r="L66" s="131">
        <f t="shared" si="50"/>
        <v>0</v>
      </c>
      <c r="M66" s="19"/>
      <c r="N66" s="19"/>
      <c r="O66" s="153"/>
      <c r="P66" s="202"/>
      <c r="Q66" s="202"/>
      <c r="R66" s="202"/>
      <c r="S66" s="202"/>
      <c r="T66" s="202"/>
      <c r="U66" s="202"/>
      <c r="V66" s="193">
        <f t="shared" si="51"/>
        <v>0</v>
      </c>
    </row>
    <row r="67" spans="1:24" ht="15.75" thickBot="1" x14ac:dyDescent="0.3">
      <c r="A67" s="299"/>
      <c r="B67" s="131">
        <v>0</v>
      </c>
      <c r="C67" s="131">
        <v>1</v>
      </c>
      <c r="D67" s="132">
        <f>'Data Ocupacion'!T38</f>
        <v>0</v>
      </c>
      <c r="E67" s="132">
        <f>'Data Ocupacion'!U38</f>
        <v>1</v>
      </c>
      <c r="F67" s="242" t="s">
        <v>35</v>
      </c>
      <c r="G67" s="243">
        <f t="shared" si="48"/>
        <v>2</v>
      </c>
      <c r="H67" s="246">
        <f t="shared" si="49"/>
        <v>1</v>
      </c>
      <c r="I67" s="246">
        <f>G67*J$1</f>
        <v>50.8</v>
      </c>
      <c r="J67" s="161">
        <f>H67*J$1</f>
        <v>25.4</v>
      </c>
      <c r="K67" s="131">
        <f>I67*104</f>
        <v>5283.2</v>
      </c>
      <c r="L67" s="131">
        <f t="shared" si="50"/>
        <v>104</v>
      </c>
      <c r="M67" s="19"/>
      <c r="N67" s="19"/>
      <c r="O67" s="153"/>
      <c r="P67" s="202"/>
      <c r="Q67" s="202"/>
      <c r="R67" s="202"/>
      <c r="S67" s="202"/>
      <c r="T67" s="202"/>
      <c r="U67" s="202"/>
      <c r="V67" s="193">
        <f>I67</f>
        <v>50.8</v>
      </c>
    </row>
    <row r="68" spans="1:24" s="130" customFormat="1" ht="18.75" customHeight="1" thickBot="1" x14ac:dyDescent="0.3">
      <c r="A68" s="20"/>
      <c r="B68" s="237">
        <f>SUM(B62:B67)</f>
        <v>57</v>
      </c>
      <c r="C68" s="237">
        <f>SUM(C62:C67)</f>
        <v>107</v>
      </c>
      <c r="D68" s="156">
        <f>SUM(D62:D67)</f>
        <v>57</v>
      </c>
      <c r="E68" s="156">
        <f>SUM(E62:E67)</f>
        <v>107</v>
      </c>
      <c r="F68" s="124"/>
      <c r="G68" s="124">
        <f t="shared" ref="G68:L68" si="53">SUM(G62:G67)</f>
        <v>271</v>
      </c>
      <c r="H68" s="124">
        <f t="shared" si="53"/>
        <v>164</v>
      </c>
      <c r="I68" s="125">
        <f t="shared" si="53"/>
        <v>11652.77</v>
      </c>
      <c r="J68" s="124">
        <f t="shared" si="53"/>
        <v>7055.59</v>
      </c>
      <c r="K68" s="124">
        <f t="shared" si="53"/>
        <v>1211888.0799999998</v>
      </c>
      <c r="L68" s="124">
        <f t="shared" si="53"/>
        <v>17056</v>
      </c>
      <c r="M68" s="129">
        <f>'Odometro-Kilometraje'!J81</f>
        <v>12060</v>
      </c>
      <c r="N68" s="21">
        <f>(V68/M68)*100</f>
        <v>95.741210613598668</v>
      </c>
      <c r="O68" s="205"/>
      <c r="P68" s="192"/>
      <c r="Q68" s="192"/>
      <c r="R68" s="192"/>
      <c r="S68" s="192"/>
      <c r="T68" s="192"/>
      <c r="U68" s="192"/>
      <c r="V68" s="206">
        <f>SUM(V62:V67)</f>
        <v>11546.39</v>
      </c>
      <c r="X68" s="265"/>
    </row>
    <row r="69" spans="1:24" s="130" customFormat="1" x14ac:dyDescent="0.25">
      <c r="A69" s="62">
        <f>A62+1</f>
        <v>45301</v>
      </c>
      <c r="B69" s="131">
        <v>28</v>
      </c>
      <c r="C69" s="131">
        <v>54</v>
      </c>
      <c r="D69" s="132">
        <f>'Data Ocupacion'!V33</f>
        <v>28</v>
      </c>
      <c r="E69" s="132">
        <f>'Data Ocupacion'!W33</f>
        <v>54</v>
      </c>
      <c r="F69" s="242" t="s">
        <v>38</v>
      </c>
      <c r="G69" s="243">
        <f t="shared" ref="G69:G74" si="54">D69+E69*2</f>
        <v>136</v>
      </c>
      <c r="H69" s="244">
        <f t="shared" ref="H69:H74" si="55">D69+E69</f>
        <v>82</v>
      </c>
      <c r="I69" s="244">
        <f>G69*L$2</f>
        <v>5865.68</v>
      </c>
      <c r="J69" s="161">
        <f>H69*L$2</f>
        <v>3536.6600000000003</v>
      </c>
      <c r="K69" s="131">
        <f t="shared" ref="K69:K74" si="56">I69*104</f>
        <v>610030.72</v>
      </c>
      <c r="L69" s="131">
        <f t="shared" ref="L69:L74" si="57">H69*104</f>
        <v>8528</v>
      </c>
      <c r="M69" s="19"/>
      <c r="N69" s="19"/>
      <c r="O69" s="153"/>
      <c r="P69" s="194"/>
      <c r="Q69" s="194"/>
      <c r="R69" s="222"/>
      <c r="S69" s="203"/>
      <c r="T69" s="204"/>
      <c r="U69" s="252"/>
      <c r="V69" s="193">
        <f>I69-(P69*($L$2-$J$1)+(Q69*($L$2-$L$1))+  (R69*($L$2-$H$2)))</f>
        <v>5865.68</v>
      </c>
    </row>
    <row r="70" spans="1:24" x14ac:dyDescent="0.25">
      <c r="A70" s="190"/>
      <c r="B70" s="131">
        <v>29</v>
      </c>
      <c r="C70" s="131">
        <v>52</v>
      </c>
      <c r="D70" s="132">
        <f>'Data Ocupacion'!V34</f>
        <v>29</v>
      </c>
      <c r="E70" s="132">
        <f>'Data Ocupacion'!W34</f>
        <v>52</v>
      </c>
      <c r="F70" s="242" t="s">
        <v>52</v>
      </c>
      <c r="G70" s="243">
        <f t="shared" si="54"/>
        <v>133</v>
      </c>
      <c r="H70" s="131">
        <f t="shared" si="55"/>
        <v>81</v>
      </c>
      <c r="I70" s="131">
        <f>G70*L$2</f>
        <v>5736.29</v>
      </c>
      <c r="J70" s="161">
        <f>H70*L$2</f>
        <v>3493.53</v>
      </c>
      <c r="K70" s="131">
        <f t="shared" si="56"/>
        <v>596574.16</v>
      </c>
      <c r="L70" s="131">
        <f t="shared" si="57"/>
        <v>8424</v>
      </c>
      <c r="M70" s="19"/>
      <c r="N70" s="19"/>
      <c r="O70" s="153"/>
      <c r="P70" s="199"/>
      <c r="Q70" s="199"/>
      <c r="R70" s="199"/>
      <c r="S70" s="194">
        <v>5</v>
      </c>
      <c r="T70" s="196"/>
      <c r="U70" s="253"/>
      <c r="V70" s="197">
        <f>I70-(S70*($L$2-$J$1)+(T70*($L$2-$L$1)))</f>
        <v>5647.64</v>
      </c>
    </row>
    <row r="71" spans="1:24" x14ac:dyDescent="0.25">
      <c r="A71" s="190"/>
      <c r="B71" s="131">
        <v>0</v>
      </c>
      <c r="C71" s="131">
        <v>0</v>
      </c>
      <c r="D71" s="132">
        <f>'Data Ocupacion'!V35</f>
        <v>0</v>
      </c>
      <c r="E71" s="132">
        <f>'Data Ocupacion'!W35</f>
        <v>0</v>
      </c>
      <c r="F71" s="242" t="s">
        <v>36</v>
      </c>
      <c r="G71" s="243">
        <f t="shared" si="54"/>
        <v>0</v>
      </c>
      <c r="H71" s="131">
        <f t="shared" si="55"/>
        <v>0</v>
      </c>
      <c r="I71" s="131">
        <f>G71*L$1</f>
        <v>0</v>
      </c>
      <c r="J71" s="161">
        <f>H71*L$1</f>
        <v>0</v>
      </c>
      <c r="K71" s="131">
        <f t="shared" si="56"/>
        <v>0</v>
      </c>
      <c r="L71" s="131">
        <f t="shared" si="57"/>
        <v>0</v>
      </c>
      <c r="M71" s="19"/>
      <c r="N71" s="19"/>
      <c r="O71" s="153"/>
      <c r="P71" s="198"/>
      <c r="Q71" s="200"/>
      <c r="R71" s="223"/>
      <c r="S71" s="201"/>
      <c r="T71" s="202"/>
      <c r="U71" s="202"/>
      <c r="V71" s="193">
        <f>I71-(P71*($L$1-$J$1))</f>
        <v>0</v>
      </c>
    </row>
    <row r="72" spans="1:24" ht="15" customHeight="1" x14ac:dyDescent="0.25">
      <c r="A72" s="190"/>
      <c r="B72" s="131">
        <v>0</v>
      </c>
      <c r="C72" s="131">
        <v>0</v>
      </c>
      <c r="D72" s="132">
        <f>'Data Ocupacion'!V36</f>
        <v>0</v>
      </c>
      <c r="E72" s="132">
        <f>'Data Ocupacion'!W36</f>
        <v>0</v>
      </c>
      <c r="F72" s="242" t="s">
        <v>53</v>
      </c>
      <c r="G72" s="243">
        <f t="shared" si="54"/>
        <v>0</v>
      </c>
      <c r="H72" s="131">
        <f t="shared" si="55"/>
        <v>0</v>
      </c>
      <c r="I72" s="131">
        <f>G72*L$1</f>
        <v>0</v>
      </c>
      <c r="J72" s="161">
        <f>H72*L$1</f>
        <v>0</v>
      </c>
      <c r="K72" s="131">
        <f t="shared" si="56"/>
        <v>0</v>
      </c>
      <c r="L72" s="131">
        <f t="shared" si="57"/>
        <v>0</v>
      </c>
      <c r="M72" s="19"/>
      <c r="N72" s="19"/>
      <c r="O72" s="153"/>
      <c r="P72" s="202"/>
      <c r="Q72" s="202"/>
      <c r="R72" s="202"/>
      <c r="S72" s="202"/>
      <c r="T72" s="202"/>
      <c r="U72" s="202"/>
      <c r="V72" s="193">
        <f t="shared" ref="V72:V73" si="58">I72</f>
        <v>0</v>
      </c>
    </row>
    <row r="73" spans="1:24" ht="15" customHeight="1" x14ac:dyDescent="0.25">
      <c r="A73" s="190"/>
      <c r="B73" s="131">
        <v>0</v>
      </c>
      <c r="C73" s="131">
        <v>0</v>
      </c>
      <c r="D73" s="132">
        <f>'Data Ocupacion'!V37</f>
        <v>0</v>
      </c>
      <c r="E73" s="132">
        <f>'Data Ocupacion'!W37</f>
        <v>0</v>
      </c>
      <c r="F73" s="242" t="s">
        <v>122</v>
      </c>
      <c r="G73" s="243">
        <f t="shared" si="54"/>
        <v>0</v>
      </c>
      <c r="H73" s="131">
        <f t="shared" si="55"/>
        <v>0</v>
      </c>
      <c r="I73" s="245">
        <f>G73*J$1</f>
        <v>0</v>
      </c>
      <c r="J73" s="161">
        <f>H73*J$1</f>
        <v>0</v>
      </c>
      <c r="K73" s="131">
        <f t="shared" si="56"/>
        <v>0</v>
      </c>
      <c r="L73" s="131">
        <f t="shared" si="57"/>
        <v>0</v>
      </c>
      <c r="M73" s="19"/>
      <c r="N73" s="19"/>
      <c r="O73" s="153"/>
      <c r="P73" s="202"/>
      <c r="Q73" s="202"/>
      <c r="R73" s="202"/>
      <c r="S73" s="202"/>
      <c r="T73" s="202"/>
      <c r="U73" s="202"/>
      <c r="V73" s="193">
        <f t="shared" si="58"/>
        <v>0</v>
      </c>
    </row>
    <row r="74" spans="1:24" ht="14.25" customHeight="1" thickBot="1" x14ac:dyDescent="0.3">
      <c r="A74" s="190"/>
      <c r="B74" s="131">
        <v>0</v>
      </c>
      <c r="C74" s="131">
        <v>1</v>
      </c>
      <c r="D74" s="132">
        <f>'Data Ocupacion'!V38</f>
        <v>0</v>
      </c>
      <c r="E74" s="132">
        <f>'Data Ocupacion'!W38</f>
        <v>1</v>
      </c>
      <c r="F74" s="242" t="s">
        <v>35</v>
      </c>
      <c r="G74" s="243">
        <f t="shared" si="54"/>
        <v>2</v>
      </c>
      <c r="H74" s="246">
        <f t="shared" si="55"/>
        <v>1</v>
      </c>
      <c r="I74" s="246">
        <f>G74*J$1</f>
        <v>50.8</v>
      </c>
      <c r="J74" s="161">
        <f>H74*J$1</f>
        <v>25.4</v>
      </c>
      <c r="K74" s="131">
        <f t="shared" si="56"/>
        <v>5283.2</v>
      </c>
      <c r="L74" s="131">
        <f t="shared" si="57"/>
        <v>104</v>
      </c>
      <c r="M74" s="19"/>
      <c r="N74" s="19"/>
      <c r="O74" s="153"/>
      <c r="P74" s="202"/>
      <c r="Q74" s="202"/>
      <c r="R74" s="202"/>
      <c r="S74" s="202"/>
      <c r="T74" s="202"/>
      <c r="U74" s="202"/>
      <c r="V74" s="193">
        <f>I74</f>
        <v>50.8</v>
      </c>
    </row>
    <row r="75" spans="1:24" s="130" customFormat="1" ht="15.75" thickBot="1" x14ac:dyDescent="0.3">
      <c r="A75" s="20"/>
      <c r="B75" s="237">
        <f>SUM(B69:B74)</f>
        <v>57</v>
      </c>
      <c r="C75" s="237">
        <f>SUM(C69:C74)</f>
        <v>107</v>
      </c>
      <c r="D75" s="156">
        <f>SUM(D69:D74)</f>
        <v>57</v>
      </c>
      <c r="E75" s="156">
        <f>SUM(E69:E74)</f>
        <v>107</v>
      </c>
      <c r="F75" s="124"/>
      <c r="G75" s="124">
        <f t="shared" ref="G75:L75" si="59">SUM(G69:G74)</f>
        <v>271</v>
      </c>
      <c r="H75" s="124">
        <f t="shared" si="59"/>
        <v>164</v>
      </c>
      <c r="I75" s="125">
        <f>SUM(I69:I74)</f>
        <v>11652.77</v>
      </c>
      <c r="J75" s="124">
        <f t="shared" si="59"/>
        <v>7055.59</v>
      </c>
      <c r="K75" s="124">
        <f t="shared" si="59"/>
        <v>1211888.0799999998</v>
      </c>
      <c r="L75" s="124">
        <f t="shared" si="59"/>
        <v>17056</v>
      </c>
      <c r="M75" s="129">
        <f>'Odometro-Kilometraje'!K81</f>
        <v>12051</v>
      </c>
      <c r="N75" s="21">
        <f>(V75/M75)*100</f>
        <v>95.959837357895609</v>
      </c>
      <c r="O75" s="205"/>
      <c r="P75" s="192"/>
      <c r="Q75" s="192"/>
      <c r="R75" s="192"/>
      <c r="S75" s="192"/>
      <c r="T75" s="192"/>
      <c r="U75" s="192"/>
      <c r="V75" s="206">
        <f>SUM(V69:V74)</f>
        <v>11564.119999999999</v>
      </c>
    </row>
    <row r="76" spans="1:24" x14ac:dyDescent="0.25">
      <c r="A76" s="62">
        <f>A69+1</f>
        <v>45302</v>
      </c>
      <c r="B76" s="131">
        <v>28</v>
      </c>
      <c r="C76" s="131">
        <v>54</v>
      </c>
      <c r="D76" s="132">
        <f>'Data Ocupacion'!X33</f>
        <v>28</v>
      </c>
      <c r="E76" s="132">
        <f>'Data Ocupacion'!Y33</f>
        <v>54</v>
      </c>
      <c r="F76" s="131" t="s">
        <v>38</v>
      </c>
      <c r="G76" s="131">
        <f t="shared" ref="G76:G81" si="60">D76+E76*2</f>
        <v>136</v>
      </c>
      <c r="H76" s="131">
        <f t="shared" ref="H76:H81" si="61">D76+E76</f>
        <v>82</v>
      </c>
      <c r="I76" s="131">
        <f>G76*L$2</f>
        <v>5865.68</v>
      </c>
      <c r="J76" s="161">
        <f>H76*L$2</f>
        <v>3536.6600000000003</v>
      </c>
      <c r="K76" s="131">
        <f t="shared" ref="K76:K81" si="62">I76*104</f>
        <v>610030.72</v>
      </c>
      <c r="L76" s="131">
        <f t="shared" ref="L76:L81" si="63">H76*104</f>
        <v>8528</v>
      </c>
      <c r="M76" s="19"/>
      <c r="N76" s="19"/>
      <c r="O76" s="153"/>
      <c r="P76" s="275"/>
      <c r="Q76" s="194"/>
      <c r="R76" s="222"/>
      <c r="S76" s="203"/>
      <c r="T76" s="204"/>
      <c r="U76" s="252"/>
      <c r="V76" s="193">
        <f>I76-(P76*($L$2-$J$1)+(Q76*($L$2-$L$1))+  (R76*($L$2-$H$2)))</f>
        <v>5865.68</v>
      </c>
    </row>
    <row r="77" spans="1:24" ht="15" customHeight="1" x14ac:dyDescent="0.25">
      <c r="A77" s="190"/>
      <c r="B77" s="131">
        <v>29</v>
      </c>
      <c r="C77" s="131">
        <v>52</v>
      </c>
      <c r="D77" s="132">
        <f>'Data Ocupacion'!X34</f>
        <v>28</v>
      </c>
      <c r="E77" s="132">
        <f>'Data Ocupacion'!Y34</f>
        <v>53</v>
      </c>
      <c r="F77" s="131" t="s">
        <v>52</v>
      </c>
      <c r="G77" s="131">
        <f t="shared" si="60"/>
        <v>134</v>
      </c>
      <c r="H77" s="131">
        <f t="shared" si="61"/>
        <v>81</v>
      </c>
      <c r="I77" s="131">
        <f>G77*L$2</f>
        <v>5779.42</v>
      </c>
      <c r="J77" s="161">
        <f>H77*L$2</f>
        <v>3493.53</v>
      </c>
      <c r="K77" s="131">
        <f t="shared" si="62"/>
        <v>601059.68000000005</v>
      </c>
      <c r="L77" s="131">
        <f t="shared" si="63"/>
        <v>8424</v>
      </c>
      <c r="M77" s="19"/>
      <c r="N77" s="19"/>
      <c r="O77" s="153"/>
      <c r="P77" s="199"/>
      <c r="Q77" s="199"/>
      <c r="R77" s="199"/>
      <c r="S77" s="275">
        <v>4</v>
      </c>
      <c r="T77" s="220"/>
      <c r="U77" s="253"/>
      <c r="V77" s="197">
        <f>I77-(S77*($L$2-$J$1)+(T77*($L$2-$L$1)))</f>
        <v>5708.5</v>
      </c>
    </row>
    <row r="78" spans="1:24" ht="15" customHeight="1" x14ac:dyDescent="0.25">
      <c r="A78" s="190"/>
      <c r="B78" s="131">
        <v>0</v>
      </c>
      <c r="C78" s="131">
        <v>0</v>
      </c>
      <c r="D78" s="132">
        <f>'Data Ocupacion'!X35</f>
        <v>0</v>
      </c>
      <c r="E78" s="132">
        <f>'Data Ocupacion'!Y35</f>
        <v>0</v>
      </c>
      <c r="F78" s="131" t="s">
        <v>36</v>
      </c>
      <c r="G78" s="131">
        <f t="shared" si="60"/>
        <v>0</v>
      </c>
      <c r="H78" s="131">
        <f t="shared" si="61"/>
        <v>0</v>
      </c>
      <c r="I78" s="131">
        <f>G78*L$1</f>
        <v>0</v>
      </c>
      <c r="J78" s="161">
        <f>H78*L$1</f>
        <v>0</v>
      </c>
      <c r="K78" s="131">
        <f t="shared" si="62"/>
        <v>0</v>
      </c>
      <c r="L78" s="131">
        <f t="shared" si="63"/>
        <v>0</v>
      </c>
      <c r="M78" s="19"/>
      <c r="N78" s="19"/>
      <c r="O78" s="153"/>
      <c r="P78" s="198"/>
      <c r="Q78" s="200"/>
      <c r="R78" s="223"/>
      <c r="S78" s="201"/>
      <c r="T78" s="202"/>
      <c r="U78" s="202"/>
      <c r="V78" s="193">
        <f>I78-(P78*($L$1-$J$1))</f>
        <v>0</v>
      </c>
    </row>
    <row r="79" spans="1:24" ht="13.5" customHeight="1" x14ac:dyDescent="0.25">
      <c r="A79" s="190"/>
      <c r="B79" s="131">
        <v>0</v>
      </c>
      <c r="C79" s="131">
        <v>0</v>
      </c>
      <c r="D79" s="132">
        <f>'Data Ocupacion'!X36</f>
        <v>0</v>
      </c>
      <c r="E79" s="132">
        <f>'Data Ocupacion'!Y36</f>
        <v>0</v>
      </c>
      <c r="F79" s="131" t="s">
        <v>53</v>
      </c>
      <c r="G79" s="131">
        <f t="shared" si="60"/>
        <v>0</v>
      </c>
      <c r="H79" s="131">
        <f t="shared" si="61"/>
        <v>0</v>
      </c>
      <c r="I79" s="131">
        <f>G79*L$1</f>
        <v>0</v>
      </c>
      <c r="J79" s="161">
        <f>H79*L$1</f>
        <v>0</v>
      </c>
      <c r="K79" s="131">
        <f t="shared" si="62"/>
        <v>0</v>
      </c>
      <c r="L79" s="131">
        <f t="shared" si="63"/>
        <v>0</v>
      </c>
      <c r="M79" s="19"/>
      <c r="N79" s="19"/>
      <c r="O79" s="153"/>
      <c r="P79" s="202"/>
      <c r="Q79" s="202"/>
      <c r="R79" s="202"/>
      <c r="S79" s="202"/>
      <c r="T79" s="202"/>
      <c r="U79" s="202"/>
      <c r="V79" s="193">
        <f t="shared" ref="V79:V80" si="64">I79</f>
        <v>0</v>
      </c>
    </row>
    <row r="80" spans="1:24" s="130" customFormat="1" ht="15" customHeight="1" x14ac:dyDescent="0.25">
      <c r="A80" s="190"/>
      <c r="B80" s="131">
        <v>0</v>
      </c>
      <c r="C80" s="131">
        <v>0</v>
      </c>
      <c r="D80" s="132">
        <f>'Data Ocupacion'!X37</f>
        <v>0</v>
      </c>
      <c r="E80" s="132">
        <f>'Data Ocupacion'!Y37</f>
        <v>0</v>
      </c>
      <c r="F80" s="131" t="s">
        <v>122</v>
      </c>
      <c r="G80" s="131">
        <f t="shared" si="60"/>
        <v>0</v>
      </c>
      <c r="H80" s="131">
        <f>D80+E80</f>
        <v>0</v>
      </c>
      <c r="I80" s="131">
        <f>G80*J$1</f>
        <v>0</v>
      </c>
      <c r="J80" s="161">
        <f>H80*J$1</f>
        <v>0</v>
      </c>
      <c r="K80" s="131">
        <f t="shared" si="62"/>
        <v>0</v>
      </c>
      <c r="L80" s="131">
        <f t="shared" si="63"/>
        <v>0</v>
      </c>
      <c r="M80" s="19"/>
      <c r="N80" s="19"/>
      <c r="O80" s="153"/>
      <c r="P80" s="202"/>
      <c r="Q80" s="202"/>
      <c r="R80" s="202"/>
      <c r="S80" s="202"/>
      <c r="T80" s="202"/>
      <c r="U80" s="202"/>
      <c r="V80" s="193">
        <f t="shared" si="64"/>
        <v>0</v>
      </c>
    </row>
    <row r="81" spans="1:22" s="130" customFormat="1" ht="15" customHeight="1" thickBot="1" x14ac:dyDescent="0.3">
      <c r="A81" s="190"/>
      <c r="B81" s="131">
        <v>0</v>
      </c>
      <c r="C81" s="131">
        <v>1</v>
      </c>
      <c r="D81" s="132">
        <f>'Data Ocupacion'!X38</f>
        <v>0</v>
      </c>
      <c r="E81" s="132">
        <f>'Data Ocupacion'!Y38</f>
        <v>1</v>
      </c>
      <c r="F81" s="131" t="s">
        <v>35</v>
      </c>
      <c r="G81" s="131">
        <f t="shared" si="60"/>
        <v>2</v>
      </c>
      <c r="H81" s="131">
        <f t="shared" si="61"/>
        <v>1</v>
      </c>
      <c r="I81" s="131">
        <f>G81*J$1</f>
        <v>50.8</v>
      </c>
      <c r="J81" s="161">
        <f>H81*J$1</f>
        <v>25.4</v>
      </c>
      <c r="K81" s="131">
        <f t="shared" si="62"/>
        <v>5283.2</v>
      </c>
      <c r="L81" s="131">
        <f t="shared" si="63"/>
        <v>104</v>
      </c>
      <c r="M81" s="19"/>
      <c r="N81" s="19"/>
      <c r="O81" s="153"/>
      <c r="P81" s="202"/>
      <c r="Q81" s="202"/>
      <c r="R81" s="202"/>
      <c r="S81" s="202"/>
      <c r="T81" s="202"/>
      <c r="U81" s="202"/>
      <c r="V81" s="193">
        <f>I81</f>
        <v>50.8</v>
      </c>
    </row>
    <row r="82" spans="1:22" ht="15" customHeight="1" thickBot="1" x14ac:dyDescent="0.3">
      <c r="A82" s="20"/>
      <c r="B82" s="237">
        <f>SUM(B76:B81)</f>
        <v>57</v>
      </c>
      <c r="C82" s="237">
        <f>SUM(C76:C81)</f>
        <v>107</v>
      </c>
      <c r="D82" s="160">
        <f>SUM(D76:D81)</f>
        <v>56</v>
      </c>
      <c r="E82" s="160">
        <f>SUM(E76:E81)</f>
        <v>108</v>
      </c>
      <c r="F82" s="124"/>
      <c r="G82" s="124">
        <f t="shared" ref="G82:L82" si="65">SUM(G76:G81)</f>
        <v>272</v>
      </c>
      <c r="H82" s="124">
        <f t="shared" si="65"/>
        <v>164</v>
      </c>
      <c r="I82" s="125">
        <f t="shared" si="65"/>
        <v>11695.9</v>
      </c>
      <c r="J82" s="124">
        <f t="shared" si="65"/>
        <v>7055.59</v>
      </c>
      <c r="K82" s="123">
        <f t="shared" si="65"/>
        <v>1216373.5999999999</v>
      </c>
      <c r="L82" s="159">
        <f t="shared" si="65"/>
        <v>17056</v>
      </c>
      <c r="M82" s="129">
        <f>'Odometro-Kilometraje'!L81</f>
        <v>12004</v>
      </c>
      <c r="N82" s="21">
        <f>(V82/M82)*100</f>
        <v>96.842552482505823</v>
      </c>
      <c r="O82" s="205"/>
      <c r="P82" s="192"/>
      <c r="Q82" s="192"/>
      <c r="R82" s="192"/>
      <c r="S82" s="192"/>
      <c r="T82" s="192"/>
      <c r="U82" s="192"/>
      <c r="V82" s="206">
        <f>SUM(V76:V81)</f>
        <v>11624.98</v>
      </c>
    </row>
    <row r="83" spans="1:22" ht="15.95" customHeight="1" x14ac:dyDescent="0.25">
      <c r="A83" s="62">
        <f>A76+1</f>
        <v>45303</v>
      </c>
      <c r="B83" s="131">
        <v>28</v>
      </c>
      <c r="C83" s="131">
        <v>54</v>
      </c>
      <c r="D83" s="132">
        <f>'Data Ocupacion'!Z33</f>
        <v>28</v>
      </c>
      <c r="E83" s="132">
        <f>'Data Ocupacion'!AA33</f>
        <v>54</v>
      </c>
      <c r="F83" s="131" t="s">
        <v>38</v>
      </c>
      <c r="G83" s="131">
        <f t="shared" ref="G83:G88" si="66">D83+E83*2</f>
        <v>136</v>
      </c>
      <c r="H83" s="131">
        <f t="shared" ref="H83:H88" si="67">D83+E83</f>
        <v>82</v>
      </c>
      <c r="I83" s="131">
        <f>G83*L$2</f>
        <v>5865.68</v>
      </c>
      <c r="J83" s="161">
        <f>H83*L$2</f>
        <v>3536.6600000000003</v>
      </c>
      <c r="K83" s="131">
        <f t="shared" ref="K83:K88" si="68">I83*104</f>
        <v>610030.72</v>
      </c>
      <c r="L83" s="131">
        <f t="shared" ref="L83:L88" si="69">H83*104</f>
        <v>8528</v>
      </c>
      <c r="M83" s="19"/>
      <c r="N83" s="19"/>
      <c r="O83" s="153"/>
      <c r="P83" s="275"/>
      <c r="Q83" s="194"/>
      <c r="R83" s="222"/>
      <c r="S83" s="203"/>
      <c r="T83" s="204"/>
      <c r="U83" s="252"/>
      <c r="V83" s="193">
        <f>I83-(P83*($L$2-$J$1)+(Q83*($L$2-$L$1))+  (R83*($L$2-$H$2)))</f>
        <v>5865.68</v>
      </c>
    </row>
    <row r="84" spans="1:22" ht="15" customHeight="1" x14ac:dyDescent="0.25">
      <c r="A84" s="190"/>
      <c r="B84" s="131">
        <v>29</v>
      </c>
      <c r="C84" s="131">
        <v>52</v>
      </c>
      <c r="D84" s="132">
        <f>'Data Ocupacion'!Z34</f>
        <v>28</v>
      </c>
      <c r="E84" s="132">
        <f>'Data Ocupacion'!AA34</f>
        <v>53</v>
      </c>
      <c r="F84" s="131" t="s">
        <v>52</v>
      </c>
      <c r="G84" s="131">
        <f t="shared" si="66"/>
        <v>134</v>
      </c>
      <c r="H84" s="131">
        <f t="shared" si="67"/>
        <v>81</v>
      </c>
      <c r="I84" s="131">
        <f>G84*L$2</f>
        <v>5779.42</v>
      </c>
      <c r="J84" s="161">
        <f>H84*L$2</f>
        <v>3493.53</v>
      </c>
      <c r="K84" s="131">
        <f t="shared" si="68"/>
        <v>601059.68000000005</v>
      </c>
      <c r="L84" s="131">
        <f t="shared" si="69"/>
        <v>8424</v>
      </c>
      <c r="M84" s="19"/>
      <c r="N84" s="19"/>
      <c r="O84" s="153"/>
      <c r="P84" s="199"/>
      <c r="Q84" s="199"/>
      <c r="R84" s="199"/>
      <c r="S84" s="275">
        <v>4</v>
      </c>
      <c r="T84" s="194"/>
      <c r="U84" s="222"/>
      <c r="V84" s="197">
        <f>I84-(S84*($L$2-$J$1)+(T84*($L$2-$L$1)))</f>
        <v>5708.5</v>
      </c>
    </row>
    <row r="85" spans="1:22" ht="15" customHeight="1" x14ac:dyDescent="0.25">
      <c r="A85" s="190"/>
      <c r="B85" s="131">
        <v>0</v>
      </c>
      <c r="C85" s="131">
        <v>0</v>
      </c>
      <c r="D85" s="132">
        <f>'Data Ocupacion'!Z35</f>
        <v>0</v>
      </c>
      <c r="E85" s="132">
        <f>'Data Ocupacion'!AA35</f>
        <v>0</v>
      </c>
      <c r="F85" s="131" t="s">
        <v>36</v>
      </c>
      <c r="G85" s="131">
        <f t="shared" si="66"/>
        <v>0</v>
      </c>
      <c r="H85" s="131">
        <f t="shared" si="67"/>
        <v>0</v>
      </c>
      <c r="I85" s="131">
        <f>G85*L$1</f>
        <v>0</v>
      </c>
      <c r="J85" s="161">
        <f>H85*L$1</f>
        <v>0</v>
      </c>
      <c r="K85" s="131">
        <f t="shared" si="68"/>
        <v>0</v>
      </c>
      <c r="L85" s="131">
        <f t="shared" si="69"/>
        <v>0</v>
      </c>
      <c r="M85" s="19"/>
      <c r="N85" s="19"/>
      <c r="O85" s="153"/>
      <c r="P85" s="198"/>
      <c r="Q85" s="200"/>
      <c r="R85" s="223"/>
      <c r="S85" s="201"/>
      <c r="T85" s="202"/>
      <c r="U85" s="202"/>
      <c r="V85" s="193">
        <f>I85-(P85*($L$1-$J$1))</f>
        <v>0</v>
      </c>
    </row>
    <row r="86" spans="1:22" ht="15" customHeight="1" x14ac:dyDescent="0.25">
      <c r="A86" s="190"/>
      <c r="B86" s="131">
        <v>0</v>
      </c>
      <c r="C86" s="131">
        <v>0</v>
      </c>
      <c r="D86" s="132">
        <f>'Data Ocupacion'!Z36</f>
        <v>0</v>
      </c>
      <c r="E86" s="132">
        <f>'Data Ocupacion'!AA36</f>
        <v>0</v>
      </c>
      <c r="F86" s="131" t="s">
        <v>53</v>
      </c>
      <c r="G86" s="131">
        <f t="shared" si="66"/>
        <v>0</v>
      </c>
      <c r="H86" s="131">
        <f t="shared" si="67"/>
        <v>0</v>
      </c>
      <c r="I86" s="131">
        <f>G86*L$1</f>
        <v>0</v>
      </c>
      <c r="J86" s="161">
        <f>H86*L$1</f>
        <v>0</v>
      </c>
      <c r="K86" s="131">
        <f t="shared" si="68"/>
        <v>0</v>
      </c>
      <c r="L86" s="131">
        <f t="shared" si="69"/>
        <v>0</v>
      </c>
      <c r="M86" s="19"/>
      <c r="N86" s="19"/>
      <c r="O86" s="153"/>
      <c r="P86" s="202"/>
      <c r="Q86" s="202"/>
      <c r="R86" s="202"/>
      <c r="S86" s="202"/>
      <c r="T86" s="202"/>
      <c r="U86" s="202"/>
      <c r="V86" s="193">
        <f t="shared" ref="V86:V87" si="70">I86</f>
        <v>0</v>
      </c>
    </row>
    <row r="87" spans="1:22" ht="15" customHeight="1" x14ac:dyDescent="0.25">
      <c r="A87" s="190"/>
      <c r="B87" s="131">
        <v>0</v>
      </c>
      <c r="C87" s="131">
        <v>0</v>
      </c>
      <c r="D87" s="132">
        <f>'Data Ocupacion'!Z37</f>
        <v>0</v>
      </c>
      <c r="E87" s="132">
        <f>'Data Ocupacion'!AA37</f>
        <v>0</v>
      </c>
      <c r="F87" s="131" t="s">
        <v>122</v>
      </c>
      <c r="G87" s="131">
        <f t="shared" si="66"/>
        <v>0</v>
      </c>
      <c r="H87" s="131">
        <f t="shared" si="67"/>
        <v>0</v>
      </c>
      <c r="I87" s="131">
        <f>G87*J$1</f>
        <v>0</v>
      </c>
      <c r="J87" s="161">
        <f>H87*J$1</f>
        <v>0</v>
      </c>
      <c r="K87" s="131">
        <f t="shared" si="68"/>
        <v>0</v>
      </c>
      <c r="L87" s="131">
        <f t="shared" si="69"/>
        <v>0</v>
      </c>
      <c r="M87" s="19"/>
      <c r="N87" s="19"/>
      <c r="O87" s="153"/>
      <c r="P87" s="202"/>
      <c r="Q87" s="202"/>
      <c r="R87" s="202"/>
      <c r="S87" s="202"/>
      <c r="T87" s="202"/>
      <c r="U87" s="202"/>
      <c r="V87" s="193">
        <f t="shared" si="70"/>
        <v>0</v>
      </c>
    </row>
    <row r="88" spans="1:22" ht="15.75" thickBot="1" x14ac:dyDescent="0.3">
      <c r="A88" s="190"/>
      <c r="B88" s="131">
        <v>0</v>
      </c>
      <c r="C88" s="131">
        <v>1</v>
      </c>
      <c r="D88" s="132">
        <f>'Data Ocupacion'!Z38</f>
        <v>0</v>
      </c>
      <c r="E88" s="132">
        <f>'Data Ocupacion'!AA38</f>
        <v>1</v>
      </c>
      <c r="F88" s="131" t="s">
        <v>35</v>
      </c>
      <c r="G88" s="131">
        <f t="shared" si="66"/>
        <v>2</v>
      </c>
      <c r="H88" s="131">
        <f t="shared" si="67"/>
        <v>1</v>
      </c>
      <c r="I88" s="131">
        <f>G88*J$1</f>
        <v>50.8</v>
      </c>
      <c r="J88" s="161">
        <f>H88*J$1</f>
        <v>25.4</v>
      </c>
      <c r="K88" s="131">
        <f t="shared" si="68"/>
        <v>5283.2</v>
      </c>
      <c r="L88" s="131">
        <f t="shared" si="69"/>
        <v>104</v>
      </c>
      <c r="M88" s="19"/>
      <c r="N88" s="19"/>
      <c r="O88" s="153"/>
      <c r="P88" s="202"/>
      <c r="Q88" s="202"/>
      <c r="R88" s="202"/>
      <c r="S88" s="202"/>
      <c r="T88" s="202"/>
      <c r="U88" s="202"/>
      <c r="V88" s="193">
        <f>I88</f>
        <v>50.8</v>
      </c>
    </row>
    <row r="89" spans="1:22" s="130" customFormat="1" ht="15.75" thickBot="1" x14ac:dyDescent="0.3">
      <c r="A89" s="128"/>
      <c r="B89" s="237">
        <f>SUM(B83:B88)</f>
        <v>57</v>
      </c>
      <c r="C89" s="237">
        <f>SUM(C83:C88)</f>
        <v>107</v>
      </c>
      <c r="D89" s="160">
        <f>SUM(D83:D88)</f>
        <v>56</v>
      </c>
      <c r="E89" s="160">
        <f>SUM(E83:E88)</f>
        <v>108</v>
      </c>
      <c r="F89" s="124"/>
      <c r="G89" s="124">
        <f t="shared" ref="G89:L89" si="71">SUM(G83:G88)</f>
        <v>272</v>
      </c>
      <c r="H89" s="124">
        <f t="shared" si="71"/>
        <v>164</v>
      </c>
      <c r="I89" s="125">
        <f t="shared" si="71"/>
        <v>11695.9</v>
      </c>
      <c r="J89" s="124">
        <f t="shared" si="71"/>
        <v>7055.59</v>
      </c>
      <c r="K89" s="123">
        <f t="shared" si="71"/>
        <v>1216373.5999999999</v>
      </c>
      <c r="L89" s="159">
        <f t="shared" si="71"/>
        <v>17056</v>
      </c>
      <c r="M89" s="129">
        <f>'Odometro-Kilometraje'!M81</f>
        <v>12183</v>
      </c>
      <c r="N89" s="21">
        <f>(V89/M89)*100</f>
        <v>95.419683165066076</v>
      </c>
      <c r="O89" s="205"/>
      <c r="P89" s="192"/>
      <c r="Q89" s="192"/>
      <c r="R89" s="192"/>
      <c r="S89" s="192"/>
      <c r="T89" s="192"/>
      <c r="U89" s="192"/>
      <c r="V89" s="206">
        <f>SUM(V83:V88)</f>
        <v>11624.98</v>
      </c>
    </row>
    <row r="90" spans="1:22" x14ac:dyDescent="0.25">
      <c r="A90" s="127">
        <f>A83+1</f>
        <v>45304</v>
      </c>
      <c r="B90" s="119">
        <v>67</v>
      </c>
      <c r="C90" s="119">
        <v>3</v>
      </c>
      <c r="D90" s="155">
        <f>'Data Ocupacion'!AB33</f>
        <v>66</v>
      </c>
      <c r="E90" s="155">
        <f>'Data Ocupacion'!AC33</f>
        <v>4</v>
      </c>
      <c r="F90" s="119" t="s">
        <v>38</v>
      </c>
      <c r="G90" s="119">
        <f t="shared" ref="G90:G95" si="72">D90+E90*2</f>
        <v>74</v>
      </c>
      <c r="H90" s="119">
        <f t="shared" ref="H90:H95" si="73">D90+E90</f>
        <v>70</v>
      </c>
      <c r="I90" s="119">
        <f>G90*L$2</f>
        <v>3191.6200000000003</v>
      </c>
      <c r="J90" s="119">
        <f>H90*L$2</f>
        <v>3019.1000000000004</v>
      </c>
      <c r="K90" s="119">
        <f t="shared" ref="K90:K95" si="74">I90*104</f>
        <v>331928.48000000004</v>
      </c>
      <c r="L90" s="119">
        <f t="shared" ref="L90:L95" si="75">H90*104</f>
        <v>7280</v>
      </c>
      <c r="M90" s="19"/>
      <c r="N90" s="19"/>
      <c r="O90" s="153"/>
      <c r="P90" s="194"/>
      <c r="Q90" s="194"/>
      <c r="R90" s="222"/>
      <c r="S90" s="203"/>
      <c r="T90" s="204"/>
      <c r="U90" s="252"/>
      <c r="V90" s="193">
        <f>I90-(P90*($L$2-$J$1)+(Q90*($L$2-$L$1))+  (R90*($L$2-$H$2)))</f>
        <v>3191.6200000000003</v>
      </c>
    </row>
    <row r="91" spans="1:22" ht="17.25" customHeight="1" x14ac:dyDescent="0.25">
      <c r="A91" s="190"/>
      <c r="B91" s="119">
        <v>73</v>
      </c>
      <c r="C91" s="119">
        <v>0</v>
      </c>
      <c r="D91" s="155">
        <f>'Data Ocupacion'!AB34</f>
        <v>72</v>
      </c>
      <c r="E91" s="155">
        <f>'Data Ocupacion'!AC34</f>
        <v>1</v>
      </c>
      <c r="F91" s="119" t="s">
        <v>52</v>
      </c>
      <c r="G91" s="119">
        <f t="shared" si="72"/>
        <v>74</v>
      </c>
      <c r="H91" s="119">
        <f t="shared" si="73"/>
        <v>73</v>
      </c>
      <c r="I91" s="119">
        <f>G91*L$2</f>
        <v>3191.6200000000003</v>
      </c>
      <c r="J91" s="119">
        <f>H91*L$2</f>
        <v>3148.4900000000002</v>
      </c>
      <c r="K91" s="119">
        <f t="shared" si="74"/>
        <v>331928.48000000004</v>
      </c>
      <c r="L91" s="119">
        <f t="shared" si="75"/>
        <v>7592</v>
      </c>
      <c r="M91" s="19"/>
      <c r="N91" s="19"/>
      <c r="O91" s="153"/>
      <c r="P91" s="199"/>
      <c r="Q91" s="199"/>
      <c r="R91" s="199"/>
      <c r="S91" s="275"/>
      <c r="T91" s="196"/>
      <c r="U91" s="253"/>
      <c r="V91" s="197">
        <f>I91-(S91*($L$2-$J$1)+(T91*($L$2-$L$1)))</f>
        <v>3191.6200000000003</v>
      </c>
    </row>
    <row r="92" spans="1:22" x14ac:dyDescent="0.25">
      <c r="A92" s="190"/>
      <c r="B92" s="119">
        <v>0</v>
      </c>
      <c r="C92" s="119">
        <v>0</v>
      </c>
      <c r="D92" s="155">
        <f>'Data Ocupacion'!AB35</f>
        <v>0</v>
      </c>
      <c r="E92" s="155">
        <f>'Data Ocupacion'!AC35</f>
        <v>0</v>
      </c>
      <c r="F92" s="119" t="s">
        <v>36</v>
      </c>
      <c r="G92" s="119">
        <f t="shared" si="72"/>
        <v>0</v>
      </c>
      <c r="H92" s="119">
        <f t="shared" si="73"/>
        <v>0</v>
      </c>
      <c r="I92" s="119">
        <f>G92*L$1</f>
        <v>0</v>
      </c>
      <c r="J92" s="119">
        <f>H92*L$1</f>
        <v>0</v>
      </c>
      <c r="K92" s="119">
        <f t="shared" si="74"/>
        <v>0</v>
      </c>
      <c r="L92" s="119">
        <f t="shared" si="75"/>
        <v>0</v>
      </c>
      <c r="M92" s="19"/>
      <c r="N92" s="19"/>
      <c r="O92" s="153"/>
      <c r="P92" s="275"/>
      <c r="Q92" s="203"/>
      <c r="R92" s="252"/>
      <c r="S92" s="199"/>
      <c r="T92" s="202"/>
      <c r="U92" s="202"/>
      <c r="V92" s="193">
        <f>I92-(P92*($L$1-$J$1))</f>
        <v>0</v>
      </c>
    </row>
    <row r="93" spans="1:22" ht="15" customHeight="1" x14ac:dyDescent="0.25">
      <c r="A93" s="190"/>
      <c r="B93" s="119">
        <v>0</v>
      </c>
      <c r="C93" s="119">
        <v>0</v>
      </c>
      <c r="D93" s="155">
        <f>'Data Ocupacion'!AB36</f>
        <v>0</v>
      </c>
      <c r="E93" s="155">
        <f>'Data Ocupacion'!AC36</f>
        <v>0</v>
      </c>
      <c r="F93" s="119" t="s">
        <v>53</v>
      </c>
      <c r="G93" s="119">
        <f t="shared" si="72"/>
        <v>0</v>
      </c>
      <c r="H93" s="119">
        <f t="shared" si="73"/>
        <v>0</v>
      </c>
      <c r="I93" s="119">
        <f>G93*L$1</f>
        <v>0</v>
      </c>
      <c r="J93" s="119">
        <f>H93*L$1</f>
        <v>0</v>
      </c>
      <c r="K93" s="119">
        <f t="shared" si="74"/>
        <v>0</v>
      </c>
      <c r="L93" s="119">
        <f t="shared" si="75"/>
        <v>0</v>
      </c>
      <c r="M93" s="19"/>
      <c r="N93" s="19"/>
      <c r="O93" s="153"/>
      <c r="P93" s="286"/>
      <c r="Q93" s="286"/>
      <c r="R93" s="286"/>
      <c r="S93" s="286"/>
      <c r="T93" s="202"/>
      <c r="U93" s="202"/>
      <c r="V93" s="193">
        <f t="shared" ref="V93:V94" si="76">I93</f>
        <v>0</v>
      </c>
    </row>
    <row r="94" spans="1:22" ht="15" customHeight="1" x14ac:dyDescent="0.25">
      <c r="A94" s="190"/>
      <c r="B94" s="119">
        <v>0</v>
      </c>
      <c r="C94" s="119">
        <v>0</v>
      </c>
      <c r="D94" s="155">
        <f>'Data Ocupacion'!AB37</f>
        <v>0</v>
      </c>
      <c r="E94" s="155">
        <f>'Data Ocupacion'!AC37</f>
        <v>0</v>
      </c>
      <c r="F94" s="119" t="s">
        <v>122</v>
      </c>
      <c r="G94" s="119">
        <f t="shared" si="72"/>
        <v>0</v>
      </c>
      <c r="H94" s="119">
        <f t="shared" si="73"/>
        <v>0</v>
      </c>
      <c r="I94" s="119">
        <f>G94*J$1</f>
        <v>0</v>
      </c>
      <c r="J94" s="119">
        <f>H94*J$1</f>
        <v>0</v>
      </c>
      <c r="K94" s="119">
        <f t="shared" si="74"/>
        <v>0</v>
      </c>
      <c r="L94" s="119">
        <f t="shared" si="75"/>
        <v>0</v>
      </c>
      <c r="M94" s="19"/>
      <c r="N94" s="19"/>
      <c r="O94" s="153"/>
      <c r="P94" s="286"/>
      <c r="Q94" s="286"/>
      <c r="R94" s="286"/>
      <c r="S94" s="286"/>
      <c r="T94" s="202"/>
      <c r="U94" s="202"/>
      <c r="V94" s="193">
        <f t="shared" si="76"/>
        <v>0</v>
      </c>
    </row>
    <row r="95" spans="1:22" ht="15.75" thickBot="1" x14ac:dyDescent="0.3">
      <c r="A95" s="190"/>
      <c r="B95" s="119">
        <v>0</v>
      </c>
      <c r="C95" s="119">
        <v>0</v>
      </c>
      <c r="D95" s="155">
        <f>'Data Ocupacion'!AB38</f>
        <v>0</v>
      </c>
      <c r="E95" s="155">
        <f>'Data Ocupacion'!AC38</f>
        <v>0</v>
      </c>
      <c r="F95" s="119" t="s">
        <v>35</v>
      </c>
      <c r="G95" s="119">
        <f t="shared" si="72"/>
        <v>0</v>
      </c>
      <c r="H95" s="119">
        <f t="shared" si="73"/>
        <v>0</v>
      </c>
      <c r="I95" s="119">
        <f>G95*J$1</f>
        <v>0</v>
      </c>
      <c r="J95" s="119">
        <f>H95*J$1</f>
        <v>0</v>
      </c>
      <c r="K95" s="119">
        <f t="shared" si="74"/>
        <v>0</v>
      </c>
      <c r="L95" s="119">
        <f t="shared" si="75"/>
        <v>0</v>
      </c>
      <c r="M95" s="19"/>
      <c r="N95" s="19"/>
      <c r="O95" s="153"/>
      <c r="P95" s="286"/>
      <c r="Q95" s="286"/>
      <c r="R95" s="286"/>
      <c r="S95" s="286"/>
      <c r="T95" s="202"/>
      <c r="U95" s="202"/>
      <c r="V95" s="193">
        <f>I95</f>
        <v>0</v>
      </c>
    </row>
    <row r="96" spans="1:22" s="130" customFormat="1" ht="15.75" thickBot="1" x14ac:dyDescent="0.3">
      <c r="A96" s="20"/>
      <c r="B96" s="237">
        <f>SUM(B90:B95)</f>
        <v>140</v>
      </c>
      <c r="C96" s="237">
        <f>SUM(C90:C95)</f>
        <v>3</v>
      </c>
      <c r="D96" s="160">
        <f>SUM(D90:D95)</f>
        <v>138</v>
      </c>
      <c r="E96" s="160">
        <f>SUM(E90:E95)</f>
        <v>5</v>
      </c>
      <c r="F96" s="124"/>
      <c r="G96" s="124">
        <f t="shared" ref="G96:L96" si="77">SUM(G90:G95)</f>
        <v>148</v>
      </c>
      <c r="H96" s="124">
        <f t="shared" si="77"/>
        <v>143</v>
      </c>
      <c r="I96" s="125">
        <f t="shared" si="77"/>
        <v>6383.2400000000007</v>
      </c>
      <c r="J96" s="124">
        <f t="shared" si="77"/>
        <v>6167.59</v>
      </c>
      <c r="K96" s="123">
        <f t="shared" si="77"/>
        <v>663856.96000000008</v>
      </c>
      <c r="L96" s="159">
        <f t="shared" si="77"/>
        <v>14872</v>
      </c>
      <c r="M96" s="129">
        <f>'Odometro-Kilometraje'!N81</f>
        <v>6439</v>
      </c>
      <c r="N96" s="21">
        <f>(V96/M96)*100</f>
        <v>99.134027022829642</v>
      </c>
      <c r="O96" s="205"/>
      <c r="P96" s="287"/>
      <c r="Q96" s="287"/>
      <c r="R96" s="287"/>
      <c r="S96" s="287"/>
      <c r="T96" s="192"/>
      <c r="U96" s="192"/>
      <c r="V96" s="206">
        <f>SUM(V90:V95)</f>
        <v>6383.2400000000007</v>
      </c>
    </row>
    <row r="97" spans="1:24" ht="17.25" customHeight="1" x14ac:dyDescent="0.25">
      <c r="A97" s="62">
        <f>A90+1</f>
        <v>45305</v>
      </c>
      <c r="B97" s="238">
        <v>51</v>
      </c>
      <c r="C97" s="238">
        <v>3</v>
      </c>
      <c r="D97" s="144">
        <f>'Data Ocupacion'!AD33</f>
        <v>51</v>
      </c>
      <c r="E97" s="144">
        <f>'Data Ocupacion'!AE33</f>
        <v>3</v>
      </c>
      <c r="F97" s="302" t="s">
        <v>38</v>
      </c>
      <c r="G97" s="303">
        <f t="shared" ref="G97:G102" si="78">D97+E97*2</f>
        <v>57</v>
      </c>
      <c r="H97" s="304">
        <f t="shared" ref="H97:H102" si="79">D97+E97</f>
        <v>54</v>
      </c>
      <c r="I97" s="304">
        <f>G97*L$2</f>
        <v>2458.4100000000003</v>
      </c>
      <c r="J97" s="238">
        <f>H97*L$2</f>
        <v>2329.02</v>
      </c>
      <c r="K97" s="238">
        <f t="shared" ref="K97:K102" si="80">I97*104</f>
        <v>255674.64000000004</v>
      </c>
      <c r="L97" s="238">
        <f t="shared" ref="L97:L102" si="81">H97*104</f>
        <v>5616</v>
      </c>
      <c r="M97" s="19"/>
      <c r="N97" s="19"/>
      <c r="O97" s="153"/>
      <c r="P97" s="275"/>
      <c r="Q97" s="194"/>
      <c r="R97" s="222"/>
      <c r="S97" s="203"/>
      <c r="T97" s="204"/>
      <c r="U97" s="252"/>
      <c r="V97" s="193">
        <f>I97-(P97*($L$2-$J$1)+(Q97*($L$2-$L$1))+  (R97*($L$2-$H$2)))</f>
        <v>2458.4100000000003</v>
      </c>
    </row>
    <row r="98" spans="1:24" ht="15" customHeight="1" x14ac:dyDescent="0.25">
      <c r="A98" s="299"/>
      <c r="B98" s="238">
        <v>57</v>
      </c>
      <c r="C98" s="238">
        <v>0</v>
      </c>
      <c r="D98" s="144">
        <f>'Data Ocupacion'!AD34</f>
        <v>57</v>
      </c>
      <c r="E98" s="144">
        <f>'Data Ocupacion'!AE34</f>
        <v>0</v>
      </c>
      <c r="F98" s="302" t="s">
        <v>52</v>
      </c>
      <c r="G98" s="303">
        <f t="shared" si="78"/>
        <v>57</v>
      </c>
      <c r="H98" s="238">
        <f t="shared" si="79"/>
        <v>57</v>
      </c>
      <c r="I98" s="238">
        <f>G98*L$2</f>
        <v>2458.4100000000003</v>
      </c>
      <c r="J98" s="238">
        <f>H98*L$2</f>
        <v>2458.4100000000003</v>
      </c>
      <c r="K98" s="238">
        <f t="shared" si="80"/>
        <v>255674.64000000004</v>
      </c>
      <c r="L98" s="238">
        <f t="shared" si="81"/>
        <v>5928</v>
      </c>
      <c r="M98" s="19"/>
      <c r="N98" s="19"/>
      <c r="O98" s="153"/>
      <c r="P98" s="199"/>
      <c r="Q98" s="199"/>
      <c r="R98" s="199"/>
      <c r="S98" s="275"/>
      <c r="T98" s="220"/>
      <c r="U98" s="222"/>
      <c r="V98" s="197">
        <f>I98-(S98*($L$2-$J$1)+(T98*($L$2-$L$1)))</f>
        <v>2458.4100000000003</v>
      </c>
    </row>
    <row r="99" spans="1:24" ht="15" customHeight="1" x14ac:dyDescent="0.25">
      <c r="A99" s="299"/>
      <c r="B99" s="238">
        <v>0</v>
      </c>
      <c r="C99" s="238">
        <v>0</v>
      </c>
      <c r="D99" s="144">
        <f>'Data Ocupacion'!AD35</f>
        <v>0</v>
      </c>
      <c r="E99" s="144">
        <f>'Data Ocupacion'!AE35</f>
        <v>0</v>
      </c>
      <c r="F99" s="302" t="s">
        <v>36</v>
      </c>
      <c r="G99" s="303">
        <f t="shared" si="78"/>
        <v>0</v>
      </c>
      <c r="H99" s="238">
        <f t="shared" si="79"/>
        <v>0</v>
      </c>
      <c r="I99" s="238">
        <f>G99*L$1</f>
        <v>0</v>
      </c>
      <c r="J99" s="238">
        <f>H99*L$1</f>
        <v>0</v>
      </c>
      <c r="K99" s="238">
        <f t="shared" si="80"/>
        <v>0</v>
      </c>
      <c r="L99" s="238">
        <f t="shared" si="81"/>
        <v>0</v>
      </c>
      <c r="M99" s="19"/>
      <c r="N99" s="19"/>
      <c r="O99" s="153"/>
      <c r="P99" s="198"/>
      <c r="Q99" s="200"/>
      <c r="R99" s="223"/>
      <c r="S99" s="201"/>
      <c r="T99" s="202"/>
      <c r="U99" s="202"/>
      <c r="V99" s="193">
        <f>I99-(P99*($L$1-$J$1))</f>
        <v>0</v>
      </c>
    </row>
    <row r="100" spans="1:24" ht="15" customHeight="1" x14ac:dyDescent="0.25">
      <c r="A100" s="299"/>
      <c r="B100" s="238">
        <v>0</v>
      </c>
      <c r="C100" s="238">
        <v>0</v>
      </c>
      <c r="D100" s="144">
        <f>'Data Ocupacion'!AD36</f>
        <v>0</v>
      </c>
      <c r="E100" s="144">
        <f>'Data Ocupacion'!AE36</f>
        <v>0</v>
      </c>
      <c r="F100" s="302" t="s">
        <v>53</v>
      </c>
      <c r="G100" s="303">
        <f t="shared" si="78"/>
        <v>0</v>
      </c>
      <c r="H100" s="238">
        <f t="shared" si="79"/>
        <v>0</v>
      </c>
      <c r="I100" s="238">
        <f>G100*L$1</f>
        <v>0</v>
      </c>
      <c r="J100" s="238">
        <f>H100*L$1</f>
        <v>0</v>
      </c>
      <c r="K100" s="238">
        <f t="shared" si="80"/>
        <v>0</v>
      </c>
      <c r="L100" s="238">
        <f t="shared" si="81"/>
        <v>0</v>
      </c>
      <c r="M100" s="19"/>
      <c r="N100" s="19"/>
      <c r="O100" s="153"/>
      <c r="P100" s="202"/>
      <c r="Q100" s="202"/>
      <c r="R100" s="202"/>
      <c r="S100" s="202"/>
      <c r="T100" s="202"/>
      <c r="U100" s="202"/>
      <c r="V100" s="193">
        <f t="shared" ref="V100:V101" si="82">I100</f>
        <v>0</v>
      </c>
    </row>
    <row r="101" spans="1:24" ht="15" customHeight="1" x14ac:dyDescent="0.25">
      <c r="A101" s="299"/>
      <c r="B101" s="238">
        <v>0</v>
      </c>
      <c r="C101" s="238">
        <v>0</v>
      </c>
      <c r="D101" s="144">
        <f>'Data Ocupacion'!AD37</f>
        <v>0</v>
      </c>
      <c r="E101" s="144">
        <f>'Data Ocupacion'!AE37</f>
        <v>0</v>
      </c>
      <c r="F101" s="302" t="s">
        <v>122</v>
      </c>
      <c r="G101" s="303">
        <f t="shared" si="78"/>
        <v>0</v>
      </c>
      <c r="H101" s="238">
        <f t="shared" si="79"/>
        <v>0</v>
      </c>
      <c r="I101" s="305">
        <f>G101*J$1</f>
        <v>0</v>
      </c>
      <c r="J101" s="238">
        <f>H101*J$1</f>
        <v>0</v>
      </c>
      <c r="K101" s="238">
        <f t="shared" si="80"/>
        <v>0</v>
      </c>
      <c r="L101" s="238">
        <f t="shared" si="81"/>
        <v>0</v>
      </c>
      <c r="M101" s="19"/>
      <c r="N101" s="19"/>
      <c r="O101" s="153"/>
      <c r="P101" s="202"/>
      <c r="Q101" s="202"/>
      <c r="R101" s="202"/>
      <c r="S101" s="202"/>
      <c r="T101" s="202"/>
      <c r="U101" s="202"/>
      <c r="V101" s="193">
        <f t="shared" si="82"/>
        <v>0</v>
      </c>
    </row>
    <row r="102" spans="1:24" ht="15" customHeight="1" thickBot="1" x14ac:dyDescent="0.3">
      <c r="A102" s="299"/>
      <c r="B102" s="238">
        <v>0</v>
      </c>
      <c r="C102" s="238">
        <v>0</v>
      </c>
      <c r="D102" s="144">
        <f>'Data Ocupacion'!AD38</f>
        <v>0</v>
      </c>
      <c r="E102" s="144">
        <f>'Data Ocupacion'!AE38</f>
        <v>0</v>
      </c>
      <c r="F102" s="302" t="s">
        <v>35</v>
      </c>
      <c r="G102" s="303">
        <f t="shared" si="78"/>
        <v>0</v>
      </c>
      <c r="H102" s="306">
        <f t="shared" si="79"/>
        <v>0</v>
      </c>
      <c r="I102" s="306">
        <f>G102*J$1</f>
        <v>0</v>
      </c>
      <c r="J102" s="238">
        <f>H102*J$1</f>
        <v>0</v>
      </c>
      <c r="K102" s="238">
        <f t="shared" si="80"/>
        <v>0</v>
      </c>
      <c r="L102" s="238">
        <f t="shared" si="81"/>
        <v>0</v>
      </c>
      <c r="M102" s="19"/>
      <c r="N102" s="19"/>
      <c r="O102" s="153"/>
      <c r="P102" s="202"/>
      <c r="Q102" s="202"/>
      <c r="R102" s="202"/>
      <c r="S102" s="202"/>
      <c r="T102" s="202"/>
      <c r="U102" s="202"/>
      <c r="V102" s="193">
        <f>I102</f>
        <v>0</v>
      </c>
    </row>
    <row r="103" spans="1:24" s="130" customFormat="1" ht="15" customHeight="1" thickBot="1" x14ac:dyDescent="0.3">
      <c r="A103" s="20"/>
      <c r="B103" s="237">
        <f>SUM(B97:B102)</f>
        <v>108</v>
      </c>
      <c r="C103" s="237">
        <f>SUM(C97:C102)</f>
        <v>3</v>
      </c>
      <c r="D103" s="156">
        <f>SUM(D97:D102)</f>
        <v>108</v>
      </c>
      <c r="E103" s="156">
        <f>SUM(E97:E102)</f>
        <v>3</v>
      </c>
      <c r="F103" s="124"/>
      <c r="G103" s="124">
        <f t="shared" ref="G103:L103" si="83">SUM(G97:G102)</f>
        <v>114</v>
      </c>
      <c r="H103" s="124">
        <f t="shared" si="83"/>
        <v>111</v>
      </c>
      <c r="I103" s="125">
        <f t="shared" si="83"/>
        <v>4916.8200000000006</v>
      </c>
      <c r="J103" s="124">
        <f t="shared" si="83"/>
        <v>4787.43</v>
      </c>
      <c r="K103" s="124">
        <f t="shared" si="83"/>
        <v>511349.28000000009</v>
      </c>
      <c r="L103" s="124">
        <f t="shared" si="83"/>
        <v>11544</v>
      </c>
      <c r="M103" s="129">
        <f>'Odometro-Kilometraje'!O81</f>
        <v>4950</v>
      </c>
      <c r="N103" s="21">
        <f>(V103/M103)*100</f>
        <v>99.329696969696982</v>
      </c>
      <c r="O103" s="205"/>
      <c r="P103" s="192"/>
      <c r="Q103" s="192"/>
      <c r="R103" s="192"/>
      <c r="S103" s="192"/>
      <c r="T103" s="192"/>
      <c r="U103" s="192"/>
      <c r="V103" s="206">
        <f>SUM(V97:V102)</f>
        <v>4916.8200000000006</v>
      </c>
    </row>
    <row r="104" spans="1:24" ht="15.95" customHeight="1" x14ac:dyDescent="0.25">
      <c r="A104" s="62">
        <f>A97+1</f>
        <v>45306</v>
      </c>
      <c r="B104" s="131">
        <v>37</v>
      </c>
      <c r="C104" s="131">
        <v>45</v>
      </c>
      <c r="D104" s="132">
        <f>'Data Ocupacion'!AF33</f>
        <v>36</v>
      </c>
      <c r="E104" s="132">
        <f>'Data Ocupacion'!AG33</f>
        <v>46</v>
      </c>
      <c r="F104" s="242" t="s">
        <v>38</v>
      </c>
      <c r="G104" s="243">
        <f t="shared" ref="G104:G109" si="84">D104+E104*2</f>
        <v>128</v>
      </c>
      <c r="H104" s="244">
        <f t="shared" ref="H104:H109" si="85">D104+E104</f>
        <v>82</v>
      </c>
      <c r="I104" s="244">
        <f>G104*L$2</f>
        <v>5520.64</v>
      </c>
      <c r="J104" s="161">
        <f>H104*L$2</f>
        <v>3536.6600000000003</v>
      </c>
      <c r="K104" s="131">
        <f t="shared" ref="K104:K109" si="86">I104*104</f>
        <v>574146.56000000006</v>
      </c>
      <c r="L104" s="131">
        <f t="shared" ref="L104:L109" si="87">H104*104</f>
        <v>8528</v>
      </c>
      <c r="M104" s="19"/>
      <c r="N104" s="19"/>
      <c r="O104" s="153"/>
      <c r="P104" s="275">
        <v>4</v>
      </c>
      <c r="Q104" s="194"/>
      <c r="R104" s="222"/>
      <c r="S104" s="203"/>
      <c r="T104" s="204"/>
      <c r="U104" s="252"/>
      <c r="V104" s="193">
        <f>I104-(P104*($L$2-$J$1)+(Q104*($L$2-$L$1))+  (R104*($L$2-$H$2)))</f>
        <v>5449.72</v>
      </c>
    </row>
    <row r="105" spans="1:24" x14ac:dyDescent="0.25">
      <c r="A105" s="333" t="s">
        <v>172</v>
      </c>
      <c r="B105" s="131">
        <v>38</v>
      </c>
      <c r="C105" s="131">
        <v>43</v>
      </c>
      <c r="D105" s="132">
        <f>'Data Ocupacion'!AF34</f>
        <v>37</v>
      </c>
      <c r="E105" s="132">
        <f>'Data Ocupacion'!AG34</f>
        <v>44</v>
      </c>
      <c r="F105" s="242" t="s">
        <v>52</v>
      </c>
      <c r="G105" s="243">
        <f t="shared" si="84"/>
        <v>125</v>
      </c>
      <c r="H105" s="131">
        <f t="shared" si="85"/>
        <v>81</v>
      </c>
      <c r="I105" s="131">
        <f>G105*L$2</f>
        <v>5391.25</v>
      </c>
      <c r="J105" s="161">
        <f>H105*L$2</f>
        <v>3493.53</v>
      </c>
      <c r="K105" s="131">
        <f t="shared" si="86"/>
        <v>560690</v>
      </c>
      <c r="L105" s="131">
        <f t="shared" si="87"/>
        <v>8424</v>
      </c>
      <c r="M105" s="19"/>
      <c r="N105" s="19"/>
      <c r="O105" s="153"/>
      <c r="P105" s="199"/>
      <c r="Q105" s="199"/>
      <c r="R105" s="199"/>
      <c r="S105" s="267">
        <v>1</v>
      </c>
      <c r="T105" s="196"/>
      <c r="U105" s="253"/>
      <c r="V105" s="197">
        <f>I105-(S105*($L$2-$J$1)+(T105*($L$2-$L$1)))</f>
        <v>5373.52</v>
      </c>
    </row>
    <row r="106" spans="1:24" ht="14.25" customHeight="1" x14ac:dyDescent="0.25">
      <c r="A106" s="333"/>
      <c r="B106" s="131">
        <v>0</v>
      </c>
      <c r="C106" s="131">
        <v>0</v>
      </c>
      <c r="D106" s="132">
        <f>'Data Ocupacion'!AF35</f>
        <v>0</v>
      </c>
      <c r="E106" s="132">
        <f>'Data Ocupacion'!AG35</f>
        <v>0</v>
      </c>
      <c r="F106" s="242" t="s">
        <v>36</v>
      </c>
      <c r="G106" s="243">
        <f t="shared" si="84"/>
        <v>0</v>
      </c>
      <c r="H106" s="131">
        <f t="shared" si="85"/>
        <v>0</v>
      </c>
      <c r="I106" s="131">
        <f>G106*L$1</f>
        <v>0</v>
      </c>
      <c r="J106" s="161">
        <f>H106*L$1</f>
        <v>0</v>
      </c>
      <c r="K106" s="131">
        <f t="shared" si="86"/>
        <v>0</v>
      </c>
      <c r="L106" s="131">
        <f t="shared" si="87"/>
        <v>0</v>
      </c>
      <c r="M106" s="19"/>
      <c r="N106" s="19"/>
      <c r="O106" s="153"/>
      <c r="P106" s="198"/>
      <c r="Q106" s="200"/>
      <c r="R106" s="223"/>
      <c r="S106" s="201"/>
      <c r="T106" s="202"/>
      <c r="U106" s="202"/>
      <c r="V106" s="193">
        <f>I106-(P106*($L$1-$J$1))</f>
        <v>0</v>
      </c>
    </row>
    <row r="107" spans="1:24" ht="15" customHeight="1" x14ac:dyDescent="0.25">
      <c r="A107" s="333"/>
      <c r="B107" s="131">
        <v>0</v>
      </c>
      <c r="C107" s="131">
        <v>0</v>
      </c>
      <c r="D107" s="132">
        <f>'Data Ocupacion'!AF36</f>
        <v>0</v>
      </c>
      <c r="E107" s="132">
        <f>'Data Ocupacion'!AG36</f>
        <v>0</v>
      </c>
      <c r="F107" s="242" t="s">
        <v>53</v>
      </c>
      <c r="G107" s="243">
        <f t="shared" si="84"/>
        <v>0</v>
      </c>
      <c r="H107" s="131">
        <f t="shared" si="85"/>
        <v>0</v>
      </c>
      <c r="I107" s="131">
        <f>G107*L$1</f>
        <v>0</v>
      </c>
      <c r="J107" s="161">
        <f>H107*L$1</f>
        <v>0</v>
      </c>
      <c r="K107" s="131">
        <f t="shared" si="86"/>
        <v>0</v>
      </c>
      <c r="L107" s="131">
        <f t="shared" si="87"/>
        <v>0</v>
      </c>
      <c r="M107" s="19"/>
      <c r="N107" s="19"/>
      <c r="O107" s="153"/>
      <c r="P107" s="202"/>
      <c r="Q107" s="202"/>
      <c r="R107" s="202"/>
      <c r="S107" s="202"/>
      <c r="T107" s="202"/>
      <c r="U107" s="202"/>
      <c r="V107" s="193">
        <f t="shared" ref="V107:V108" si="88">I107</f>
        <v>0</v>
      </c>
    </row>
    <row r="108" spans="1:24" ht="15" customHeight="1" x14ac:dyDescent="0.25">
      <c r="A108" s="333"/>
      <c r="B108" s="131">
        <v>0</v>
      </c>
      <c r="C108" s="131">
        <v>0</v>
      </c>
      <c r="D108" s="132">
        <f>'Data Ocupacion'!AF37</f>
        <v>0</v>
      </c>
      <c r="E108" s="132">
        <f>'Data Ocupacion'!AG37</f>
        <v>0</v>
      </c>
      <c r="F108" s="242" t="s">
        <v>122</v>
      </c>
      <c r="G108" s="243">
        <f t="shared" si="84"/>
        <v>0</v>
      </c>
      <c r="H108" s="131">
        <f t="shared" si="85"/>
        <v>0</v>
      </c>
      <c r="I108" s="245">
        <f>G108*J$1</f>
        <v>0</v>
      </c>
      <c r="J108" s="161">
        <f>H108*J$1</f>
        <v>0</v>
      </c>
      <c r="K108" s="131">
        <f t="shared" si="86"/>
        <v>0</v>
      </c>
      <c r="L108" s="131">
        <f t="shared" si="87"/>
        <v>0</v>
      </c>
      <c r="M108" s="19"/>
      <c r="N108" s="19"/>
      <c r="O108" s="153"/>
      <c r="P108" s="202"/>
      <c r="Q108" s="202"/>
      <c r="R108" s="202"/>
      <c r="S108" s="202"/>
      <c r="T108" s="202"/>
      <c r="U108" s="202"/>
      <c r="V108" s="193">
        <f t="shared" si="88"/>
        <v>0</v>
      </c>
    </row>
    <row r="109" spans="1:24" ht="15" customHeight="1" thickBot="1" x14ac:dyDescent="0.3">
      <c r="A109" s="333"/>
      <c r="B109" s="131">
        <v>0</v>
      </c>
      <c r="C109" s="131">
        <v>1</v>
      </c>
      <c r="D109" s="132">
        <f>'Data Ocupacion'!AF38</f>
        <v>1</v>
      </c>
      <c r="E109" s="132">
        <f>'Data Ocupacion'!AG38</f>
        <v>1</v>
      </c>
      <c r="F109" s="242" t="s">
        <v>35</v>
      </c>
      <c r="G109" s="243">
        <f t="shared" si="84"/>
        <v>3</v>
      </c>
      <c r="H109" s="246">
        <f t="shared" si="85"/>
        <v>2</v>
      </c>
      <c r="I109" s="246">
        <f>G109*J$1</f>
        <v>76.199999999999989</v>
      </c>
      <c r="J109" s="161">
        <f>H109*J$1</f>
        <v>50.8</v>
      </c>
      <c r="K109" s="131">
        <f t="shared" si="86"/>
        <v>7924.7999999999993</v>
      </c>
      <c r="L109" s="131">
        <f t="shared" si="87"/>
        <v>208</v>
      </c>
      <c r="M109" s="19"/>
      <c r="N109" s="19"/>
      <c r="O109" s="153"/>
      <c r="P109" s="202"/>
      <c r="Q109" s="202"/>
      <c r="R109" s="202"/>
      <c r="S109" s="202"/>
      <c r="T109" s="202"/>
      <c r="U109" s="202"/>
      <c r="V109" s="193">
        <f>I109</f>
        <v>76.199999999999989</v>
      </c>
    </row>
    <row r="110" spans="1:24" s="130" customFormat="1" ht="15" customHeight="1" thickBot="1" x14ac:dyDescent="0.3">
      <c r="A110" s="20"/>
      <c r="B110" s="237">
        <f>SUM(B104:B109)</f>
        <v>75</v>
      </c>
      <c r="C110" s="237">
        <f>SUM(C104:C109)</f>
        <v>89</v>
      </c>
      <c r="D110" s="156">
        <f>SUM(D104:D109)</f>
        <v>74</v>
      </c>
      <c r="E110" s="156">
        <f>SUM(E104:E109)</f>
        <v>91</v>
      </c>
      <c r="F110" s="124"/>
      <c r="G110" s="124">
        <f t="shared" ref="G110:L110" si="89">SUM(G104:G109)</f>
        <v>256</v>
      </c>
      <c r="H110" s="124">
        <f t="shared" si="89"/>
        <v>165</v>
      </c>
      <c r="I110" s="125">
        <f t="shared" si="89"/>
        <v>10988.09</v>
      </c>
      <c r="J110" s="124">
        <f t="shared" si="89"/>
        <v>7080.9900000000007</v>
      </c>
      <c r="K110" s="124">
        <f t="shared" si="89"/>
        <v>1142761.3600000001</v>
      </c>
      <c r="L110" s="124">
        <f t="shared" si="89"/>
        <v>17160</v>
      </c>
      <c r="M110" s="129">
        <f>'Odometro-Kilometraje'!P81</f>
        <v>11512</v>
      </c>
      <c r="N110" s="21">
        <f>(V110/M110)*100</f>
        <v>94.678943710910374</v>
      </c>
      <c r="O110" s="205"/>
      <c r="P110" s="192"/>
      <c r="Q110" s="192"/>
      <c r="R110" s="192"/>
      <c r="S110" s="192"/>
      <c r="T110" s="192"/>
      <c r="U110" s="192"/>
      <c r="V110" s="206">
        <f>SUM(V104:V109)</f>
        <v>10899.440000000002</v>
      </c>
    </row>
    <row r="111" spans="1:24" ht="15.95" customHeight="1" x14ac:dyDescent="0.25">
      <c r="A111" s="62">
        <f>A104+1</f>
        <v>45307</v>
      </c>
      <c r="B111" s="131">
        <v>37</v>
      </c>
      <c r="C111" s="131">
        <v>45</v>
      </c>
      <c r="D111" s="132">
        <f>'Data Ocupacion'!AH33</f>
        <v>38</v>
      </c>
      <c r="E111" s="132">
        <f>'Data Ocupacion'!AI33</f>
        <v>44</v>
      </c>
      <c r="F111" s="242" t="s">
        <v>38</v>
      </c>
      <c r="G111" s="243">
        <f t="shared" ref="G111:G116" si="90">D111+E111*2</f>
        <v>126</v>
      </c>
      <c r="H111" s="244">
        <f t="shared" ref="H111:H116" si="91">D111+E111</f>
        <v>82</v>
      </c>
      <c r="I111" s="244">
        <f>G111*L$2</f>
        <v>5434.38</v>
      </c>
      <c r="J111" s="161">
        <f>H111*L$2</f>
        <v>3536.6600000000003</v>
      </c>
      <c r="K111" s="131">
        <f t="shared" ref="K111:K116" si="92">I111*104</f>
        <v>565175.52</v>
      </c>
      <c r="L111" s="131">
        <f t="shared" ref="L111:L116" si="93">H111*104</f>
        <v>8528</v>
      </c>
      <c r="M111" s="19"/>
      <c r="N111" s="19"/>
      <c r="O111" s="153"/>
      <c r="P111" s="194"/>
      <c r="Q111" s="194"/>
      <c r="R111" s="222"/>
      <c r="S111" s="203"/>
      <c r="T111" s="204"/>
      <c r="U111" s="252"/>
      <c r="V111" s="193">
        <f>I111-(P111*($L$2-$J$1)+(Q111*($L$2-$L$1))+  (R111*($L$2-$H$2)))</f>
        <v>5434.38</v>
      </c>
    </row>
    <row r="112" spans="1:24" ht="15" customHeight="1" x14ac:dyDescent="0.25">
      <c r="A112" s="299"/>
      <c r="B112" s="131">
        <v>38</v>
      </c>
      <c r="C112" s="131">
        <v>43</v>
      </c>
      <c r="D112" s="132">
        <f>'Data Ocupacion'!AH34</f>
        <v>38</v>
      </c>
      <c r="E112" s="132">
        <f>'Data Ocupacion'!AI34</f>
        <v>43</v>
      </c>
      <c r="F112" s="242" t="s">
        <v>52</v>
      </c>
      <c r="G112" s="243">
        <f t="shared" si="90"/>
        <v>124</v>
      </c>
      <c r="H112" s="131">
        <f t="shared" si="91"/>
        <v>81</v>
      </c>
      <c r="I112" s="131">
        <f>G112*L$2</f>
        <v>5348.12</v>
      </c>
      <c r="J112" s="161">
        <f>H112*L$2</f>
        <v>3493.53</v>
      </c>
      <c r="K112" s="131">
        <f t="shared" si="92"/>
        <v>556204.48</v>
      </c>
      <c r="L112" s="131">
        <f t="shared" si="93"/>
        <v>8424</v>
      </c>
      <c r="M112" s="19"/>
      <c r="N112" s="19"/>
      <c r="O112" s="153"/>
      <c r="P112" s="199"/>
      <c r="Q112" s="199"/>
      <c r="R112" s="199"/>
      <c r="S112" s="194">
        <v>1</v>
      </c>
      <c r="T112" s="196"/>
      <c r="U112" s="253"/>
      <c r="V112" s="197">
        <f>I112-(S112*($L$2-$J$1)+(T112*($L$2-$L$1)))</f>
        <v>5330.39</v>
      </c>
      <c r="X112" s="180"/>
    </row>
    <row r="113" spans="1:25" x14ac:dyDescent="0.25">
      <c r="A113" s="299"/>
      <c r="B113" s="131">
        <v>0</v>
      </c>
      <c r="C113" s="131">
        <v>0</v>
      </c>
      <c r="D113" s="132">
        <f>'Data Ocupacion'!AH35</f>
        <v>0</v>
      </c>
      <c r="E113" s="132">
        <f>'Data Ocupacion'!AI35</f>
        <v>0</v>
      </c>
      <c r="F113" s="242" t="s">
        <v>36</v>
      </c>
      <c r="G113" s="243">
        <f t="shared" si="90"/>
        <v>0</v>
      </c>
      <c r="H113" s="131">
        <f t="shared" si="91"/>
        <v>0</v>
      </c>
      <c r="I113" s="131">
        <f>G113*L$1</f>
        <v>0</v>
      </c>
      <c r="J113" s="161">
        <f>H113*L$1</f>
        <v>0</v>
      </c>
      <c r="K113" s="131">
        <f t="shared" si="92"/>
        <v>0</v>
      </c>
      <c r="L113" s="131">
        <f t="shared" si="93"/>
        <v>0</v>
      </c>
      <c r="M113" s="19"/>
      <c r="N113" s="19"/>
      <c r="O113" s="153"/>
      <c r="P113" s="198"/>
      <c r="Q113" s="200"/>
      <c r="R113" s="223"/>
      <c r="S113" s="201"/>
      <c r="T113" s="202"/>
      <c r="U113" s="202"/>
      <c r="V113" s="193">
        <f>I113-(P113*($L$1-$J$1))</f>
        <v>0</v>
      </c>
    </row>
    <row r="114" spans="1:25" ht="15.95" customHeight="1" x14ac:dyDescent="0.25">
      <c r="A114" s="299"/>
      <c r="B114" s="131">
        <v>0</v>
      </c>
      <c r="C114" s="131">
        <v>0</v>
      </c>
      <c r="D114" s="132">
        <f>'Data Ocupacion'!AH36</f>
        <v>0</v>
      </c>
      <c r="E114" s="132">
        <f>'Data Ocupacion'!AI36</f>
        <v>0</v>
      </c>
      <c r="F114" s="242" t="s">
        <v>53</v>
      </c>
      <c r="G114" s="243">
        <f t="shared" si="90"/>
        <v>0</v>
      </c>
      <c r="H114" s="131">
        <f t="shared" si="91"/>
        <v>0</v>
      </c>
      <c r="I114" s="131">
        <f>G114*L$1</f>
        <v>0</v>
      </c>
      <c r="J114" s="161">
        <f>H114*L$1</f>
        <v>0</v>
      </c>
      <c r="K114" s="131">
        <f t="shared" si="92"/>
        <v>0</v>
      </c>
      <c r="L114" s="131">
        <f t="shared" si="93"/>
        <v>0</v>
      </c>
      <c r="M114" s="19"/>
      <c r="N114" s="19"/>
      <c r="O114" s="153"/>
      <c r="P114" s="202"/>
      <c r="Q114" s="202"/>
      <c r="R114" s="202"/>
      <c r="S114" s="202"/>
      <c r="T114" s="202"/>
      <c r="U114" s="202"/>
      <c r="V114" s="193">
        <f t="shared" ref="V114:V115" si="94">I114</f>
        <v>0</v>
      </c>
    </row>
    <row r="115" spans="1:25" ht="15" customHeight="1" x14ac:dyDescent="0.25">
      <c r="A115" s="299"/>
      <c r="B115" s="131">
        <v>0</v>
      </c>
      <c r="C115" s="131">
        <v>0</v>
      </c>
      <c r="D115" s="132">
        <f>'Data Ocupacion'!AH37</f>
        <v>0</v>
      </c>
      <c r="E115" s="132">
        <f>'Data Ocupacion'!AI37</f>
        <v>0</v>
      </c>
      <c r="F115" s="242" t="s">
        <v>122</v>
      </c>
      <c r="G115" s="243">
        <f t="shared" si="90"/>
        <v>0</v>
      </c>
      <c r="H115" s="131">
        <f t="shared" si="91"/>
        <v>0</v>
      </c>
      <c r="I115" s="245">
        <f>G115*J$1</f>
        <v>0</v>
      </c>
      <c r="J115" s="161">
        <f>H115*J$1</f>
        <v>0</v>
      </c>
      <c r="K115" s="131">
        <f t="shared" si="92"/>
        <v>0</v>
      </c>
      <c r="L115" s="131">
        <f t="shared" si="93"/>
        <v>0</v>
      </c>
      <c r="M115" s="19"/>
      <c r="N115" s="19"/>
      <c r="O115" s="153"/>
      <c r="P115" s="202"/>
      <c r="Q115" s="202"/>
      <c r="R115" s="202"/>
      <c r="S115" s="202"/>
      <c r="T115" s="202"/>
      <c r="U115" s="202"/>
      <c r="V115" s="193">
        <f t="shared" si="94"/>
        <v>0</v>
      </c>
    </row>
    <row r="116" spans="1:25" ht="15" customHeight="1" thickBot="1" x14ac:dyDescent="0.3">
      <c r="A116" s="299"/>
      <c r="B116" s="131">
        <v>0</v>
      </c>
      <c r="C116" s="131">
        <v>1</v>
      </c>
      <c r="D116" s="132">
        <f>'Data Ocupacion'!AH38</f>
        <v>0</v>
      </c>
      <c r="E116" s="132">
        <f>'Data Ocupacion'!AI38</f>
        <v>1</v>
      </c>
      <c r="F116" s="242" t="s">
        <v>35</v>
      </c>
      <c r="G116" s="243">
        <f t="shared" si="90"/>
        <v>2</v>
      </c>
      <c r="H116" s="246">
        <f t="shared" si="91"/>
        <v>1</v>
      </c>
      <c r="I116" s="246">
        <f>G116*J$1</f>
        <v>50.8</v>
      </c>
      <c r="J116" s="161">
        <f>H116*J$1</f>
        <v>25.4</v>
      </c>
      <c r="K116" s="131">
        <f t="shared" si="92"/>
        <v>5283.2</v>
      </c>
      <c r="L116" s="131">
        <f t="shared" si="93"/>
        <v>104</v>
      </c>
      <c r="M116" s="19"/>
      <c r="N116" s="19"/>
      <c r="O116" s="153"/>
      <c r="P116" s="202"/>
      <c r="Q116" s="202"/>
      <c r="R116" s="202"/>
      <c r="S116" s="202"/>
      <c r="T116" s="202"/>
      <c r="U116" s="202"/>
      <c r="V116" s="193">
        <f>I116</f>
        <v>50.8</v>
      </c>
    </row>
    <row r="117" spans="1:25" s="130" customFormat="1" ht="15" customHeight="1" thickBot="1" x14ac:dyDescent="0.3">
      <c r="A117" s="20"/>
      <c r="B117" s="237">
        <f>SUM(B111:B116)</f>
        <v>75</v>
      </c>
      <c r="C117" s="237">
        <f>SUM(C111:C116)</f>
        <v>89</v>
      </c>
      <c r="D117" s="156">
        <f>SUM(D111:D116)</f>
        <v>76</v>
      </c>
      <c r="E117" s="156">
        <f>SUM(E111:E116)</f>
        <v>88</v>
      </c>
      <c r="F117" s="124"/>
      <c r="G117" s="124">
        <f t="shared" ref="G117:L117" si="95">SUM(G111:G116)</f>
        <v>252</v>
      </c>
      <c r="H117" s="124">
        <f t="shared" si="95"/>
        <v>164</v>
      </c>
      <c r="I117" s="125">
        <f t="shared" si="95"/>
        <v>10833.3</v>
      </c>
      <c r="J117" s="124">
        <f t="shared" si="95"/>
        <v>7055.59</v>
      </c>
      <c r="K117" s="124">
        <f t="shared" si="95"/>
        <v>1126663.2</v>
      </c>
      <c r="L117" s="124">
        <f t="shared" si="95"/>
        <v>17056</v>
      </c>
      <c r="M117" s="129">
        <f>'Odometro-Kilometraje'!Q81</f>
        <v>11454</v>
      </c>
      <c r="N117" s="21">
        <f>(V117/M117)*100</f>
        <v>94.426139339968557</v>
      </c>
      <c r="O117" s="205"/>
      <c r="P117" s="192"/>
      <c r="Q117" s="192"/>
      <c r="R117" s="192"/>
      <c r="S117" s="192"/>
      <c r="T117" s="192"/>
      <c r="U117" s="192"/>
      <c r="V117" s="206">
        <f>SUM(V111:V116)</f>
        <v>10815.57</v>
      </c>
    </row>
    <row r="118" spans="1:25" ht="15.95" customHeight="1" x14ac:dyDescent="0.25">
      <c r="A118" s="62">
        <f>A111+1</f>
        <v>45308</v>
      </c>
      <c r="B118" s="131">
        <v>37</v>
      </c>
      <c r="C118" s="131">
        <v>45</v>
      </c>
      <c r="D118" s="132">
        <f>'Data Ocupacion'!AJ33</f>
        <v>37</v>
      </c>
      <c r="E118" s="132">
        <f>'Data Ocupacion'!AK33</f>
        <v>45</v>
      </c>
      <c r="F118" s="242" t="s">
        <v>38</v>
      </c>
      <c r="G118" s="243">
        <f t="shared" ref="G118:G123" si="96">D118+E118*2</f>
        <v>127</v>
      </c>
      <c r="H118" s="244">
        <f t="shared" ref="H118:H123" si="97">D118+E118</f>
        <v>82</v>
      </c>
      <c r="I118" s="244">
        <f>G118*L$2</f>
        <v>5477.51</v>
      </c>
      <c r="J118" s="161">
        <f>H118*L$2</f>
        <v>3536.6600000000003</v>
      </c>
      <c r="K118" s="131">
        <f t="shared" ref="K118:K123" si="98">I118*104</f>
        <v>569661.04</v>
      </c>
      <c r="L118" s="131">
        <f t="shared" ref="L118:L123" si="99">H118*104</f>
        <v>8528</v>
      </c>
      <c r="M118" s="19"/>
      <c r="N118" s="19"/>
      <c r="O118" s="153"/>
      <c r="P118" s="194"/>
      <c r="Q118" s="194"/>
      <c r="R118" s="222"/>
      <c r="S118" s="269"/>
      <c r="T118" s="204"/>
      <c r="U118" s="252"/>
      <c r="V118" s="193">
        <f>I118-(P118*($L$2-$J$1)+(Q118*($L$2-$L$1))+  (R118*($L$2-$H$2)))+(S118*($L$2-$J$1))</f>
        <v>5477.51</v>
      </c>
    </row>
    <row r="119" spans="1:25" ht="15" customHeight="1" x14ac:dyDescent="0.25">
      <c r="A119" s="299"/>
      <c r="B119" s="131">
        <v>38</v>
      </c>
      <c r="C119" s="131">
        <v>43</v>
      </c>
      <c r="D119" s="132">
        <f>'Data Ocupacion'!AJ34</f>
        <v>37</v>
      </c>
      <c r="E119" s="132">
        <f>'Data Ocupacion'!AK34</f>
        <v>44</v>
      </c>
      <c r="F119" s="242" t="s">
        <v>52</v>
      </c>
      <c r="G119" s="243">
        <f t="shared" si="96"/>
        <v>125</v>
      </c>
      <c r="H119" s="131">
        <f t="shared" si="97"/>
        <v>81</v>
      </c>
      <c r="I119" s="131">
        <f>G119*L$2</f>
        <v>5391.25</v>
      </c>
      <c r="J119" s="161">
        <f>H119*L$2</f>
        <v>3493.53</v>
      </c>
      <c r="K119" s="131">
        <f t="shared" si="98"/>
        <v>560690</v>
      </c>
      <c r="L119" s="131">
        <f t="shared" si="99"/>
        <v>8424</v>
      </c>
      <c r="M119" s="19"/>
      <c r="N119" s="19"/>
      <c r="O119" s="153"/>
      <c r="P119" s="199"/>
      <c r="Q119" s="199"/>
      <c r="R119" s="199"/>
      <c r="S119" s="194">
        <v>4</v>
      </c>
      <c r="T119" s="196"/>
      <c r="U119" s="253"/>
      <c r="V119" s="197">
        <f>I119-(S119*($L$2-$J$1)+(T119*($L$2-$L$1)))</f>
        <v>5320.33</v>
      </c>
      <c r="X119" s="180"/>
    </row>
    <row r="120" spans="1:25" ht="15" customHeight="1" x14ac:dyDescent="0.25">
      <c r="A120" s="299"/>
      <c r="B120" s="131">
        <v>0</v>
      </c>
      <c r="C120" s="131">
        <v>0</v>
      </c>
      <c r="D120" s="132">
        <f>'Data Ocupacion'!AJ35</f>
        <v>0</v>
      </c>
      <c r="E120" s="132">
        <f>'Data Ocupacion'!AK35</f>
        <v>0</v>
      </c>
      <c r="F120" s="242" t="s">
        <v>36</v>
      </c>
      <c r="G120" s="243">
        <f t="shared" si="96"/>
        <v>0</v>
      </c>
      <c r="H120" s="131">
        <f t="shared" si="97"/>
        <v>0</v>
      </c>
      <c r="I120" s="131">
        <f>G120*L$1</f>
        <v>0</v>
      </c>
      <c r="J120" s="161">
        <f>H120*L$1</f>
        <v>0</v>
      </c>
      <c r="K120" s="131">
        <f t="shared" si="98"/>
        <v>0</v>
      </c>
      <c r="L120" s="131">
        <f t="shared" si="99"/>
        <v>0</v>
      </c>
      <c r="M120" s="19"/>
      <c r="N120" s="19"/>
      <c r="O120" s="153"/>
      <c r="P120" s="198"/>
      <c r="Q120" s="200"/>
      <c r="R120" s="223"/>
      <c r="S120" s="201"/>
      <c r="T120" s="202"/>
      <c r="U120" s="202"/>
      <c r="V120" s="193">
        <f>I120-(P120*($L$1-$J$1))</f>
        <v>0</v>
      </c>
    </row>
    <row r="121" spans="1:25" ht="15" customHeight="1" x14ac:dyDescent="0.25">
      <c r="A121" s="299"/>
      <c r="B121" s="131">
        <v>0</v>
      </c>
      <c r="C121" s="131">
        <v>0</v>
      </c>
      <c r="D121" s="132">
        <f>'Data Ocupacion'!AJ36</f>
        <v>0</v>
      </c>
      <c r="E121" s="132">
        <f>'Data Ocupacion'!AK36</f>
        <v>0</v>
      </c>
      <c r="F121" s="242" t="s">
        <v>53</v>
      </c>
      <c r="G121" s="243">
        <f t="shared" si="96"/>
        <v>0</v>
      </c>
      <c r="H121" s="131">
        <f t="shared" si="97"/>
        <v>0</v>
      </c>
      <c r="I121" s="131">
        <f>G121*L$1</f>
        <v>0</v>
      </c>
      <c r="J121" s="161">
        <f>H121*L$1</f>
        <v>0</v>
      </c>
      <c r="K121" s="131">
        <f t="shared" si="98"/>
        <v>0</v>
      </c>
      <c r="L121" s="131">
        <f t="shared" si="99"/>
        <v>0</v>
      </c>
      <c r="M121" s="19"/>
      <c r="N121" s="19"/>
      <c r="O121" s="153"/>
      <c r="P121" s="202"/>
      <c r="Q121" s="202"/>
      <c r="R121" s="202"/>
      <c r="S121" s="202"/>
      <c r="T121" s="202"/>
      <c r="U121" s="202"/>
      <c r="V121" s="193">
        <f t="shared" ref="V121:V122" si="100">I121</f>
        <v>0</v>
      </c>
      <c r="Y121" s="211"/>
    </row>
    <row r="122" spans="1:25" ht="15" customHeight="1" x14ac:dyDescent="0.25">
      <c r="A122" s="299"/>
      <c r="B122" s="131">
        <v>0</v>
      </c>
      <c r="C122" s="131">
        <v>0</v>
      </c>
      <c r="D122" s="132">
        <f>'Data Ocupacion'!AJ37</f>
        <v>0</v>
      </c>
      <c r="E122" s="132">
        <f>'Data Ocupacion'!AK37</f>
        <v>0</v>
      </c>
      <c r="F122" s="242" t="s">
        <v>122</v>
      </c>
      <c r="G122" s="243">
        <f t="shared" si="96"/>
        <v>0</v>
      </c>
      <c r="H122" s="131">
        <f t="shared" si="97"/>
        <v>0</v>
      </c>
      <c r="I122" s="245">
        <f>G122*J$1</f>
        <v>0</v>
      </c>
      <c r="J122" s="161">
        <f>H122*J$1</f>
        <v>0</v>
      </c>
      <c r="K122" s="131">
        <f t="shared" si="98"/>
        <v>0</v>
      </c>
      <c r="L122" s="131">
        <f t="shared" si="99"/>
        <v>0</v>
      </c>
      <c r="M122" s="19"/>
      <c r="N122" s="19"/>
      <c r="O122" s="153"/>
      <c r="P122" s="202"/>
      <c r="Q122" s="202"/>
      <c r="R122" s="202"/>
      <c r="S122" s="202"/>
      <c r="T122" s="202"/>
      <c r="U122" s="202"/>
      <c r="V122" s="193">
        <f t="shared" si="100"/>
        <v>0</v>
      </c>
    </row>
    <row r="123" spans="1:25" ht="14.25" customHeight="1" thickBot="1" x14ac:dyDescent="0.3">
      <c r="A123" s="299"/>
      <c r="B123" s="131">
        <v>0</v>
      </c>
      <c r="C123" s="131">
        <v>1</v>
      </c>
      <c r="D123" s="132">
        <f>'Data Ocupacion'!AJ38</f>
        <v>0</v>
      </c>
      <c r="E123" s="132">
        <f>'Data Ocupacion'!AK38</f>
        <v>1</v>
      </c>
      <c r="F123" s="242" t="s">
        <v>35</v>
      </c>
      <c r="G123" s="243">
        <f t="shared" si="96"/>
        <v>2</v>
      </c>
      <c r="H123" s="246">
        <f t="shared" si="97"/>
        <v>1</v>
      </c>
      <c r="I123" s="246">
        <f>G123*J$1</f>
        <v>50.8</v>
      </c>
      <c r="J123" s="161">
        <f>H123*J$1</f>
        <v>25.4</v>
      </c>
      <c r="K123" s="131">
        <f t="shared" si="98"/>
        <v>5283.2</v>
      </c>
      <c r="L123" s="131">
        <f t="shared" si="99"/>
        <v>104</v>
      </c>
      <c r="M123" s="19"/>
      <c r="N123" s="19"/>
      <c r="O123" s="153"/>
      <c r="P123" s="202"/>
      <c r="Q123" s="202"/>
      <c r="R123" s="202"/>
      <c r="S123" s="202"/>
      <c r="T123" s="202"/>
      <c r="U123" s="202"/>
      <c r="V123" s="193">
        <f>I123</f>
        <v>50.8</v>
      </c>
    </row>
    <row r="124" spans="1:25" s="130" customFormat="1" ht="15" customHeight="1" thickBot="1" x14ac:dyDescent="0.3">
      <c r="A124" s="20"/>
      <c r="B124" s="237">
        <f>SUM(B118:B123)</f>
        <v>75</v>
      </c>
      <c r="C124" s="237">
        <f>SUM(C118:C123)</f>
        <v>89</v>
      </c>
      <c r="D124" s="156">
        <f>SUM(D118:D123)</f>
        <v>74</v>
      </c>
      <c r="E124" s="156">
        <f>SUM(E118:E123)</f>
        <v>90</v>
      </c>
      <c r="F124" s="124"/>
      <c r="G124" s="124">
        <f t="shared" ref="G124:L124" si="101">SUM(G118:G123)</f>
        <v>254</v>
      </c>
      <c r="H124" s="124">
        <f t="shared" si="101"/>
        <v>164</v>
      </c>
      <c r="I124" s="125">
        <f>SUM(I118:I123)</f>
        <v>10919.56</v>
      </c>
      <c r="J124" s="124">
        <f t="shared" si="101"/>
        <v>7055.59</v>
      </c>
      <c r="K124" s="124">
        <f t="shared" si="101"/>
        <v>1135634.24</v>
      </c>
      <c r="L124" s="124">
        <f t="shared" si="101"/>
        <v>17056</v>
      </c>
      <c r="M124" s="129">
        <f>'Odometro-Kilometraje'!R81</f>
        <v>11237</v>
      </c>
      <c r="N124" s="21">
        <f>(V124/M124)*100</f>
        <v>96.54391741568034</v>
      </c>
      <c r="O124" s="205"/>
      <c r="P124" s="192"/>
      <c r="Q124" s="192"/>
      <c r="R124" s="192"/>
      <c r="S124" s="192"/>
      <c r="T124" s="192"/>
      <c r="U124" s="192"/>
      <c r="V124" s="206">
        <f>SUM(V118:V123)</f>
        <v>10848.64</v>
      </c>
    </row>
    <row r="125" spans="1:25" ht="15.95" customHeight="1" x14ac:dyDescent="0.25">
      <c r="A125" s="62">
        <f>A118+1</f>
        <v>45309</v>
      </c>
      <c r="B125" s="131">
        <v>37</v>
      </c>
      <c r="C125" s="131">
        <v>45</v>
      </c>
      <c r="D125" s="132">
        <f>'Data Ocupacion'!AL33</f>
        <v>37</v>
      </c>
      <c r="E125" s="132">
        <f>'Data Ocupacion'!AM33</f>
        <v>45</v>
      </c>
      <c r="F125" s="131" t="s">
        <v>38</v>
      </c>
      <c r="G125" s="131">
        <f t="shared" ref="G125:G130" si="102">D125+E125*2</f>
        <v>127</v>
      </c>
      <c r="H125" s="131">
        <f t="shared" ref="H125:H128" si="103">D125+E125</f>
        <v>82</v>
      </c>
      <c r="I125" s="131">
        <f>G125*L$2</f>
        <v>5477.51</v>
      </c>
      <c r="J125" s="161">
        <f>H125*L$2</f>
        <v>3536.6600000000003</v>
      </c>
      <c r="K125" s="131">
        <f t="shared" ref="K125:K130" si="104">I125*104</f>
        <v>569661.04</v>
      </c>
      <c r="L125" s="131">
        <f t="shared" ref="L125:L130" si="105">H125*104</f>
        <v>8528</v>
      </c>
      <c r="M125" s="19"/>
      <c r="N125" s="19"/>
      <c r="O125" s="153"/>
      <c r="P125" s="194"/>
      <c r="Q125" s="194"/>
      <c r="R125" s="222"/>
      <c r="S125" s="203"/>
      <c r="T125" s="204"/>
      <c r="U125" s="252"/>
      <c r="V125" s="193">
        <f>I125-(P125*($L$2-$J$1)+(Q125*($L$2-$L$1))+  (R125*($L$2-$H$2)))</f>
        <v>5477.51</v>
      </c>
    </row>
    <row r="126" spans="1:25" ht="15" customHeight="1" x14ac:dyDescent="0.25">
      <c r="A126" s="215"/>
      <c r="B126" s="131">
        <v>38</v>
      </c>
      <c r="C126" s="131">
        <v>43</v>
      </c>
      <c r="D126" s="132">
        <f>'Data Ocupacion'!AL34</f>
        <v>38</v>
      </c>
      <c r="E126" s="132">
        <f>'Data Ocupacion'!AM34</f>
        <v>43</v>
      </c>
      <c r="F126" s="131" t="s">
        <v>52</v>
      </c>
      <c r="G126" s="131">
        <f t="shared" si="102"/>
        <v>124</v>
      </c>
      <c r="H126" s="131">
        <f t="shared" si="103"/>
        <v>81</v>
      </c>
      <c r="I126" s="131">
        <f>G126*L$2</f>
        <v>5348.12</v>
      </c>
      <c r="J126" s="161">
        <f>H126*L$2</f>
        <v>3493.53</v>
      </c>
      <c r="K126" s="131">
        <f t="shared" si="104"/>
        <v>556204.48</v>
      </c>
      <c r="L126" s="131">
        <f t="shared" si="105"/>
        <v>8424</v>
      </c>
      <c r="M126" s="19"/>
      <c r="N126" s="19"/>
      <c r="O126" s="153"/>
      <c r="P126" s="199"/>
      <c r="Q126" s="199"/>
      <c r="R126" s="199"/>
      <c r="S126" s="194">
        <v>3</v>
      </c>
      <c r="T126" s="196"/>
      <c r="U126" s="253"/>
      <c r="V126" s="197">
        <f>I126-(S126*($L$2-$J$1)+(T126*($L$2-$L$1)))</f>
        <v>5294.93</v>
      </c>
      <c r="W126" s="180"/>
    </row>
    <row r="127" spans="1:25" ht="15" customHeight="1" x14ac:dyDescent="0.25">
      <c r="A127" s="215"/>
      <c r="B127" s="131">
        <v>0</v>
      </c>
      <c r="C127" s="131">
        <v>0</v>
      </c>
      <c r="D127" s="132">
        <f>'Data Ocupacion'!AL35</f>
        <v>0</v>
      </c>
      <c r="E127" s="132">
        <f>'Data Ocupacion'!AM35</f>
        <v>0</v>
      </c>
      <c r="F127" s="131" t="s">
        <v>36</v>
      </c>
      <c r="G127" s="131">
        <f t="shared" si="102"/>
        <v>0</v>
      </c>
      <c r="H127" s="131">
        <f t="shared" si="103"/>
        <v>0</v>
      </c>
      <c r="I127" s="131">
        <f>G127*L$1</f>
        <v>0</v>
      </c>
      <c r="J127" s="161">
        <f>H127*L$1</f>
        <v>0</v>
      </c>
      <c r="K127" s="131">
        <f t="shared" si="104"/>
        <v>0</v>
      </c>
      <c r="L127" s="131">
        <f t="shared" si="105"/>
        <v>0</v>
      </c>
      <c r="M127" s="19"/>
      <c r="N127" s="19"/>
      <c r="O127" s="153"/>
      <c r="P127" s="198"/>
      <c r="Q127" s="200"/>
      <c r="R127" s="223"/>
      <c r="S127" s="201"/>
      <c r="T127" s="202"/>
      <c r="U127" s="202"/>
      <c r="V127" s="193">
        <f>I127-(P127*($L$1-$J$1))</f>
        <v>0</v>
      </c>
    </row>
    <row r="128" spans="1:25" ht="15" customHeight="1" x14ac:dyDescent="0.25">
      <c r="A128" s="215"/>
      <c r="B128" s="131">
        <v>0</v>
      </c>
      <c r="C128" s="131">
        <v>0</v>
      </c>
      <c r="D128" s="132">
        <f>'Data Ocupacion'!AL36</f>
        <v>0</v>
      </c>
      <c r="E128" s="132">
        <f>'Data Ocupacion'!AM36</f>
        <v>0</v>
      </c>
      <c r="F128" s="131" t="s">
        <v>53</v>
      </c>
      <c r="G128" s="131">
        <f t="shared" si="102"/>
        <v>0</v>
      </c>
      <c r="H128" s="131">
        <f t="shared" si="103"/>
        <v>0</v>
      </c>
      <c r="I128" s="131">
        <f>G128*L$1</f>
        <v>0</v>
      </c>
      <c r="J128" s="161">
        <f>H128*L$1</f>
        <v>0</v>
      </c>
      <c r="K128" s="131">
        <f t="shared" si="104"/>
        <v>0</v>
      </c>
      <c r="L128" s="131">
        <f t="shared" si="105"/>
        <v>0</v>
      </c>
      <c r="M128" s="19"/>
      <c r="N128" s="19"/>
      <c r="O128" s="153"/>
      <c r="P128" s="202"/>
      <c r="Q128" s="202"/>
      <c r="R128" s="202"/>
      <c r="S128" s="202"/>
      <c r="T128" s="202"/>
      <c r="U128" s="202"/>
      <c r="V128" s="193">
        <f t="shared" ref="V128:V129" si="106">I128</f>
        <v>0</v>
      </c>
    </row>
    <row r="129" spans="1:22" s="130" customFormat="1" ht="15" customHeight="1" x14ac:dyDescent="0.25">
      <c r="A129" s="215"/>
      <c r="B129" s="131">
        <v>0</v>
      </c>
      <c r="C129" s="131">
        <v>0</v>
      </c>
      <c r="D129" s="132">
        <f>'Data Ocupacion'!AL37</f>
        <v>0</v>
      </c>
      <c r="E129" s="132">
        <f>'Data Ocupacion'!AM37</f>
        <v>0</v>
      </c>
      <c r="F129" s="131" t="s">
        <v>122</v>
      </c>
      <c r="G129" s="131">
        <f t="shared" si="102"/>
        <v>0</v>
      </c>
      <c r="H129" s="131">
        <f>D129+E129</f>
        <v>0</v>
      </c>
      <c r="I129" s="131">
        <f>G129*J$1</f>
        <v>0</v>
      </c>
      <c r="J129" s="161">
        <f>H129*J$1</f>
        <v>0</v>
      </c>
      <c r="K129" s="131">
        <f t="shared" si="104"/>
        <v>0</v>
      </c>
      <c r="L129" s="131">
        <f t="shared" si="105"/>
        <v>0</v>
      </c>
      <c r="M129" s="19"/>
      <c r="N129" s="19"/>
      <c r="O129" s="153"/>
      <c r="P129" s="202"/>
      <c r="Q129" s="202"/>
      <c r="R129" s="202"/>
      <c r="S129" s="202"/>
      <c r="T129" s="202"/>
      <c r="U129" s="202"/>
      <c r="V129" s="193">
        <f t="shared" si="106"/>
        <v>0</v>
      </c>
    </row>
    <row r="130" spans="1:22" s="130" customFormat="1" ht="15" customHeight="1" thickBot="1" x14ac:dyDescent="0.3">
      <c r="A130" s="215"/>
      <c r="B130" s="131">
        <v>0</v>
      </c>
      <c r="C130" s="131">
        <v>1</v>
      </c>
      <c r="D130" s="132">
        <f>'Data Ocupacion'!AL38</f>
        <v>0</v>
      </c>
      <c r="E130" s="132">
        <f>'Data Ocupacion'!AM38</f>
        <v>1</v>
      </c>
      <c r="F130" s="131" t="s">
        <v>35</v>
      </c>
      <c r="G130" s="131">
        <f t="shared" si="102"/>
        <v>2</v>
      </c>
      <c r="H130" s="131">
        <f t="shared" ref="H130" si="107">D130+E130</f>
        <v>1</v>
      </c>
      <c r="I130" s="131">
        <f>G130*J$1</f>
        <v>50.8</v>
      </c>
      <c r="J130" s="161">
        <f>H130*J$1</f>
        <v>25.4</v>
      </c>
      <c r="K130" s="131">
        <f t="shared" si="104"/>
        <v>5283.2</v>
      </c>
      <c r="L130" s="131">
        <f t="shared" si="105"/>
        <v>104</v>
      </c>
      <c r="M130" s="19"/>
      <c r="N130" s="19"/>
      <c r="O130" s="153"/>
      <c r="P130" s="202"/>
      <c r="Q130" s="202"/>
      <c r="R130" s="202"/>
      <c r="S130" s="202"/>
      <c r="T130" s="202"/>
      <c r="U130" s="202"/>
      <c r="V130" s="193">
        <f>I130</f>
        <v>50.8</v>
      </c>
    </row>
    <row r="131" spans="1:22" s="130" customFormat="1" ht="15" customHeight="1" thickBot="1" x14ac:dyDescent="0.3">
      <c r="A131" s="20"/>
      <c r="B131" s="237">
        <f>SUM(B125:B130)</f>
        <v>75</v>
      </c>
      <c r="C131" s="237">
        <f>SUM(C125:C130)</f>
        <v>89</v>
      </c>
      <c r="D131" s="160">
        <f>SUM(D125:D130)</f>
        <v>75</v>
      </c>
      <c r="E131" s="160">
        <f>SUM(E125:E130)</f>
        <v>89</v>
      </c>
      <c r="F131" s="124"/>
      <c r="G131" s="124">
        <f t="shared" ref="G131:L131" si="108">SUM(G125:G130)</f>
        <v>253</v>
      </c>
      <c r="H131" s="124">
        <f t="shared" si="108"/>
        <v>164</v>
      </c>
      <c r="I131" s="125">
        <f t="shared" si="108"/>
        <v>10876.43</v>
      </c>
      <c r="J131" s="124">
        <f t="shared" si="108"/>
        <v>7055.59</v>
      </c>
      <c r="K131" s="123">
        <f t="shared" si="108"/>
        <v>1131148.72</v>
      </c>
      <c r="L131" s="159">
        <f t="shared" si="108"/>
        <v>17056</v>
      </c>
      <c r="M131" s="129">
        <f>'Odometro-Kilometraje'!S81</f>
        <v>11425</v>
      </c>
      <c r="N131" s="21">
        <f>(V131/M131)*100</f>
        <v>94.732954048140044</v>
      </c>
      <c r="O131" s="205"/>
      <c r="P131" s="192"/>
      <c r="Q131" s="192"/>
      <c r="R131" s="192"/>
      <c r="S131" s="192"/>
      <c r="T131" s="192"/>
      <c r="U131" s="192"/>
      <c r="V131" s="206">
        <f>SUM(V125:V130)</f>
        <v>10823.24</v>
      </c>
    </row>
    <row r="132" spans="1:22" ht="15" customHeight="1" x14ac:dyDescent="0.25">
      <c r="A132" s="62">
        <f>A125+1</f>
        <v>45310</v>
      </c>
      <c r="B132" s="131">
        <v>37</v>
      </c>
      <c r="C132" s="131">
        <v>45</v>
      </c>
      <c r="D132" s="132">
        <f>'Data Ocupacion'!AN33</f>
        <v>36</v>
      </c>
      <c r="E132" s="132">
        <f>'Data Ocupacion'!AO33</f>
        <v>46</v>
      </c>
      <c r="F132" s="131" t="s">
        <v>38</v>
      </c>
      <c r="G132" s="131">
        <f t="shared" ref="G132:G137" si="109">D132+E132*2</f>
        <v>128</v>
      </c>
      <c r="H132" s="131">
        <f t="shared" ref="H132:H137" si="110">D132+E132</f>
        <v>82</v>
      </c>
      <c r="I132" s="131">
        <f>G132*L$2</f>
        <v>5520.64</v>
      </c>
      <c r="J132" s="161">
        <f>H132*L$2</f>
        <v>3536.6600000000003</v>
      </c>
      <c r="K132" s="131">
        <f t="shared" ref="K132:K137" si="111">I132*104</f>
        <v>574146.56000000006</v>
      </c>
      <c r="L132" s="131">
        <f t="shared" ref="L132:L137" si="112">H132*104</f>
        <v>8528</v>
      </c>
      <c r="M132" s="19"/>
      <c r="N132" s="19"/>
      <c r="O132" s="153"/>
      <c r="P132" s="194"/>
      <c r="Q132" s="194"/>
      <c r="R132" s="222"/>
      <c r="S132" s="216">
        <v>1</v>
      </c>
      <c r="T132" s="204"/>
      <c r="U132" s="252"/>
      <c r="V132" s="193">
        <f>I132-(P132*($L$2-$J$1)+(Q132*($L$2-$L$1))+  (R132*($L$2-$H$2))+(S132*$J$1))</f>
        <v>5495.2400000000007</v>
      </c>
    </row>
    <row r="133" spans="1:22" ht="15" customHeight="1" x14ac:dyDescent="0.25">
      <c r="A133" s="215"/>
      <c r="B133" s="131">
        <v>38</v>
      </c>
      <c r="C133" s="131">
        <v>43</v>
      </c>
      <c r="D133" s="132">
        <f>'Data Ocupacion'!AN34</f>
        <v>38</v>
      </c>
      <c r="E133" s="132">
        <f>'Data Ocupacion'!AO34</f>
        <v>43</v>
      </c>
      <c r="F133" s="131" t="s">
        <v>52</v>
      </c>
      <c r="G133" s="131">
        <f t="shared" si="109"/>
        <v>124</v>
      </c>
      <c r="H133" s="131">
        <f t="shared" si="110"/>
        <v>81</v>
      </c>
      <c r="I133" s="131">
        <f>G133*L$2</f>
        <v>5348.12</v>
      </c>
      <c r="J133" s="161">
        <f>H133*L$2</f>
        <v>3493.53</v>
      </c>
      <c r="K133" s="131">
        <f t="shared" si="111"/>
        <v>556204.48</v>
      </c>
      <c r="L133" s="131">
        <f t="shared" si="112"/>
        <v>8424</v>
      </c>
      <c r="M133" s="19"/>
      <c r="N133" s="19"/>
      <c r="O133" s="153"/>
      <c r="P133" s="199"/>
      <c r="Q133" s="199"/>
      <c r="R133" s="199"/>
      <c r="S133" s="194">
        <v>1</v>
      </c>
      <c r="T133" s="196"/>
      <c r="U133" s="253"/>
      <c r="V133" s="197">
        <f>I133-(S133*($L$2-$J$1)+(T133*($L$2-$L$1)))</f>
        <v>5330.39</v>
      </c>
    </row>
    <row r="134" spans="1:22" ht="15" customHeight="1" x14ac:dyDescent="0.25">
      <c r="A134" s="215"/>
      <c r="B134" s="131">
        <v>0</v>
      </c>
      <c r="C134" s="131">
        <v>0</v>
      </c>
      <c r="D134" s="132">
        <f>'Data Ocupacion'!AN35</f>
        <v>0</v>
      </c>
      <c r="E134" s="132">
        <f>'Data Ocupacion'!AO35</f>
        <v>0</v>
      </c>
      <c r="F134" s="131" t="s">
        <v>36</v>
      </c>
      <c r="G134" s="131">
        <f t="shared" si="109"/>
        <v>0</v>
      </c>
      <c r="H134" s="131">
        <f t="shared" si="110"/>
        <v>0</v>
      </c>
      <c r="I134" s="131">
        <f>G134*L$1</f>
        <v>0</v>
      </c>
      <c r="J134" s="161">
        <f>H134*L$1</f>
        <v>0</v>
      </c>
      <c r="K134" s="131">
        <f t="shared" si="111"/>
        <v>0</v>
      </c>
      <c r="L134" s="131">
        <f t="shared" si="112"/>
        <v>0</v>
      </c>
      <c r="M134" s="19"/>
      <c r="N134" s="19"/>
      <c r="O134" s="153"/>
      <c r="P134" s="198"/>
      <c r="Q134" s="200"/>
      <c r="R134" s="223"/>
      <c r="S134" s="201"/>
      <c r="T134" s="202"/>
      <c r="U134" s="202"/>
      <c r="V134" s="193">
        <f>I134-(P134*($L$1-$J$1))</f>
        <v>0</v>
      </c>
    </row>
    <row r="135" spans="1:22" ht="15" customHeight="1" x14ac:dyDescent="0.25">
      <c r="A135" s="215"/>
      <c r="B135" s="131">
        <v>0</v>
      </c>
      <c r="C135" s="131">
        <v>0</v>
      </c>
      <c r="D135" s="132">
        <f>'Data Ocupacion'!AN36</f>
        <v>0</v>
      </c>
      <c r="E135" s="132">
        <f>'Data Ocupacion'!AO36</f>
        <v>0</v>
      </c>
      <c r="F135" s="131" t="s">
        <v>53</v>
      </c>
      <c r="G135" s="131">
        <f t="shared" si="109"/>
        <v>0</v>
      </c>
      <c r="H135" s="131">
        <f t="shared" si="110"/>
        <v>0</v>
      </c>
      <c r="I135" s="131">
        <f>G135*L$1</f>
        <v>0</v>
      </c>
      <c r="J135" s="161">
        <f>H135*L$1</f>
        <v>0</v>
      </c>
      <c r="K135" s="131">
        <f t="shared" si="111"/>
        <v>0</v>
      </c>
      <c r="L135" s="131">
        <f t="shared" si="112"/>
        <v>0</v>
      </c>
      <c r="M135" s="19"/>
      <c r="N135" s="19"/>
      <c r="O135" s="153"/>
      <c r="P135" s="202"/>
      <c r="Q135" s="202"/>
      <c r="R135" s="202"/>
      <c r="S135" s="202"/>
      <c r="T135" s="202"/>
      <c r="U135" s="202"/>
      <c r="V135" s="193">
        <f t="shared" ref="V135:V136" si="113">I135</f>
        <v>0</v>
      </c>
    </row>
    <row r="136" spans="1:22" ht="15" customHeight="1" x14ac:dyDescent="0.25">
      <c r="A136" s="215"/>
      <c r="B136" s="131">
        <v>0</v>
      </c>
      <c r="C136" s="131">
        <v>0</v>
      </c>
      <c r="D136" s="132">
        <f>'Data Ocupacion'!AN37</f>
        <v>0</v>
      </c>
      <c r="E136" s="132">
        <f>'Data Ocupacion'!AO37</f>
        <v>0</v>
      </c>
      <c r="F136" s="131" t="s">
        <v>122</v>
      </c>
      <c r="G136" s="131">
        <f t="shared" si="109"/>
        <v>0</v>
      </c>
      <c r="H136" s="131">
        <f t="shared" si="110"/>
        <v>0</v>
      </c>
      <c r="I136" s="131">
        <f>G136*J$1</f>
        <v>0</v>
      </c>
      <c r="J136" s="161">
        <f>H136*J$1</f>
        <v>0</v>
      </c>
      <c r="K136" s="131">
        <f t="shared" si="111"/>
        <v>0</v>
      </c>
      <c r="L136" s="131">
        <f t="shared" si="112"/>
        <v>0</v>
      </c>
      <c r="M136" s="19"/>
      <c r="N136" s="19"/>
      <c r="O136" s="153"/>
      <c r="P136" s="202"/>
      <c r="Q136" s="202"/>
      <c r="R136" s="202"/>
      <c r="S136" s="202"/>
      <c r="T136" s="202"/>
      <c r="U136" s="202"/>
      <c r="V136" s="193">
        <f t="shared" si="113"/>
        <v>0</v>
      </c>
    </row>
    <row r="137" spans="1:22" ht="15" customHeight="1" thickBot="1" x14ac:dyDescent="0.3">
      <c r="A137" s="215"/>
      <c r="B137" s="131">
        <v>0</v>
      </c>
      <c r="C137" s="131">
        <v>1</v>
      </c>
      <c r="D137" s="132">
        <f>'Data Ocupacion'!AN38</f>
        <v>0</v>
      </c>
      <c r="E137" s="132">
        <f>'Data Ocupacion'!AO38</f>
        <v>1</v>
      </c>
      <c r="F137" s="131" t="s">
        <v>35</v>
      </c>
      <c r="G137" s="131">
        <f t="shared" si="109"/>
        <v>2</v>
      </c>
      <c r="H137" s="131">
        <f t="shared" si="110"/>
        <v>1</v>
      </c>
      <c r="I137" s="131">
        <f>G137*J$1</f>
        <v>50.8</v>
      </c>
      <c r="J137" s="161">
        <f>H137*J$1</f>
        <v>25.4</v>
      </c>
      <c r="K137" s="131">
        <f t="shared" si="111"/>
        <v>5283.2</v>
      </c>
      <c r="L137" s="131">
        <f t="shared" si="112"/>
        <v>104</v>
      </c>
      <c r="M137" s="19"/>
      <c r="N137" s="19"/>
      <c r="O137" s="153"/>
      <c r="P137" s="202"/>
      <c r="Q137" s="202"/>
      <c r="R137" s="202"/>
      <c r="S137" s="202"/>
      <c r="T137" s="202"/>
      <c r="U137" s="202"/>
      <c r="V137" s="193">
        <f>I137</f>
        <v>50.8</v>
      </c>
    </row>
    <row r="138" spans="1:22" s="130" customFormat="1" ht="15" customHeight="1" thickBot="1" x14ac:dyDescent="0.3">
      <c r="A138" s="20"/>
      <c r="B138" s="237">
        <f>SUM(B132:B137)</f>
        <v>75</v>
      </c>
      <c r="C138" s="237">
        <f>SUM(C132:C137)</f>
        <v>89</v>
      </c>
      <c r="D138" s="156">
        <f>SUM(D132:D137)</f>
        <v>74</v>
      </c>
      <c r="E138" s="156">
        <f>SUM(E132:E137)</f>
        <v>90</v>
      </c>
      <c r="F138" s="124"/>
      <c r="G138" s="124">
        <f t="shared" ref="G138:L138" si="114">SUM(G132:G137)</f>
        <v>254</v>
      </c>
      <c r="H138" s="124">
        <f t="shared" si="114"/>
        <v>164</v>
      </c>
      <c r="I138" s="124">
        <f t="shared" si="114"/>
        <v>10919.56</v>
      </c>
      <c r="J138" s="124">
        <f t="shared" si="114"/>
        <v>7055.59</v>
      </c>
      <c r="K138" s="124">
        <f t="shared" si="114"/>
        <v>1135634.24</v>
      </c>
      <c r="L138" s="124">
        <f t="shared" si="114"/>
        <v>17056</v>
      </c>
      <c r="M138" s="129">
        <f>'Odometro-Kilometraje'!T81</f>
        <v>11493</v>
      </c>
      <c r="N138" s="21">
        <f>(V138/M138)*100</f>
        <v>94.635256242930481</v>
      </c>
      <c r="O138" s="205"/>
      <c r="P138" s="192"/>
      <c r="Q138" s="192"/>
      <c r="R138" s="192"/>
      <c r="S138" s="192"/>
      <c r="T138" s="192"/>
      <c r="U138" s="192"/>
      <c r="V138" s="206">
        <f>SUM(V132:V137)</f>
        <v>10876.43</v>
      </c>
    </row>
    <row r="139" spans="1:22" ht="15.95" customHeight="1" x14ac:dyDescent="0.25">
      <c r="A139" s="62">
        <f>A132+1</f>
        <v>45311</v>
      </c>
      <c r="B139" s="119">
        <v>68</v>
      </c>
      <c r="C139" s="119">
        <v>3</v>
      </c>
      <c r="D139" s="155">
        <f>'Data Ocupacion'!AP33</f>
        <v>68</v>
      </c>
      <c r="E139" s="155">
        <f>'Data Ocupacion'!AQ33</f>
        <v>3</v>
      </c>
      <c r="F139" s="119" t="s">
        <v>38</v>
      </c>
      <c r="G139" s="119">
        <f t="shared" ref="G139:G144" si="115">D139+E139*2</f>
        <v>74</v>
      </c>
      <c r="H139" s="119">
        <f t="shared" ref="H139:H144" si="116">D139+E139</f>
        <v>71</v>
      </c>
      <c r="I139" s="119">
        <f>G139*L$2</f>
        <v>3191.6200000000003</v>
      </c>
      <c r="J139" s="161">
        <f>H139*L$2</f>
        <v>3062.23</v>
      </c>
      <c r="K139" s="119">
        <f t="shared" ref="K139:K144" si="117">I139*104</f>
        <v>331928.48000000004</v>
      </c>
      <c r="L139" s="119">
        <f t="shared" ref="L139:L144" si="118">H139*104</f>
        <v>7384</v>
      </c>
      <c r="M139" s="19"/>
      <c r="N139" s="19"/>
      <c r="O139" s="153"/>
      <c r="P139" s="275"/>
      <c r="Q139" s="194"/>
      <c r="R139" s="222"/>
      <c r="S139" s="203"/>
      <c r="T139" s="204"/>
      <c r="U139" s="252"/>
      <c r="V139" s="193">
        <f>I139-(P139*($L$2-$J$1)+(Q139*($L$2-$L$1))+  (R139*($L$2-$H$2)))</f>
        <v>3191.6200000000003</v>
      </c>
    </row>
    <row r="140" spans="1:22" ht="15" customHeight="1" x14ac:dyDescent="0.25">
      <c r="A140" s="311"/>
      <c r="B140" s="119">
        <v>74</v>
      </c>
      <c r="C140" s="119">
        <v>0</v>
      </c>
      <c r="D140" s="155">
        <f>'Data Ocupacion'!AP34</f>
        <v>74</v>
      </c>
      <c r="E140" s="155">
        <f>'Data Ocupacion'!AQ34</f>
        <v>0</v>
      </c>
      <c r="F140" s="119" t="s">
        <v>52</v>
      </c>
      <c r="G140" s="119">
        <f t="shared" si="115"/>
        <v>74</v>
      </c>
      <c r="H140" s="119">
        <f t="shared" si="116"/>
        <v>74</v>
      </c>
      <c r="I140" s="119">
        <f>G140*L$2</f>
        <v>3191.6200000000003</v>
      </c>
      <c r="J140" s="161">
        <f>H140*L$2</f>
        <v>3191.6200000000003</v>
      </c>
      <c r="K140" s="119">
        <f t="shared" si="117"/>
        <v>331928.48000000004</v>
      </c>
      <c r="L140" s="119">
        <f t="shared" si="118"/>
        <v>7696</v>
      </c>
      <c r="M140" s="19"/>
      <c r="N140" s="19"/>
      <c r="O140" s="153"/>
      <c r="P140" s="199"/>
      <c r="Q140" s="199"/>
      <c r="R140" s="199"/>
      <c r="S140" s="275"/>
      <c r="T140" s="196"/>
      <c r="U140" s="222"/>
      <c r="V140" s="197">
        <f>I140-(S140*($L$2-$J$1)+(T140*($L$2-$L$1)))</f>
        <v>3191.6200000000003</v>
      </c>
    </row>
    <row r="141" spans="1:22" ht="15" customHeight="1" x14ac:dyDescent="0.25">
      <c r="A141" s="311"/>
      <c r="B141" s="119">
        <v>0</v>
      </c>
      <c r="C141" s="119">
        <v>0</v>
      </c>
      <c r="D141" s="155">
        <f>'Data Ocupacion'!AP35</f>
        <v>0</v>
      </c>
      <c r="E141" s="155">
        <f>'Data Ocupacion'!AQ35</f>
        <v>0</v>
      </c>
      <c r="F141" s="119" t="s">
        <v>36</v>
      </c>
      <c r="G141" s="119">
        <f t="shared" si="115"/>
        <v>0</v>
      </c>
      <c r="H141" s="119">
        <f t="shared" si="116"/>
        <v>0</v>
      </c>
      <c r="I141" s="119">
        <f>G141*L$1</f>
        <v>0</v>
      </c>
      <c r="J141" s="161">
        <f>H141*L$1</f>
        <v>0</v>
      </c>
      <c r="K141" s="119">
        <f t="shared" si="117"/>
        <v>0</v>
      </c>
      <c r="L141" s="119">
        <f t="shared" si="118"/>
        <v>0</v>
      </c>
      <c r="M141" s="19"/>
      <c r="N141" s="19"/>
      <c r="O141" s="153"/>
      <c r="P141" s="198"/>
      <c r="Q141" s="200"/>
      <c r="R141" s="223"/>
      <c r="S141" s="201"/>
      <c r="T141" s="202"/>
      <c r="U141" s="202"/>
      <c r="V141" s="193">
        <f>I141-(P141*($L$1-$J$1))</f>
        <v>0</v>
      </c>
    </row>
    <row r="142" spans="1:22" ht="15" customHeight="1" x14ac:dyDescent="0.25">
      <c r="A142" s="311"/>
      <c r="B142" s="119">
        <v>0</v>
      </c>
      <c r="C142" s="119">
        <v>0</v>
      </c>
      <c r="D142" s="155">
        <f>'Data Ocupacion'!AP36</f>
        <v>0</v>
      </c>
      <c r="E142" s="155">
        <f>'Data Ocupacion'!AQ36</f>
        <v>0</v>
      </c>
      <c r="F142" s="119" t="s">
        <v>53</v>
      </c>
      <c r="G142" s="119">
        <f t="shared" si="115"/>
        <v>0</v>
      </c>
      <c r="H142" s="119">
        <f t="shared" si="116"/>
        <v>0</v>
      </c>
      <c r="I142" s="119">
        <f>G142*L$1</f>
        <v>0</v>
      </c>
      <c r="J142" s="161">
        <f>H142*L$1</f>
        <v>0</v>
      </c>
      <c r="K142" s="119">
        <f t="shared" si="117"/>
        <v>0</v>
      </c>
      <c r="L142" s="119">
        <f t="shared" si="118"/>
        <v>0</v>
      </c>
      <c r="M142" s="19"/>
      <c r="N142" s="19"/>
      <c r="O142" s="153"/>
      <c r="P142" s="202"/>
      <c r="Q142" s="202"/>
      <c r="R142" s="202"/>
      <c r="S142" s="202"/>
      <c r="T142" s="202"/>
      <c r="U142" s="202"/>
      <c r="V142" s="193">
        <f t="shared" ref="V142:V143" si="119">I142</f>
        <v>0</v>
      </c>
    </row>
    <row r="143" spans="1:22" ht="15" customHeight="1" x14ac:dyDescent="0.25">
      <c r="A143" s="311"/>
      <c r="B143" s="119">
        <v>0</v>
      </c>
      <c r="C143" s="119">
        <v>0</v>
      </c>
      <c r="D143" s="155">
        <f>'Data Ocupacion'!AP37</f>
        <v>0</v>
      </c>
      <c r="E143" s="155">
        <f>'Data Ocupacion'!AQ37</f>
        <v>0</v>
      </c>
      <c r="F143" s="119" t="s">
        <v>122</v>
      </c>
      <c r="G143" s="119">
        <f t="shared" si="115"/>
        <v>0</v>
      </c>
      <c r="H143" s="119">
        <f t="shared" si="116"/>
        <v>0</v>
      </c>
      <c r="I143" s="119">
        <f>G143*J$1</f>
        <v>0</v>
      </c>
      <c r="J143" s="161">
        <f>H143*J$1</f>
        <v>0</v>
      </c>
      <c r="K143" s="119">
        <f t="shared" si="117"/>
        <v>0</v>
      </c>
      <c r="L143" s="119">
        <f t="shared" si="118"/>
        <v>0</v>
      </c>
      <c r="M143" s="19"/>
      <c r="N143" s="19"/>
      <c r="O143" s="153"/>
      <c r="P143" s="202"/>
      <c r="Q143" s="202"/>
      <c r="R143" s="202"/>
      <c r="S143" s="202"/>
      <c r="T143" s="202"/>
      <c r="U143" s="202"/>
      <c r="V143" s="193">
        <f t="shared" si="119"/>
        <v>0</v>
      </c>
    </row>
    <row r="144" spans="1:22" ht="15" customHeight="1" thickBot="1" x14ac:dyDescent="0.3">
      <c r="A144" s="311"/>
      <c r="B144" s="119">
        <v>0</v>
      </c>
      <c r="C144" s="119">
        <v>0</v>
      </c>
      <c r="D144" s="155">
        <f>'Data Ocupacion'!AP38</f>
        <v>0</v>
      </c>
      <c r="E144" s="155">
        <f>'Data Ocupacion'!AQ38</f>
        <v>0</v>
      </c>
      <c r="F144" s="119" t="s">
        <v>35</v>
      </c>
      <c r="G144" s="119">
        <f t="shared" si="115"/>
        <v>0</v>
      </c>
      <c r="H144" s="119">
        <f t="shared" si="116"/>
        <v>0</v>
      </c>
      <c r="I144" s="119">
        <f>G144*J$1</f>
        <v>0</v>
      </c>
      <c r="J144" s="161">
        <f>H144*J$1</f>
        <v>0</v>
      </c>
      <c r="K144" s="119">
        <f t="shared" si="117"/>
        <v>0</v>
      </c>
      <c r="L144" s="119">
        <f t="shared" si="118"/>
        <v>0</v>
      </c>
      <c r="M144" s="19"/>
      <c r="N144" s="19"/>
      <c r="O144" s="153"/>
      <c r="P144" s="202"/>
      <c r="Q144" s="202"/>
      <c r="R144" s="202"/>
      <c r="S144" s="202"/>
      <c r="T144" s="202"/>
      <c r="U144" s="202"/>
      <c r="V144" s="193">
        <f>I144</f>
        <v>0</v>
      </c>
    </row>
    <row r="145" spans="1:25" s="130" customFormat="1" ht="15" customHeight="1" thickBot="1" x14ac:dyDescent="0.3">
      <c r="A145" s="20"/>
      <c r="B145" s="237">
        <f>SUM(B139:B144)</f>
        <v>142</v>
      </c>
      <c r="C145" s="237">
        <f>SUM(C139:C144)</f>
        <v>3</v>
      </c>
      <c r="D145" s="156">
        <f>SUM(D139:D144)</f>
        <v>142</v>
      </c>
      <c r="E145" s="156">
        <f>SUM(E139:E144)</f>
        <v>3</v>
      </c>
      <c r="F145" s="124"/>
      <c r="G145" s="124">
        <f t="shared" ref="G145:L145" si="120">SUM(G139:G144)</f>
        <v>148</v>
      </c>
      <c r="H145" s="124">
        <f t="shared" si="120"/>
        <v>145</v>
      </c>
      <c r="I145" s="125">
        <f t="shared" si="120"/>
        <v>6383.2400000000007</v>
      </c>
      <c r="J145" s="124">
        <f t="shared" si="120"/>
        <v>6253.85</v>
      </c>
      <c r="K145" s="124">
        <f t="shared" si="120"/>
        <v>663856.96000000008</v>
      </c>
      <c r="L145" s="124">
        <f t="shared" si="120"/>
        <v>15080</v>
      </c>
      <c r="M145" s="129">
        <f>'Odometro-Kilometraje'!U81</f>
        <v>6533</v>
      </c>
      <c r="N145" s="21">
        <f>(V145/M145)*100</f>
        <v>97.707638144803326</v>
      </c>
      <c r="O145" s="205"/>
      <c r="P145" s="192"/>
      <c r="Q145" s="192"/>
      <c r="R145" s="192"/>
      <c r="S145" s="192"/>
      <c r="T145" s="192"/>
      <c r="U145" s="192"/>
      <c r="V145" s="206">
        <f>SUM(V139:V144)</f>
        <v>6383.2400000000007</v>
      </c>
    </row>
    <row r="146" spans="1:25" x14ac:dyDescent="0.25">
      <c r="A146" s="62">
        <f>A139+1</f>
        <v>45312</v>
      </c>
      <c r="B146" s="238">
        <v>51</v>
      </c>
      <c r="C146" s="238">
        <v>3</v>
      </c>
      <c r="D146" s="144">
        <f>'Data Ocupacion'!AR33</f>
        <v>51</v>
      </c>
      <c r="E146" s="144">
        <f>'Data Ocupacion'!AS33</f>
        <v>3</v>
      </c>
      <c r="F146" s="302" t="s">
        <v>38</v>
      </c>
      <c r="G146" s="303">
        <f t="shared" ref="G146:G151" si="121">D146+E146*2</f>
        <v>57</v>
      </c>
      <c r="H146" s="304">
        <f t="shared" ref="H146:H151" si="122">D146+E146</f>
        <v>54</v>
      </c>
      <c r="I146" s="304">
        <f>G146*L$2</f>
        <v>2458.4100000000003</v>
      </c>
      <c r="J146" s="161">
        <f>H146*L$2</f>
        <v>2329.02</v>
      </c>
      <c r="K146" s="238">
        <f t="shared" ref="K146:K151" si="123">I146*104</f>
        <v>255674.64000000004</v>
      </c>
      <c r="L146" s="238">
        <f t="shared" ref="L146:L151" si="124">H146*104</f>
        <v>5616</v>
      </c>
      <c r="M146" s="19"/>
      <c r="N146" s="19"/>
      <c r="O146" s="153"/>
      <c r="P146" s="275"/>
      <c r="Q146" s="194"/>
      <c r="R146" s="222"/>
      <c r="S146" s="203"/>
      <c r="T146" s="204"/>
      <c r="U146" s="252"/>
      <c r="V146" s="193">
        <f>I146-(P146*($L$2-$J$1)+(Q146*($L$2-$L$1))+  (R146*($L$2-$H$2)))</f>
        <v>2458.4100000000003</v>
      </c>
    </row>
    <row r="147" spans="1:25" ht="15" customHeight="1" x14ac:dyDescent="0.25">
      <c r="A147" s="215"/>
      <c r="B147" s="238">
        <v>57</v>
      </c>
      <c r="C147" s="238">
        <v>0</v>
      </c>
      <c r="D147" s="144">
        <f>'Data Ocupacion'!AR34</f>
        <v>57</v>
      </c>
      <c r="E147" s="144">
        <f>'Data Ocupacion'!AS34</f>
        <v>0</v>
      </c>
      <c r="F147" s="302" t="s">
        <v>52</v>
      </c>
      <c r="G147" s="303">
        <f t="shared" si="121"/>
        <v>57</v>
      </c>
      <c r="H147" s="238">
        <f t="shared" si="122"/>
        <v>57</v>
      </c>
      <c r="I147" s="238">
        <f>G147*L$2</f>
        <v>2458.4100000000003</v>
      </c>
      <c r="J147" s="161">
        <f>H147*L$2</f>
        <v>2458.4100000000003</v>
      </c>
      <c r="K147" s="238">
        <f t="shared" si="123"/>
        <v>255674.64000000004</v>
      </c>
      <c r="L147" s="238">
        <f t="shared" si="124"/>
        <v>5928</v>
      </c>
      <c r="M147" s="19"/>
      <c r="N147" s="19"/>
      <c r="O147" s="153"/>
      <c r="P147" s="199"/>
      <c r="Q147" s="199"/>
      <c r="R147" s="199"/>
      <c r="S147" s="275"/>
      <c r="T147" s="196"/>
      <c r="U147" s="253"/>
      <c r="V147" s="197">
        <f>I147-(S147*($L$2-$J$1)+(T147*($L$2-$L$1)))</f>
        <v>2458.4100000000003</v>
      </c>
    </row>
    <row r="148" spans="1:25" x14ac:dyDescent="0.25">
      <c r="A148" s="215"/>
      <c r="B148" s="238">
        <v>0</v>
      </c>
      <c r="C148" s="238">
        <v>0</v>
      </c>
      <c r="D148" s="144">
        <f>'Data Ocupacion'!AR35</f>
        <v>0</v>
      </c>
      <c r="E148" s="144">
        <f>'Data Ocupacion'!AS35</f>
        <v>0</v>
      </c>
      <c r="F148" s="302" t="s">
        <v>36</v>
      </c>
      <c r="G148" s="303">
        <f t="shared" si="121"/>
        <v>0</v>
      </c>
      <c r="H148" s="238">
        <f t="shared" si="122"/>
        <v>0</v>
      </c>
      <c r="I148" s="238">
        <f>G148*L$1</f>
        <v>0</v>
      </c>
      <c r="J148" s="161">
        <f>H148*L$1</f>
        <v>0</v>
      </c>
      <c r="K148" s="238">
        <f t="shared" si="123"/>
        <v>0</v>
      </c>
      <c r="L148" s="238">
        <f t="shared" si="124"/>
        <v>0</v>
      </c>
      <c r="M148" s="19"/>
      <c r="N148" s="19"/>
      <c r="O148" s="153"/>
      <c r="P148" s="198"/>
      <c r="Q148" s="200"/>
      <c r="R148" s="223"/>
      <c r="S148" s="201"/>
      <c r="T148" s="202"/>
      <c r="U148" s="202"/>
      <c r="V148" s="193">
        <f>I148-(P148*($L$1-$J$1))</f>
        <v>0</v>
      </c>
    </row>
    <row r="149" spans="1:25" x14ac:dyDescent="0.25">
      <c r="A149" s="215"/>
      <c r="B149" s="238">
        <v>0</v>
      </c>
      <c r="C149" s="238">
        <v>0</v>
      </c>
      <c r="D149" s="144">
        <f>'Data Ocupacion'!AR36</f>
        <v>0</v>
      </c>
      <c r="E149" s="144">
        <f>'Data Ocupacion'!AS36</f>
        <v>0</v>
      </c>
      <c r="F149" s="302" t="s">
        <v>53</v>
      </c>
      <c r="G149" s="303">
        <f t="shared" si="121"/>
        <v>0</v>
      </c>
      <c r="H149" s="238">
        <f t="shared" si="122"/>
        <v>0</v>
      </c>
      <c r="I149" s="238">
        <f>G149*L$1</f>
        <v>0</v>
      </c>
      <c r="J149" s="161">
        <f>H149*L$1</f>
        <v>0</v>
      </c>
      <c r="K149" s="238">
        <f t="shared" si="123"/>
        <v>0</v>
      </c>
      <c r="L149" s="238">
        <f t="shared" si="124"/>
        <v>0</v>
      </c>
      <c r="M149" s="19"/>
      <c r="N149" s="19"/>
      <c r="O149" s="273"/>
      <c r="P149" s="202"/>
      <c r="Q149" s="202"/>
      <c r="R149" s="202"/>
      <c r="S149" s="202"/>
      <c r="T149" s="202"/>
      <c r="U149" s="202"/>
      <c r="V149" s="193">
        <f t="shared" ref="V149:V150" si="125">I149</f>
        <v>0</v>
      </c>
    </row>
    <row r="150" spans="1:25" ht="15" customHeight="1" x14ac:dyDescent="0.25">
      <c r="A150" s="215"/>
      <c r="B150" s="238">
        <v>0</v>
      </c>
      <c r="C150" s="238">
        <v>0</v>
      </c>
      <c r="D150" s="144">
        <f>'Data Ocupacion'!AR37</f>
        <v>0</v>
      </c>
      <c r="E150" s="144">
        <f>'Data Ocupacion'!AS37</f>
        <v>0</v>
      </c>
      <c r="F150" s="302" t="s">
        <v>122</v>
      </c>
      <c r="G150" s="303">
        <f t="shared" si="121"/>
        <v>0</v>
      </c>
      <c r="H150" s="238">
        <f t="shared" si="122"/>
        <v>0</v>
      </c>
      <c r="I150" s="305">
        <f>G150*J$1</f>
        <v>0</v>
      </c>
      <c r="J150" s="161">
        <f>H150*J$1</f>
        <v>0</v>
      </c>
      <c r="K150" s="238">
        <f t="shared" si="123"/>
        <v>0</v>
      </c>
      <c r="L150" s="238">
        <f t="shared" si="124"/>
        <v>0</v>
      </c>
      <c r="M150" s="19"/>
      <c r="N150" s="19"/>
      <c r="O150" s="153"/>
      <c r="P150" s="202"/>
      <c r="Q150" s="202"/>
      <c r="R150" s="202"/>
      <c r="S150" s="202"/>
      <c r="T150" s="202"/>
      <c r="U150" s="202"/>
      <c r="V150" s="193">
        <f t="shared" si="125"/>
        <v>0</v>
      </c>
    </row>
    <row r="151" spans="1:25" ht="15.75" thickBot="1" x14ac:dyDescent="0.3">
      <c r="A151" s="215"/>
      <c r="B151" s="238">
        <v>0</v>
      </c>
      <c r="C151" s="238">
        <v>0</v>
      </c>
      <c r="D151" s="144">
        <f>'Data Ocupacion'!AR38</f>
        <v>0</v>
      </c>
      <c r="E151" s="144">
        <f>'Data Ocupacion'!AS38</f>
        <v>0</v>
      </c>
      <c r="F151" s="302" t="s">
        <v>35</v>
      </c>
      <c r="G151" s="303">
        <f t="shared" si="121"/>
        <v>0</v>
      </c>
      <c r="H151" s="306">
        <f t="shared" si="122"/>
        <v>0</v>
      </c>
      <c r="I151" s="306">
        <f>G151*J$1</f>
        <v>0</v>
      </c>
      <c r="J151" s="161">
        <f>H151*J$1</f>
        <v>0</v>
      </c>
      <c r="K151" s="238">
        <f t="shared" si="123"/>
        <v>0</v>
      </c>
      <c r="L151" s="238">
        <f t="shared" si="124"/>
        <v>0</v>
      </c>
      <c r="M151" s="19"/>
      <c r="N151" s="19"/>
      <c r="O151" s="153"/>
      <c r="P151" s="202"/>
      <c r="Q151" s="202"/>
      <c r="R151" s="202"/>
      <c r="S151" s="202"/>
      <c r="T151" s="202"/>
      <c r="U151" s="202"/>
      <c r="V151" s="193">
        <f>I151</f>
        <v>0</v>
      </c>
    </row>
    <row r="152" spans="1:25" s="130" customFormat="1" ht="15.75" thickBot="1" x14ac:dyDescent="0.3">
      <c r="A152" s="20"/>
      <c r="B152" s="237">
        <f>SUM(B146:B151)</f>
        <v>108</v>
      </c>
      <c r="C152" s="237">
        <f>SUM(C146:C151)</f>
        <v>3</v>
      </c>
      <c r="D152" s="156">
        <f>SUM(D146:D151)</f>
        <v>108</v>
      </c>
      <c r="E152" s="156">
        <f>SUM(E146:E151)</f>
        <v>3</v>
      </c>
      <c r="F152" s="124"/>
      <c r="G152" s="124">
        <f t="shared" ref="G152:L152" si="126">SUM(G146:G151)</f>
        <v>114</v>
      </c>
      <c r="H152" s="124">
        <f t="shared" si="126"/>
        <v>111</v>
      </c>
      <c r="I152" s="125">
        <f>SUM(I146:I151)</f>
        <v>4916.8200000000006</v>
      </c>
      <c r="J152" s="124">
        <f t="shared" si="126"/>
        <v>4787.43</v>
      </c>
      <c r="K152" s="124">
        <f t="shared" si="126"/>
        <v>511349.28000000009</v>
      </c>
      <c r="L152" s="124">
        <f t="shared" si="126"/>
        <v>11544</v>
      </c>
      <c r="M152" s="129">
        <f>'Odometro-Kilometraje'!V81</f>
        <v>5119</v>
      </c>
      <c r="N152" s="21">
        <f>(V152/M152)*100</f>
        <v>96.050400468841573</v>
      </c>
      <c r="O152" s="205"/>
      <c r="P152" s="192"/>
      <c r="Q152" s="192"/>
      <c r="R152" s="192"/>
      <c r="S152" s="192"/>
      <c r="T152" s="192"/>
      <c r="U152" s="192"/>
      <c r="V152" s="206">
        <f>SUM(V146:V151)</f>
        <v>4916.8200000000006</v>
      </c>
    </row>
    <row r="153" spans="1:25" x14ac:dyDescent="0.25">
      <c r="A153" s="62">
        <f>A146+1</f>
        <v>45313</v>
      </c>
      <c r="B153" s="131">
        <v>45</v>
      </c>
      <c r="C153" s="131">
        <v>37</v>
      </c>
      <c r="D153" s="132">
        <f>'Data Ocupacion'!AT33</f>
        <v>45</v>
      </c>
      <c r="E153" s="132">
        <f>'Data Ocupacion'!AU33</f>
        <v>37</v>
      </c>
      <c r="F153" s="242" t="s">
        <v>38</v>
      </c>
      <c r="G153" s="243">
        <f>D153+E153*2</f>
        <v>119</v>
      </c>
      <c r="H153" s="244">
        <f>D153+E153</f>
        <v>82</v>
      </c>
      <c r="I153" s="244">
        <f>G153*L$2</f>
        <v>5132.47</v>
      </c>
      <c r="J153" s="161">
        <f>H153*L$2</f>
        <v>3536.6600000000003</v>
      </c>
      <c r="K153" s="131">
        <f t="shared" ref="K153:K158" si="127">I153*104</f>
        <v>533776.88</v>
      </c>
      <c r="L153" s="131">
        <f t="shared" ref="L153:L158" si="128">H153*104</f>
        <v>8528</v>
      </c>
      <c r="M153" s="19"/>
      <c r="N153" s="19"/>
      <c r="O153" s="153"/>
      <c r="P153" s="198"/>
      <c r="Q153" s="194"/>
      <c r="R153" s="222"/>
      <c r="S153" s="203"/>
      <c r="T153" s="204"/>
      <c r="U153" s="252"/>
      <c r="V153" s="193">
        <f>I153-(P153*($L$2-$J$1)+(Q153*($L$2-$L$1))+  (R153*($L$2-$H$2)))</f>
        <v>5132.47</v>
      </c>
    </row>
    <row r="154" spans="1:25" ht="15" customHeight="1" x14ac:dyDescent="0.25">
      <c r="A154" s="333" t="s">
        <v>173</v>
      </c>
      <c r="B154" s="131">
        <v>46</v>
      </c>
      <c r="C154" s="131">
        <v>35</v>
      </c>
      <c r="D154" s="132">
        <f>'Data Ocupacion'!AT34</f>
        <v>45</v>
      </c>
      <c r="E154" s="132">
        <f>'Data Ocupacion'!AU34</f>
        <v>36</v>
      </c>
      <c r="F154" s="242" t="s">
        <v>52</v>
      </c>
      <c r="G154" s="243">
        <f>D154+E154*2</f>
        <v>117</v>
      </c>
      <c r="H154" s="131">
        <f>D154+E154</f>
        <v>81</v>
      </c>
      <c r="I154" s="131">
        <f>G154*L$2</f>
        <v>5046.21</v>
      </c>
      <c r="J154" s="161">
        <f>H154*L$2</f>
        <v>3493.53</v>
      </c>
      <c r="K154" s="131">
        <f t="shared" si="127"/>
        <v>524805.84</v>
      </c>
      <c r="L154" s="131">
        <f t="shared" si="128"/>
        <v>8424</v>
      </c>
      <c r="M154" s="19"/>
      <c r="N154" s="19"/>
      <c r="O154" s="153"/>
      <c r="P154" s="199"/>
      <c r="Q154" s="199"/>
      <c r="R154" s="199"/>
      <c r="S154" s="275">
        <v>1</v>
      </c>
      <c r="T154" s="220"/>
      <c r="U154" s="253"/>
      <c r="V154" s="197">
        <f>I154-(S154*($L$2-$J$1)+(T154*($L$2-$L$1)))</f>
        <v>5028.4800000000005</v>
      </c>
      <c r="W154" s="130"/>
      <c r="X154" s="130"/>
      <c r="Y154" s="130"/>
    </row>
    <row r="155" spans="1:25" x14ac:dyDescent="0.25">
      <c r="A155" s="333"/>
      <c r="B155" s="131">
        <v>0</v>
      </c>
      <c r="C155" s="131">
        <v>0</v>
      </c>
      <c r="D155" s="132">
        <f>'Data Ocupacion'!AT35</f>
        <v>0</v>
      </c>
      <c r="E155" s="132">
        <f>'Data Ocupacion'!AU35</f>
        <v>0</v>
      </c>
      <c r="F155" s="242" t="s">
        <v>36</v>
      </c>
      <c r="G155" s="243">
        <f t="shared" ref="G155:G158" si="129">D155+E155*2</f>
        <v>0</v>
      </c>
      <c r="H155" s="131">
        <f t="shared" ref="H155:H158" si="130">D155+E155</f>
        <v>0</v>
      </c>
      <c r="I155" s="131">
        <f>G155*L$1</f>
        <v>0</v>
      </c>
      <c r="J155" s="161">
        <f>H155*L$1</f>
        <v>0</v>
      </c>
      <c r="K155" s="131">
        <f t="shared" si="127"/>
        <v>0</v>
      </c>
      <c r="L155" s="131">
        <f t="shared" si="128"/>
        <v>0</v>
      </c>
      <c r="M155" s="19"/>
      <c r="N155" s="19"/>
      <c r="O155" s="153"/>
      <c r="P155" s="198"/>
      <c r="Q155" s="200"/>
      <c r="R155" s="223"/>
      <c r="S155" s="201"/>
      <c r="T155" s="202"/>
      <c r="U155" s="202"/>
      <c r="V155" s="193">
        <f>I155-(P155*($L$1-$J$1))</f>
        <v>0</v>
      </c>
      <c r="W155" s="130"/>
      <c r="X155" s="130"/>
      <c r="Y155" s="130"/>
    </row>
    <row r="156" spans="1:25" ht="15" customHeight="1" x14ac:dyDescent="0.25">
      <c r="A156" s="333"/>
      <c r="B156" s="131">
        <v>0</v>
      </c>
      <c r="C156" s="131">
        <v>0</v>
      </c>
      <c r="D156" s="132">
        <f>'Data Ocupacion'!AT36</f>
        <v>0</v>
      </c>
      <c r="E156" s="132">
        <f>'Data Ocupacion'!AU36</f>
        <v>0</v>
      </c>
      <c r="F156" s="242" t="s">
        <v>53</v>
      </c>
      <c r="G156" s="243">
        <f t="shared" si="129"/>
        <v>0</v>
      </c>
      <c r="H156" s="131">
        <f t="shared" si="130"/>
        <v>0</v>
      </c>
      <c r="I156" s="131">
        <f>G156*L$1</f>
        <v>0</v>
      </c>
      <c r="J156" s="161">
        <f>H156*L$1</f>
        <v>0</v>
      </c>
      <c r="K156" s="131">
        <f t="shared" si="127"/>
        <v>0</v>
      </c>
      <c r="L156" s="131">
        <f t="shared" si="128"/>
        <v>0</v>
      </c>
      <c r="M156" s="19"/>
      <c r="N156" s="19"/>
      <c r="O156" s="153"/>
      <c r="P156" s="202"/>
      <c r="Q156" s="202"/>
      <c r="R156" s="202"/>
      <c r="S156" s="202"/>
      <c r="T156" s="202"/>
      <c r="U156" s="202"/>
      <c r="V156" s="193">
        <f t="shared" ref="V156:V157" si="131">I156</f>
        <v>0</v>
      </c>
      <c r="W156" s="130"/>
      <c r="X156" s="130"/>
      <c r="Y156" s="130"/>
    </row>
    <row r="157" spans="1:25" ht="13.5" customHeight="1" x14ac:dyDescent="0.25">
      <c r="A157" s="333"/>
      <c r="B157" s="131">
        <v>0</v>
      </c>
      <c r="C157" s="131">
        <v>0</v>
      </c>
      <c r="D157" s="132">
        <f>'Data Ocupacion'!AT37</f>
        <v>0</v>
      </c>
      <c r="E157" s="132">
        <f>'Data Ocupacion'!AU37</f>
        <v>0</v>
      </c>
      <c r="F157" s="242" t="s">
        <v>122</v>
      </c>
      <c r="G157" s="243">
        <f t="shared" si="129"/>
        <v>0</v>
      </c>
      <c r="H157" s="131">
        <f t="shared" si="130"/>
        <v>0</v>
      </c>
      <c r="I157" s="245">
        <f>G157*J$1</f>
        <v>0</v>
      </c>
      <c r="J157" s="161">
        <f>H157*L$1</f>
        <v>0</v>
      </c>
      <c r="K157" s="131">
        <f t="shared" si="127"/>
        <v>0</v>
      </c>
      <c r="L157" s="131">
        <f t="shared" si="128"/>
        <v>0</v>
      </c>
      <c r="M157" s="19"/>
      <c r="N157" s="19"/>
      <c r="O157" s="153"/>
      <c r="P157" s="202"/>
      <c r="Q157" s="202"/>
      <c r="R157" s="202"/>
      <c r="S157" s="202"/>
      <c r="T157" s="202"/>
      <c r="U157" s="202"/>
      <c r="V157" s="193">
        <f t="shared" si="131"/>
        <v>0</v>
      </c>
      <c r="W157" s="130"/>
      <c r="X157" s="130"/>
      <c r="Y157" s="130"/>
    </row>
    <row r="158" spans="1:25" ht="15.75" thickBot="1" x14ac:dyDescent="0.3">
      <c r="A158" s="333"/>
      <c r="B158" s="131">
        <v>0</v>
      </c>
      <c r="C158" s="131">
        <v>1</v>
      </c>
      <c r="D158" s="132">
        <f>'Data Ocupacion'!AT38</f>
        <v>0</v>
      </c>
      <c r="E158" s="132">
        <f>'Data Ocupacion'!AU38</f>
        <v>1</v>
      </c>
      <c r="F158" s="242" t="s">
        <v>35</v>
      </c>
      <c r="G158" s="243">
        <f t="shared" si="129"/>
        <v>2</v>
      </c>
      <c r="H158" s="246">
        <f t="shared" si="130"/>
        <v>1</v>
      </c>
      <c r="I158" s="246">
        <f>G158*J$1</f>
        <v>50.8</v>
      </c>
      <c r="J158" s="161">
        <f>H158*J$1</f>
        <v>25.4</v>
      </c>
      <c r="K158" s="131">
        <f t="shared" si="127"/>
        <v>5283.2</v>
      </c>
      <c r="L158" s="131">
        <f t="shared" si="128"/>
        <v>104</v>
      </c>
      <c r="M158" s="19"/>
      <c r="N158" s="19"/>
      <c r="O158" s="153"/>
      <c r="P158" s="202"/>
      <c r="Q158" s="202"/>
      <c r="R158" s="202"/>
      <c r="S158" s="202"/>
      <c r="T158" s="202"/>
      <c r="U158" s="202"/>
      <c r="V158" s="193">
        <f>I158</f>
        <v>50.8</v>
      </c>
    </row>
    <row r="159" spans="1:25" s="130" customFormat="1" ht="15.75" thickBot="1" x14ac:dyDescent="0.3">
      <c r="A159" s="20"/>
      <c r="B159" s="237">
        <f>SUM(B153:B158)</f>
        <v>91</v>
      </c>
      <c r="C159" s="237">
        <f>SUM(C153:C158)</f>
        <v>73</v>
      </c>
      <c r="D159" s="156">
        <f>SUM(D153:D158)</f>
        <v>90</v>
      </c>
      <c r="E159" s="156">
        <f>SUM(E153:E158)</f>
        <v>74</v>
      </c>
      <c r="F159" s="124"/>
      <c r="G159" s="124">
        <f t="shared" ref="G159:L159" si="132">SUM(G153:G158)</f>
        <v>238</v>
      </c>
      <c r="H159" s="124">
        <f t="shared" si="132"/>
        <v>164</v>
      </c>
      <c r="I159" s="125">
        <f t="shared" si="132"/>
        <v>10229.48</v>
      </c>
      <c r="J159" s="124">
        <f t="shared" si="132"/>
        <v>7055.59</v>
      </c>
      <c r="K159" s="124">
        <f t="shared" si="132"/>
        <v>1063865.92</v>
      </c>
      <c r="L159" s="124">
        <f t="shared" si="132"/>
        <v>17056</v>
      </c>
      <c r="M159" s="129">
        <f>'Odometro-Kilometraje'!W81</f>
        <v>10691</v>
      </c>
      <c r="N159" s="21">
        <f>(V159/M159)*100</f>
        <v>95.517257506313726</v>
      </c>
      <c r="O159" s="205"/>
      <c r="P159" s="192"/>
      <c r="Q159" s="192"/>
      <c r="R159" s="192"/>
      <c r="S159" s="192"/>
      <c r="T159" s="192"/>
      <c r="U159" s="192"/>
      <c r="V159" s="206">
        <f>SUM(V153:V158)</f>
        <v>10211.75</v>
      </c>
    </row>
    <row r="160" spans="1:25" s="130" customFormat="1" x14ac:dyDescent="0.25">
      <c r="A160" s="62">
        <f>A153+1</f>
        <v>45314</v>
      </c>
      <c r="B160" s="131">
        <v>45</v>
      </c>
      <c r="C160" s="131">
        <v>37</v>
      </c>
      <c r="D160" s="132">
        <f>'Data Ocupacion'!AV33</f>
        <v>45</v>
      </c>
      <c r="E160" s="132">
        <f>'Data Ocupacion'!AW33</f>
        <v>37</v>
      </c>
      <c r="F160" s="131" t="s">
        <v>38</v>
      </c>
      <c r="G160" s="131">
        <f t="shared" ref="G160:G165" si="133">D160+E160*2</f>
        <v>119</v>
      </c>
      <c r="H160" s="131">
        <f t="shared" ref="H160:H165" si="134">D160+E160</f>
        <v>82</v>
      </c>
      <c r="I160" s="131">
        <f>G160*L$2</f>
        <v>5132.47</v>
      </c>
      <c r="J160" s="161">
        <f>H160*L$2</f>
        <v>3536.6600000000003</v>
      </c>
      <c r="K160" s="131">
        <f t="shared" ref="K160:K165" si="135">I160*104</f>
        <v>533776.88</v>
      </c>
      <c r="L160" s="131">
        <f t="shared" ref="L160:L165" si="136">H160*104</f>
        <v>8528</v>
      </c>
      <c r="M160" s="19"/>
      <c r="N160" s="19"/>
      <c r="O160" s="153"/>
      <c r="P160" s="194"/>
      <c r="Q160" s="194"/>
      <c r="R160" s="222"/>
      <c r="S160" s="203"/>
      <c r="T160" s="204"/>
      <c r="U160" s="252"/>
      <c r="V160" s="193">
        <f>I160-(P160*($L$2-$J$1)+(Q160*($L$2-$L$1))+  (R160*($L$2-$H$2)))</f>
        <v>5132.47</v>
      </c>
    </row>
    <row r="161" spans="1:24" ht="15" customHeight="1" x14ac:dyDescent="0.25">
      <c r="A161" s="215"/>
      <c r="B161" s="131">
        <v>46</v>
      </c>
      <c r="C161" s="131">
        <v>35</v>
      </c>
      <c r="D161" s="132">
        <f>'Data Ocupacion'!AV34</f>
        <v>45</v>
      </c>
      <c r="E161" s="132">
        <f>'Data Ocupacion'!AW34</f>
        <v>36</v>
      </c>
      <c r="F161" s="131" t="s">
        <v>52</v>
      </c>
      <c r="G161" s="131">
        <f t="shared" si="133"/>
        <v>117</v>
      </c>
      <c r="H161" s="131">
        <f t="shared" si="134"/>
        <v>81</v>
      </c>
      <c r="I161" s="131">
        <f>G161*L$2</f>
        <v>5046.21</v>
      </c>
      <c r="J161" s="161">
        <f>H161*L$2</f>
        <v>3493.53</v>
      </c>
      <c r="K161" s="131">
        <f t="shared" si="135"/>
        <v>524805.84</v>
      </c>
      <c r="L161" s="131">
        <f t="shared" si="136"/>
        <v>8424</v>
      </c>
      <c r="M161" s="19"/>
      <c r="N161" s="19"/>
      <c r="O161" s="153"/>
      <c r="P161" s="199"/>
      <c r="Q161" s="199"/>
      <c r="R161" s="236"/>
      <c r="S161" s="194">
        <v>1</v>
      </c>
      <c r="T161" s="236"/>
      <c r="U161" s="253"/>
      <c r="V161" s="197">
        <f>I161-(S161*($L$2-$J$1)+(T161*($L$2-$L$1)))</f>
        <v>5028.4800000000005</v>
      </c>
      <c r="X161" s="180"/>
    </row>
    <row r="162" spans="1:24" x14ac:dyDescent="0.25">
      <c r="A162" s="215"/>
      <c r="B162" s="131">
        <v>0</v>
      </c>
      <c r="C162" s="131">
        <v>0</v>
      </c>
      <c r="D162" s="132">
        <f>'Data Ocupacion'!AV35</f>
        <v>0</v>
      </c>
      <c r="E162" s="132">
        <f>'Data Ocupacion'!AW35</f>
        <v>0</v>
      </c>
      <c r="F162" s="131" t="s">
        <v>36</v>
      </c>
      <c r="G162" s="131">
        <f t="shared" si="133"/>
        <v>0</v>
      </c>
      <c r="H162" s="131">
        <f t="shared" si="134"/>
        <v>0</v>
      </c>
      <c r="I162" s="131">
        <f>G162*L$1</f>
        <v>0</v>
      </c>
      <c r="J162" s="161">
        <f>H162*L$1</f>
        <v>0</v>
      </c>
      <c r="K162" s="131">
        <f t="shared" si="135"/>
        <v>0</v>
      </c>
      <c r="L162" s="131">
        <f t="shared" si="136"/>
        <v>0</v>
      </c>
      <c r="M162" s="19"/>
      <c r="N162" s="19"/>
      <c r="O162" s="153"/>
      <c r="P162" s="198"/>
      <c r="Q162" s="200"/>
      <c r="R162" s="223"/>
      <c r="S162" s="201"/>
      <c r="T162" s="202"/>
      <c r="U162" s="202"/>
      <c r="V162" s="193">
        <f>I162-(P162*($L$1-$J$1))</f>
        <v>0</v>
      </c>
    </row>
    <row r="163" spans="1:24" ht="15" customHeight="1" x14ac:dyDescent="0.25">
      <c r="A163" s="215"/>
      <c r="B163" s="131">
        <v>0</v>
      </c>
      <c r="C163" s="131">
        <v>0</v>
      </c>
      <c r="D163" s="132">
        <f>'Data Ocupacion'!AV36</f>
        <v>0</v>
      </c>
      <c r="E163" s="132">
        <f>'Data Ocupacion'!AW36</f>
        <v>0</v>
      </c>
      <c r="F163" s="131" t="s">
        <v>53</v>
      </c>
      <c r="G163" s="131">
        <f t="shared" si="133"/>
        <v>0</v>
      </c>
      <c r="H163" s="131">
        <f t="shared" si="134"/>
        <v>0</v>
      </c>
      <c r="I163" s="131">
        <f>G163*L$1</f>
        <v>0</v>
      </c>
      <c r="J163" s="161">
        <f>H163*L$1</f>
        <v>0</v>
      </c>
      <c r="K163" s="131">
        <f t="shared" si="135"/>
        <v>0</v>
      </c>
      <c r="L163" s="131">
        <f t="shared" si="136"/>
        <v>0</v>
      </c>
      <c r="M163" s="19"/>
      <c r="N163" s="19"/>
      <c r="O163" s="153"/>
      <c r="P163" s="202"/>
      <c r="Q163" s="202"/>
      <c r="R163" s="202"/>
      <c r="S163" s="202"/>
      <c r="T163" s="202"/>
      <c r="U163" s="202"/>
      <c r="V163" s="193">
        <f t="shared" ref="V163:V164" si="137">I163</f>
        <v>0</v>
      </c>
    </row>
    <row r="164" spans="1:24" ht="13.5" customHeight="1" x14ac:dyDescent="0.25">
      <c r="A164" s="215"/>
      <c r="B164" s="131">
        <v>0</v>
      </c>
      <c r="C164" s="131">
        <v>0</v>
      </c>
      <c r="D164" s="132">
        <f>'Data Ocupacion'!AV37</f>
        <v>0</v>
      </c>
      <c r="E164" s="132">
        <f>'Data Ocupacion'!AW37</f>
        <v>0</v>
      </c>
      <c r="F164" s="131" t="s">
        <v>122</v>
      </c>
      <c r="G164" s="131">
        <f t="shared" si="133"/>
        <v>0</v>
      </c>
      <c r="H164" s="131">
        <f t="shared" si="134"/>
        <v>0</v>
      </c>
      <c r="I164" s="131">
        <f>G164*J$1</f>
        <v>0</v>
      </c>
      <c r="J164" s="161">
        <f>H164*J$1</f>
        <v>0</v>
      </c>
      <c r="K164" s="131">
        <f t="shared" si="135"/>
        <v>0</v>
      </c>
      <c r="L164" s="131">
        <f t="shared" si="136"/>
        <v>0</v>
      </c>
      <c r="M164" s="19"/>
      <c r="N164" s="19"/>
      <c r="O164" s="153"/>
      <c r="P164" s="202"/>
      <c r="Q164" s="202"/>
      <c r="R164" s="202"/>
      <c r="S164" s="202"/>
      <c r="T164" s="202"/>
      <c r="U164" s="202"/>
      <c r="V164" s="193">
        <f t="shared" si="137"/>
        <v>0</v>
      </c>
    </row>
    <row r="165" spans="1:24" ht="15.75" thickBot="1" x14ac:dyDescent="0.3">
      <c r="A165" s="215"/>
      <c r="B165" s="131">
        <v>0</v>
      </c>
      <c r="C165" s="131">
        <v>1</v>
      </c>
      <c r="D165" s="132">
        <f>'Data Ocupacion'!AV38</f>
        <v>0</v>
      </c>
      <c r="E165" s="132">
        <f>'Data Ocupacion'!AW38</f>
        <v>1</v>
      </c>
      <c r="F165" s="131" t="s">
        <v>35</v>
      </c>
      <c r="G165" s="131">
        <f t="shared" si="133"/>
        <v>2</v>
      </c>
      <c r="H165" s="131">
        <f t="shared" si="134"/>
        <v>1</v>
      </c>
      <c r="I165" s="131">
        <f>G165*J$1</f>
        <v>50.8</v>
      </c>
      <c r="J165" s="161">
        <f>H165*J$1</f>
        <v>25.4</v>
      </c>
      <c r="K165" s="131">
        <f t="shared" si="135"/>
        <v>5283.2</v>
      </c>
      <c r="L165" s="131">
        <f t="shared" si="136"/>
        <v>104</v>
      </c>
      <c r="M165" s="19"/>
      <c r="N165" s="19"/>
      <c r="O165" s="153"/>
      <c r="P165" s="202"/>
      <c r="Q165" s="202"/>
      <c r="R165" s="202"/>
      <c r="S165" s="202"/>
      <c r="T165" s="202"/>
      <c r="U165" s="202"/>
      <c r="V165" s="193">
        <f>I165</f>
        <v>50.8</v>
      </c>
    </row>
    <row r="166" spans="1:24" s="130" customFormat="1" ht="15" customHeight="1" thickBot="1" x14ac:dyDescent="0.3">
      <c r="A166" s="20"/>
      <c r="B166" s="237">
        <f>SUM(B160:B165)</f>
        <v>91</v>
      </c>
      <c r="C166" s="237">
        <f>SUM(C160:C165)</f>
        <v>73</v>
      </c>
      <c r="D166" s="156">
        <f>SUM(D160:D165)</f>
        <v>90</v>
      </c>
      <c r="E166" s="156">
        <f>SUM(E160:E165)</f>
        <v>74</v>
      </c>
      <c r="F166" s="124"/>
      <c r="G166" s="124">
        <f t="shared" ref="G166:L166" si="138">SUM(G160:G165)</f>
        <v>238</v>
      </c>
      <c r="H166" s="124">
        <f t="shared" si="138"/>
        <v>164</v>
      </c>
      <c r="I166" s="125">
        <f t="shared" si="138"/>
        <v>10229.48</v>
      </c>
      <c r="J166" s="124">
        <f t="shared" si="138"/>
        <v>7055.59</v>
      </c>
      <c r="K166" s="124">
        <f t="shared" si="138"/>
        <v>1063865.92</v>
      </c>
      <c r="L166" s="124">
        <f t="shared" si="138"/>
        <v>17056</v>
      </c>
      <c r="M166" s="129">
        <f>'Odometro-Kilometraje'!X81</f>
        <v>10696</v>
      </c>
      <c r="N166" s="21">
        <f>(V166/M166)*100</f>
        <v>95.472606581899782</v>
      </c>
      <c r="O166" s="205"/>
      <c r="P166" s="192"/>
      <c r="Q166" s="192"/>
      <c r="R166" s="192"/>
      <c r="S166" s="192"/>
      <c r="T166" s="192"/>
      <c r="U166" s="192"/>
      <c r="V166" s="206">
        <f>SUM(V160:V165)</f>
        <v>10211.75</v>
      </c>
    </row>
    <row r="167" spans="1:24" x14ac:dyDescent="0.25">
      <c r="A167" s="62">
        <f>A160+1</f>
        <v>45315</v>
      </c>
      <c r="B167" s="131">
        <v>45</v>
      </c>
      <c r="C167" s="131">
        <v>37</v>
      </c>
      <c r="D167" s="132">
        <f>'Data Ocupacion'!AX33</f>
        <v>44</v>
      </c>
      <c r="E167" s="132">
        <f>'Data Ocupacion'!AY33</f>
        <v>38</v>
      </c>
      <c r="F167" s="131" t="s">
        <v>38</v>
      </c>
      <c r="G167" s="131">
        <f t="shared" ref="G167:G172" si="139">D167+E167*2</f>
        <v>120</v>
      </c>
      <c r="H167" s="131">
        <f t="shared" ref="H167:H172" si="140">D167+E167</f>
        <v>82</v>
      </c>
      <c r="I167" s="131">
        <f>G167*L$2</f>
        <v>5175.6000000000004</v>
      </c>
      <c r="J167" s="161">
        <f>H167*L$2</f>
        <v>3536.6600000000003</v>
      </c>
      <c r="K167" s="131">
        <f t="shared" ref="K167:K172" si="141">I167*104</f>
        <v>538262.4</v>
      </c>
      <c r="L167" s="131">
        <f t="shared" ref="L167:L172" si="142">H167*104</f>
        <v>8528</v>
      </c>
      <c r="M167" s="19"/>
      <c r="N167" s="19"/>
      <c r="O167" s="153"/>
      <c r="P167" s="194"/>
      <c r="Q167" s="194"/>
      <c r="R167" s="222"/>
      <c r="S167" s="312">
        <v>1</v>
      </c>
      <c r="T167" s="204"/>
      <c r="U167" s="252"/>
      <c r="V167" s="193">
        <f>I167-(P167*($L$2-$J$1)+(Q167*($L$2-$L$1))+  (R167*($L$2-$H$2))+  (S167*($J$1)))</f>
        <v>5150.2000000000007</v>
      </c>
    </row>
    <row r="168" spans="1:24" ht="15" customHeight="1" x14ac:dyDescent="0.25">
      <c r="A168" s="215"/>
      <c r="B168" s="131">
        <v>46</v>
      </c>
      <c r="C168" s="131">
        <v>35</v>
      </c>
      <c r="D168" s="132">
        <f>'Data Ocupacion'!AX34</f>
        <v>45</v>
      </c>
      <c r="E168" s="132">
        <f>'Data Ocupacion'!AY34</f>
        <v>36</v>
      </c>
      <c r="F168" s="131" t="s">
        <v>52</v>
      </c>
      <c r="G168" s="131">
        <f t="shared" si="139"/>
        <v>117</v>
      </c>
      <c r="H168" s="131">
        <f t="shared" si="140"/>
        <v>81</v>
      </c>
      <c r="I168" s="131">
        <f>G168*L$2</f>
        <v>5046.21</v>
      </c>
      <c r="J168" s="161">
        <f>H168*L$2</f>
        <v>3493.53</v>
      </c>
      <c r="K168" s="131">
        <f t="shared" si="141"/>
        <v>524805.84</v>
      </c>
      <c r="L168" s="131">
        <f t="shared" si="142"/>
        <v>8424</v>
      </c>
      <c r="M168" s="19"/>
      <c r="N168" s="19"/>
      <c r="O168" s="153"/>
      <c r="P168" s="199"/>
      <c r="Q168" s="199"/>
      <c r="R168" s="199"/>
      <c r="S168" s="216">
        <v>1</v>
      </c>
      <c r="T168" s="220"/>
      <c r="U168" s="253"/>
      <c r="V168" s="197">
        <f>I168-(S168*($L$2-$J$1)+(T168*($L$2-$L$1)))</f>
        <v>5028.4800000000005</v>
      </c>
      <c r="X168" s="180"/>
    </row>
    <row r="169" spans="1:24" x14ac:dyDescent="0.25">
      <c r="A169" s="215"/>
      <c r="B169" s="131">
        <v>0</v>
      </c>
      <c r="C169" s="131">
        <v>0</v>
      </c>
      <c r="D169" s="132">
        <f>'Data Ocupacion'!AX35</f>
        <v>0</v>
      </c>
      <c r="E169" s="132">
        <f>'Data Ocupacion'!AY35</f>
        <v>0</v>
      </c>
      <c r="F169" s="131" t="s">
        <v>36</v>
      </c>
      <c r="G169" s="131">
        <f t="shared" si="139"/>
        <v>0</v>
      </c>
      <c r="H169" s="131">
        <f t="shared" si="140"/>
        <v>0</v>
      </c>
      <c r="I169" s="131">
        <f>G169*L$1</f>
        <v>0</v>
      </c>
      <c r="J169" s="161">
        <f>H169*L$1</f>
        <v>0</v>
      </c>
      <c r="K169" s="131">
        <f t="shared" si="141"/>
        <v>0</v>
      </c>
      <c r="L169" s="131">
        <f t="shared" si="142"/>
        <v>0</v>
      </c>
      <c r="M169" s="19"/>
      <c r="N169" s="19"/>
      <c r="O169" s="153"/>
      <c r="P169" s="198"/>
      <c r="Q169" s="200"/>
      <c r="R169" s="223"/>
      <c r="S169" s="201"/>
      <c r="T169" s="202"/>
      <c r="U169" s="202"/>
      <c r="V169" s="193">
        <f>I169-(P169*($L$1-$J$1))</f>
        <v>0</v>
      </c>
    </row>
    <row r="170" spans="1:24" ht="15" customHeight="1" x14ac:dyDescent="0.25">
      <c r="A170" s="215"/>
      <c r="B170" s="131">
        <v>0</v>
      </c>
      <c r="C170" s="131">
        <v>0</v>
      </c>
      <c r="D170" s="132">
        <f>'Data Ocupacion'!AX36</f>
        <v>0</v>
      </c>
      <c r="E170" s="132">
        <f>'Data Ocupacion'!AY36</f>
        <v>0</v>
      </c>
      <c r="F170" s="131" t="s">
        <v>53</v>
      </c>
      <c r="G170" s="131">
        <f t="shared" si="139"/>
        <v>0</v>
      </c>
      <c r="H170" s="131">
        <f t="shared" si="140"/>
        <v>0</v>
      </c>
      <c r="I170" s="131">
        <f>G170*L$1</f>
        <v>0</v>
      </c>
      <c r="J170" s="161">
        <f>H170*L$1</f>
        <v>0</v>
      </c>
      <c r="K170" s="131">
        <f t="shared" si="141"/>
        <v>0</v>
      </c>
      <c r="L170" s="131">
        <f t="shared" si="142"/>
        <v>0</v>
      </c>
      <c r="M170" s="19"/>
      <c r="N170" s="19"/>
      <c r="O170" s="153"/>
      <c r="P170" s="202"/>
      <c r="Q170" s="202"/>
      <c r="R170" s="202"/>
      <c r="S170" s="202"/>
      <c r="T170" s="202"/>
      <c r="U170" s="202"/>
      <c r="V170" s="193">
        <f t="shared" ref="V170:V171" si="143">I170</f>
        <v>0</v>
      </c>
    </row>
    <row r="171" spans="1:24" ht="15" customHeight="1" x14ac:dyDescent="0.25">
      <c r="A171" s="215"/>
      <c r="B171" s="131">
        <v>0</v>
      </c>
      <c r="C171" s="131">
        <v>0</v>
      </c>
      <c r="D171" s="132">
        <f>'Data Ocupacion'!AX37</f>
        <v>0</v>
      </c>
      <c r="E171" s="132">
        <f>'Data Ocupacion'!AY37</f>
        <v>0</v>
      </c>
      <c r="F171" s="131" t="s">
        <v>122</v>
      </c>
      <c r="G171" s="131">
        <f t="shared" si="139"/>
        <v>0</v>
      </c>
      <c r="H171" s="131">
        <f t="shared" si="140"/>
        <v>0</v>
      </c>
      <c r="I171" s="131">
        <f>G171*J$1</f>
        <v>0</v>
      </c>
      <c r="J171" s="161">
        <f>H171*J$1</f>
        <v>0</v>
      </c>
      <c r="K171" s="131">
        <f t="shared" si="141"/>
        <v>0</v>
      </c>
      <c r="L171" s="131">
        <f t="shared" si="142"/>
        <v>0</v>
      </c>
      <c r="M171" s="19"/>
      <c r="N171" s="19"/>
      <c r="O171" s="153"/>
      <c r="P171" s="202"/>
      <c r="Q171" s="202"/>
      <c r="R171" s="202"/>
      <c r="S171" s="202"/>
      <c r="T171" s="202"/>
      <c r="U171" s="202"/>
      <c r="V171" s="193">
        <f t="shared" si="143"/>
        <v>0</v>
      </c>
    </row>
    <row r="172" spans="1:24" ht="15.75" thickBot="1" x14ac:dyDescent="0.3">
      <c r="A172" s="215"/>
      <c r="B172" s="131">
        <v>0</v>
      </c>
      <c r="C172" s="131">
        <v>1</v>
      </c>
      <c r="D172" s="132">
        <f>'Data Ocupacion'!AX38</f>
        <v>0</v>
      </c>
      <c r="E172" s="132">
        <f>'Data Ocupacion'!AY38</f>
        <v>1</v>
      </c>
      <c r="F172" s="131" t="s">
        <v>35</v>
      </c>
      <c r="G172" s="131">
        <f t="shared" si="139"/>
        <v>2</v>
      </c>
      <c r="H172" s="131">
        <f t="shared" si="140"/>
        <v>1</v>
      </c>
      <c r="I172" s="131">
        <f>G172*J$1</f>
        <v>50.8</v>
      </c>
      <c r="J172" s="161">
        <f>H172*J$1</f>
        <v>25.4</v>
      </c>
      <c r="K172" s="131">
        <f t="shared" si="141"/>
        <v>5283.2</v>
      </c>
      <c r="L172" s="131">
        <f t="shared" si="142"/>
        <v>104</v>
      </c>
      <c r="M172" s="19"/>
      <c r="N172" s="19"/>
      <c r="O172" s="153"/>
      <c r="P172" s="202"/>
      <c r="Q172" s="202"/>
      <c r="R172" s="202"/>
      <c r="S172" s="202"/>
      <c r="T172" s="202"/>
      <c r="U172" s="202"/>
      <c r="V172" s="193">
        <f>I172</f>
        <v>50.8</v>
      </c>
    </row>
    <row r="173" spans="1:24" s="130" customFormat="1" ht="15.75" thickBot="1" x14ac:dyDescent="0.3">
      <c r="A173" s="20"/>
      <c r="B173" s="237">
        <f>SUM(B167:B172)</f>
        <v>91</v>
      </c>
      <c r="C173" s="237">
        <f>SUM(C167:C172)</f>
        <v>73</v>
      </c>
      <c r="D173" s="156">
        <f>SUM(D167:D172)</f>
        <v>89</v>
      </c>
      <c r="E173" s="156">
        <f>SUM(E167:E172)</f>
        <v>75</v>
      </c>
      <c r="F173" s="124"/>
      <c r="G173" s="124">
        <f t="shared" ref="G173:L173" si="144">SUM(G167:G172)</f>
        <v>239</v>
      </c>
      <c r="H173" s="124">
        <f t="shared" si="144"/>
        <v>164</v>
      </c>
      <c r="I173" s="124">
        <f t="shared" si="144"/>
        <v>10272.61</v>
      </c>
      <c r="J173" s="124">
        <f t="shared" si="144"/>
        <v>7055.59</v>
      </c>
      <c r="K173" s="124">
        <f t="shared" si="144"/>
        <v>1068351.44</v>
      </c>
      <c r="L173" s="124">
        <f t="shared" si="144"/>
        <v>17056</v>
      </c>
      <c r="M173" s="129">
        <f>'Odometro-Kilometraje'!Y81</f>
        <v>10714</v>
      </c>
      <c r="N173" s="21">
        <f>(V173/M173)*100</f>
        <v>95.477692738473024</v>
      </c>
      <c r="O173" s="205"/>
      <c r="P173" s="192"/>
      <c r="Q173" s="192"/>
      <c r="R173" s="192"/>
      <c r="S173" s="192"/>
      <c r="T173" s="192"/>
      <c r="U173" s="192"/>
      <c r="V173" s="206">
        <f>SUM(V167:V172)</f>
        <v>10229.48</v>
      </c>
    </row>
    <row r="174" spans="1:24" x14ac:dyDescent="0.25">
      <c r="A174" s="62">
        <f>A167+1</f>
        <v>45316</v>
      </c>
      <c r="B174" s="131">
        <v>45</v>
      </c>
      <c r="C174" s="131">
        <v>37</v>
      </c>
      <c r="D174" s="132">
        <f>'Data Ocupacion'!AZ33</f>
        <v>45</v>
      </c>
      <c r="E174" s="132">
        <f>'Data Ocupacion'!BA33</f>
        <v>37</v>
      </c>
      <c r="F174" s="131" t="s">
        <v>38</v>
      </c>
      <c r="G174" s="131">
        <f t="shared" ref="G174:G179" si="145">D174+E174*2</f>
        <v>119</v>
      </c>
      <c r="H174" s="131">
        <f t="shared" ref="H174:H179" si="146">D174+E174</f>
        <v>82</v>
      </c>
      <c r="I174" s="131">
        <f>G174*L$2</f>
        <v>5132.47</v>
      </c>
      <c r="J174" s="161">
        <f>H174*L$2</f>
        <v>3536.6600000000003</v>
      </c>
      <c r="K174" s="131">
        <f t="shared" ref="K174:K179" si="147">I174*104</f>
        <v>533776.88</v>
      </c>
      <c r="L174" s="131">
        <f t="shared" ref="L174:L179" si="148">H174*104</f>
        <v>8528</v>
      </c>
      <c r="M174" s="19"/>
      <c r="N174" s="19"/>
      <c r="O174" s="153"/>
      <c r="P174" s="275"/>
      <c r="Q174" s="194"/>
      <c r="R174" s="222"/>
      <c r="S174" s="203"/>
      <c r="T174" s="204"/>
      <c r="U174" s="252"/>
      <c r="V174" s="193">
        <f>I174-(P174*($L$2-$J$1)+(Q174*($L$2-$L$1))+  (R174*($L$2-$H$2)))</f>
        <v>5132.47</v>
      </c>
    </row>
    <row r="175" spans="1:24" ht="18" customHeight="1" x14ac:dyDescent="0.25">
      <c r="A175" s="215"/>
      <c r="B175" s="131">
        <v>46</v>
      </c>
      <c r="C175" s="131">
        <v>35</v>
      </c>
      <c r="D175" s="132">
        <f>'Data Ocupacion'!AZ34</f>
        <v>45</v>
      </c>
      <c r="E175" s="132">
        <f>'Data Ocupacion'!BA34</f>
        <v>36</v>
      </c>
      <c r="F175" s="131" t="s">
        <v>52</v>
      </c>
      <c r="G175" s="131">
        <f t="shared" si="145"/>
        <v>117</v>
      </c>
      <c r="H175" s="131">
        <f t="shared" si="146"/>
        <v>81</v>
      </c>
      <c r="I175" s="131">
        <f>G175*L$2</f>
        <v>5046.21</v>
      </c>
      <c r="J175" s="161">
        <f>H175*L$2</f>
        <v>3493.53</v>
      </c>
      <c r="K175" s="131">
        <f t="shared" si="147"/>
        <v>524805.84</v>
      </c>
      <c r="L175" s="131">
        <f t="shared" si="148"/>
        <v>8424</v>
      </c>
      <c r="M175" s="19"/>
      <c r="N175" s="19"/>
      <c r="O175" s="153"/>
      <c r="P175" s="199"/>
      <c r="Q175" s="199"/>
      <c r="R175" s="199"/>
      <c r="S175" s="198">
        <v>1</v>
      </c>
      <c r="T175" s="196"/>
      <c r="U175" s="253"/>
      <c r="V175" s="197">
        <f>I175-(S175*($L$2-$J$1)+(T175*($L$2-$L$1)))</f>
        <v>5028.4800000000005</v>
      </c>
      <c r="X175" s="180"/>
    </row>
    <row r="176" spans="1:24" x14ac:dyDescent="0.25">
      <c r="A176" s="215"/>
      <c r="B176" s="131">
        <v>0</v>
      </c>
      <c r="C176" s="131">
        <v>0</v>
      </c>
      <c r="D176" s="132">
        <f>'Data Ocupacion'!AZ35</f>
        <v>0</v>
      </c>
      <c r="E176" s="132">
        <f>'Data Ocupacion'!BA35</f>
        <v>0</v>
      </c>
      <c r="F176" s="131" t="s">
        <v>36</v>
      </c>
      <c r="G176" s="131">
        <f t="shared" si="145"/>
        <v>0</v>
      </c>
      <c r="H176" s="131">
        <f t="shared" si="146"/>
        <v>0</v>
      </c>
      <c r="I176" s="131">
        <f>G176*L$1</f>
        <v>0</v>
      </c>
      <c r="J176" s="161">
        <f>H176*L$1</f>
        <v>0</v>
      </c>
      <c r="K176" s="131">
        <f t="shared" si="147"/>
        <v>0</v>
      </c>
      <c r="L176" s="131">
        <f t="shared" si="148"/>
        <v>0</v>
      </c>
      <c r="M176" s="19"/>
      <c r="N176" s="19"/>
      <c r="O176" s="153"/>
      <c r="P176" s="198"/>
      <c r="Q176" s="200"/>
      <c r="R176" s="223"/>
      <c r="S176" s="201"/>
      <c r="T176" s="202"/>
      <c r="U176" s="202"/>
      <c r="V176" s="193">
        <f>I176-(P176*($L$1-$J$1))</f>
        <v>0</v>
      </c>
    </row>
    <row r="177" spans="1:22" ht="15" customHeight="1" x14ac:dyDescent="0.25">
      <c r="A177" s="215"/>
      <c r="B177" s="131">
        <v>0</v>
      </c>
      <c r="C177" s="131">
        <v>0</v>
      </c>
      <c r="D177" s="132">
        <f>'Data Ocupacion'!AZ36</f>
        <v>0</v>
      </c>
      <c r="E177" s="132">
        <f>'Data Ocupacion'!BA36</f>
        <v>0</v>
      </c>
      <c r="F177" s="131" t="s">
        <v>53</v>
      </c>
      <c r="G177" s="131">
        <f t="shared" si="145"/>
        <v>0</v>
      </c>
      <c r="H177" s="131">
        <f t="shared" si="146"/>
        <v>0</v>
      </c>
      <c r="I177" s="131">
        <f>G177*L$1</f>
        <v>0</v>
      </c>
      <c r="J177" s="161">
        <f>H177*L$1</f>
        <v>0</v>
      </c>
      <c r="K177" s="131">
        <f t="shared" si="147"/>
        <v>0</v>
      </c>
      <c r="L177" s="131">
        <f t="shared" si="148"/>
        <v>0</v>
      </c>
      <c r="M177" s="19"/>
      <c r="N177" s="19"/>
      <c r="O177" s="153"/>
      <c r="P177" s="202"/>
      <c r="Q177" s="202"/>
      <c r="R177" s="202"/>
      <c r="S177" s="202"/>
      <c r="T177" s="202"/>
      <c r="U177" s="202"/>
      <c r="V177" s="193">
        <f t="shared" ref="V177:V178" si="149">I177</f>
        <v>0</v>
      </c>
    </row>
    <row r="178" spans="1:22" ht="15.95" customHeight="1" x14ac:dyDescent="0.25">
      <c r="A178" s="215"/>
      <c r="B178" s="131">
        <v>0</v>
      </c>
      <c r="C178" s="131">
        <v>0</v>
      </c>
      <c r="D178" s="132">
        <f>'Data Ocupacion'!AZ37</f>
        <v>0</v>
      </c>
      <c r="E178" s="132">
        <f>'Data Ocupacion'!BA37</f>
        <v>0</v>
      </c>
      <c r="F178" s="131" t="s">
        <v>122</v>
      </c>
      <c r="G178" s="131">
        <f t="shared" si="145"/>
        <v>0</v>
      </c>
      <c r="H178" s="131">
        <f t="shared" si="146"/>
        <v>0</v>
      </c>
      <c r="I178" s="131">
        <f>G178*J$1</f>
        <v>0</v>
      </c>
      <c r="J178" s="161">
        <f>H178*J$1</f>
        <v>0</v>
      </c>
      <c r="K178" s="131">
        <f t="shared" si="147"/>
        <v>0</v>
      </c>
      <c r="L178" s="131">
        <f t="shared" si="148"/>
        <v>0</v>
      </c>
      <c r="M178" s="19"/>
      <c r="N178" s="19"/>
      <c r="O178" s="153"/>
      <c r="P178" s="202"/>
      <c r="Q178" s="202"/>
      <c r="R178" s="202"/>
      <c r="S178" s="202"/>
      <c r="T178" s="202"/>
      <c r="U178" s="202"/>
      <c r="V178" s="193">
        <f t="shared" si="149"/>
        <v>0</v>
      </c>
    </row>
    <row r="179" spans="1:22" ht="15.75" thickBot="1" x14ac:dyDescent="0.3">
      <c r="A179" s="215"/>
      <c r="B179" s="131">
        <v>0</v>
      </c>
      <c r="C179" s="131">
        <v>1</v>
      </c>
      <c r="D179" s="132">
        <f>'Data Ocupacion'!AZ38</f>
        <v>0</v>
      </c>
      <c r="E179" s="132">
        <f>'Data Ocupacion'!BA38</f>
        <v>1</v>
      </c>
      <c r="F179" s="131" t="s">
        <v>35</v>
      </c>
      <c r="G179" s="131">
        <f t="shared" si="145"/>
        <v>2</v>
      </c>
      <c r="H179" s="131">
        <f t="shared" si="146"/>
        <v>1</v>
      </c>
      <c r="I179" s="131">
        <f>G179*J$1</f>
        <v>50.8</v>
      </c>
      <c r="J179" s="161">
        <f>H179*J$1</f>
        <v>25.4</v>
      </c>
      <c r="K179" s="131">
        <f t="shared" si="147"/>
        <v>5283.2</v>
      </c>
      <c r="L179" s="131">
        <f t="shared" si="148"/>
        <v>104</v>
      </c>
      <c r="M179" s="19"/>
      <c r="N179" s="19"/>
      <c r="O179" s="153"/>
      <c r="P179" s="202"/>
      <c r="Q179" s="202"/>
      <c r="R179" s="202"/>
      <c r="S179" s="202"/>
      <c r="T179" s="202"/>
      <c r="U179" s="202"/>
      <c r="V179" s="193">
        <f>I179</f>
        <v>50.8</v>
      </c>
    </row>
    <row r="180" spans="1:22" s="130" customFormat="1" ht="15.75" thickBot="1" x14ac:dyDescent="0.3">
      <c r="A180" s="214"/>
      <c r="B180" s="237">
        <f>SUM(B174:B179)</f>
        <v>91</v>
      </c>
      <c r="C180" s="237">
        <f>SUM(C174:C179)</f>
        <v>73</v>
      </c>
      <c r="D180" s="160">
        <f>SUM(D174:D179)</f>
        <v>90</v>
      </c>
      <c r="E180" s="160">
        <f>SUM(E174:E179)</f>
        <v>74</v>
      </c>
      <c r="F180" s="124"/>
      <c r="G180" s="124">
        <f t="shared" ref="G180:L180" si="150">SUM(G174:G179)</f>
        <v>238</v>
      </c>
      <c r="H180" s="124">
        <f t="shared" si="150"/>
        <v>164</v>
      </c>
      <c r="I180" s="125">
        <f t="shared" si="150"/>
        <v>10229.48</v>
      </c>
      <c r="J180" s="124">
        <f t="shared" si="150"/>
        <v>7055.59</v>
      </c>
      <c r="K180" s="123">
        <f t="shared" si="150"/>
        <v>1063865.92</v>
      </c>
      <c r="L180" s="159">
        <f t="shared" si="150"/>
        <v>17056</v>
      </c>
      <c r="M180" s="129">
        <f>'Odometro-Kilometraje'!Z81</f>
        <v>10801</v>
      </c>
      <c r="N180" s="21">
        <f>(V180/M180)*100</f>
        <v>94.54448662160911</v>
      </c>
      <c r="O180" s="205"/>
      <c r="P180" s="192"/>
      <c r="Q180" s="192"/>
      <c r="R180" s="192"/>
      <c r="S180" s="192"/>
      <c r="T180" s="192"/>
      <c r="U180" s="192"/>
      <c r="V180" s="206">
        <f>SUM(V174:V179)</f>
        <v>10211.75</v>
      </c>
    </row>
    <row r="181" spans="1:22" x14ac:dyDescent="0.25">
      <c r="A181" s="62">
        <f>A174+1</f>
        <v>45317</v>
      </c>
      <c r="B181" s="131">
        <v>45</v>
      </c>
      <c r="C181" s="131">
        <v>37</v>
      </c>
      <c r="D181" s="132">
        <f>'Data Ocupacion'!BB33</f>
        <v>5</v>
      </c>
      <c r="E181" s="132">
        <f>'Data Ocupacion'!BC33</f>
        <v>39</v>
      </c>
      <c r="F181" s="131" t="s">
        <v>38</v>
      </c>
      <c r="G181" s="131">
        <f t="shared" ref="G181:G186" si="151">D181+E181*2</f>
        <v>83</v>
      </c>
      <c r="H181" s="131">
        <f t="shared" ref="H181:H186" si="152">D181+E181</f>
        <v>44</v>
      </c>
      <c r="I181" s="131">
        <f>G181*L$2</f>
        <v>3579.7900000000004</v>
      </c>
      <c r="J181" s="161">
        <f>H181*L$2</f>
        <v>1897.72</v>
      </c>
      <c r="K181" s="131">
        <f t="shared" ref="K181:K186" si="153">I181*104</f>
        <v>372298.16000000003</v>
      </c>
      <c r="L181" s="131">
        <f t="shared" ref="L181:L186" si="154">H181*104</f>
        <v>4576</v>
      </c>
      <c r="M181" s="19"/>
      <c r="N181" s="19"/>
      <c r="O181" s="153"/>
      <c r="P181" s="275"/>
      <c r="Q181" s="194"/>
      <c r="R181" s="222"/>
      <c r="S181" s="203"/>
      <c r="T181" s="204"/>
      <c r="U181" s="252"/>
      <c r="V181" s="193">
        <f>I181-(P181*($L$2-$J$1)+(Q181*($L$2-$L$1))+  (R181*($L$2-$H$2)))-105.7</f>
        <v>3474.0900000000006</v>
      </c>
    </row>
    <row r="182" spans="1:22" ht="15" customHeight="1" x14ac:dyDescent="0.25">
      <c r="A182" s="333" t="s">
        <v>177</v>
      </c>
      <c r="B182" s="131">
        <v>46</v>
      </c>
      <c r="C182" s="131">
        <v>35</v>
      </c>
      <c r="D182" s="132">
        <f>'Data Ocupacion'!BB34</f>
        <v>2</v>
      </c>
      <c r="E182" s="132">
        <f>'Data Ocupacion'!BC34</f>
        <v>39</v>
      </c>
      <c r="F182" s="131" t="s">
        <v>52</v>
      </c>
      <c r="G182" s="131">
        <f t="shared" si="151"/>
        <v>80</v>
      </c>
      <c r="H182" s="131">
        <f t="shared" si="152"/>
        <v>41</v>
      </c>
      <c r="I182" s="131">
        <f>G182*L$2</f>
        <v>3450.4</v>
      </c>
      <c r="J182" s="161">
        <f>H182*L$2</f>
        <v>1768.3300000000002</v>
      </c>
      <c r="K182" s="131">
        <f t="shared" si="153"/>
        <v>358841.60000000003</v>
      </c>
      <c r="L182" s="131">
        <f t="shared" si="154"/>
        <v>4264</v>
      </c>
      <c r="M182" s="19"/>
      <c r="N182" s="19"/>
      <c r="O182" s="153"/>
      <c r="P182" s="199"/>
      <c r="Q182" s="199"/>
      <c r="R182" s="199"/>
      <c r="S182" s="275">
        <v>1</v>
      </c>
      <c r="T182" s="194"/>
      <c r="U182" s="222"/>
      <c r="V182" s="197">
        <f>I182-(S182*($L$2-$J$1)+(T182*($L$2-$L$1)))-137.7</f>
        <v>3294.9700000000003</v>
      </c>
    </row>
    <row r="183" spans="1:22" x14ac:dyDescent="0.25">
      <c r="A183" s="333"/>
      <c r="B183" s="131">
        <v>0</v>
      </c>
      <c r="C183" s="131">
        <v>0</v>
      </c>
      <c r="D183" s="132">
        <f>'Data Ocupacion'!BB35</f>
        <v>0</v>
      </c>
      <c r="E183" s="132">
        <f>'Data Ocupacion'!BC35</f>
        <v>0</v>
      </c>
      <c r="F183" s="131" t="s">
        <v>36</v>
      </c>
      <c r="G183" s="131">
        <f t="shared" si="151"/>
        <v>0</v>
      </c>
      <c r="H183" s="131">
        <f t="shared" si="152"/>
        <v>0</v>
      </c>
      <c r="I183" s="131">
        <f>G183*L$1</f>
        <v>0</v>
      </c>
      <c r="J183" s="161">
        <f>H183*L$1</f>
        <v>0</v>
      </c>
      <c r="K183" s="131">
        <f t="shared" si="153"/>
        <v>0</v>
      </c>
      <c r="L183" s="131">
        <f t="shared" si="154"/>
        <v>0</v>
      </c>
      <c r="M183" s="19"/>
      <c r="N183" s="19" t="s">
        <v>147</v>
      </c>
      <c r="O183" s="153"/>
      <c r="P183" s="198"/>
      <c r="Q183" s="200"/>
      <c r="R183" s="223"/>
      <c r="S183" s="201"/>
      <c r="T183" s="202"/>
      <c r="U183" s="202"/>
      <c r="V183" s="193">
        <f>I183-(P183*($L$1-$J$1))</f>
        <v>0</v>
      </c>
    </row>
    <row r="184" spans="1:22" ht="15" customHeight="1" x14ac:dyDescent="0.25">
      <c r="A184" s="333"/>
      <c r="B184" s="131">
        <v>0</v>
      </c>
      <c r="C184" s="131">
        <v>0</v>
      </c>
      <c r="D184" s="132">
        <f>'Data Ocupacion'!BB36</f>
        <v>0</v>
      </c>
      <c r="E184" s="132">
        <f>'Data Ocupacion'!BC36</f>
        <v>0</v>
      </c>
      <c r="F184" s="131" t="s">
        <v>53</v>
      </c>
      <c r="G184" s="131">
        <f t="shared" si="151"/>
        <v>0</v>
      </c>
      <c r="H184" s="131">
        <f t="shared" si="152"/>
        <v>0</v>
      </c>
      <c r="I184" s="131">
        <f>G184*L$1</f>
        <v>0</v>
      </c>
      <c r="J184" s="161">
        <f>H184*L$1</f>
        <v>0</v>
      </c>
      <c r="K184" s="131">
        <f t="shared" si="153"/>
        <v>0</v>
      </c>
      <c r="L184" s="131">
        <f t="shared" si="154"/>
        <v>0</v>
      </c>
      <c r="M184" s="19"/>
      <c r="N184" s="19"/>
      <c r="O184" s="153"/>
      <c r="P184" s="202"/>
      <c r="Q184" s="202"/>
      <c r="R184" s="202"/>
      <c r="S184" s="202"/>
      <c r="T184" s="202"/>
      <c r="U184" s="202"/>
      <c r="V184" s="193">
        <f t="shared" ref="V184:V185" si="155">I184</f>
        <v>0</v>
      </c>
    </row>
    <row r="185" spans="1:22" ht="15" customHeight="1" x14ac:dyDescent="0.25">
      <c r="A185" s="333"/>
      <c r="B185" s="131">
        <v>0</v>
      </c>
      <c r="C185" s="131">
        <v>0</v>
      </c>
      <c r="D185" s="132">
        <f>'Data Ocupacion'!BB37</f>
        <v>0</v>
      </c>
      <c r="E185" s="132">
        <f>'Data Ocupacion'!BC37</f>
        <v>0</v>
      </c>
      <c r="F185" s="131" t="s">
        <v>122</v>
      </c>
      <c r="G185" s="131">
        <f t="shared" si="151"/>
        <v>0</v>
      </c>
      <c r="H185" s="131">
        <f t="shared" si="152"/>
        <v>0</v>
      </c>
      <c r="I185" s="131">
        <f>G185*J$1</f>
        <v>0</v>
      </c>
      <c r="J185" s="161">
        <f>H185*J$1</f>
        <v>0</v>
      </c>
      <c r="K185" s="131">
        <f t="shared" si="153"/>
        <v>0</v>
      </c>
      <c r="L185" s="131">
        <f t="shared" si="154"/>
        <v>0</v>
      </c>
      <c r="M185" s="19"/>
      <c r="N185" s="19"/>
      <c r="O185" s="153"/>
      <c r="P185" s="202"/>
      <c r="Q185" s="202"/>
      <c r="R185" s="202"/>
      <c r="S185" s="202"/>
      <c r="T185" s="202"/>
      <c r="U185" s="202"/>
      <c r="V185" s="193">
        <f t="shared" si="155"/>
        <v>0</v>
      </c>
    </row>
    <row r="186" spans="1:22" ht="15" customHeight="1" thickBot="1" x14ac:dyDescent="0.3">
      <c r="A186" s="333"/>
      <c r="B186" s="131">
        <v>0</v>
      </c>
      <c r="C186" s="131">
        <v>1</v>
      </c>
      <c r="D186" s="132">
        <f>'Data Ocupacion'!BB38</f>
        <v>0</v>
      </c>
      <c r="E186" s="132">
        <f>'Data Ocupacion'!BC38</f>
        <v>1</v>
      </c>
      <c r="F186" s="131" t="s">
        <v>35</v>
      </c>
      <c r="G186" s="131">
        <f t="shared" si="151"/>
        <v>2</v>
      </c>
      <c r="H186" s="131">
        <f t="shared" si="152"/>
        <v>1</v>
      </c>
      <c r="I186" s="131">
        <f>G186*J$1</f>
        <v>50.8</v>
      </c>
      <c r="J186" s="161">
        <f>H186*J$1</f>
        <v>25.4</v>
      </c>
      <c r="K186" s="131">
        <f t="shared" si="153"/>
        <v>5283.2</v>
      </c>
      <c r="L186" s="131">
        <f t="shared" si="154"/>
        <v>104</v>
      </c>
      <c r="M186" s="19"/>
      <c r="N186" s="19"/>
      <c r="O186" s="153"/>
      <c r="P186" s="202"/>
      <c r="Q186" s="202"/>
      <c r="R186" s="202"/>
      <c r="S186" s="202"/>
      <c r="T186" s="202"/>
      <c r="U186" s="202"/>
      <c r="V186" s="193">
        <f>I186</f>
        <v>50.8</v>
      </c>
    </row>
    <row r="187" spans="1:22" s="130" customFormat="1" ht="15.75" thickBot="1" x14ac:dyDescent="0.3">
      <c r="A187" s="20"/>
      <c r="B187" s="237">
        <f>SUM(B181:B186)</f>
        <v>91</v>
      </c>
      <c r="C187" s="237">
        <f>SUM(C181:C186)</f>
        <v>73</v>
      </c>
      <c r="D187" s="160">
        <f>SUM(D181:D186)</f>
        <v>7</v>
      </c>
      <c r="E187" s="160">
        <f>SUM(E181:E186)</f>
        <v>79</v>
      </c>
      <c r="F187" s="124"/>
      <c r="G187" s="124">
        <f t="shared" ref="G187:L187" si="156">SUM(G181:G186)</f>
        <v>165</v>
      </c>
      <c r="H187" s="124">
        <f t="shared" si="156"/>
        <v>86</v>
      </c>
      <c r="I187" s="125">
        <f t="shared" si="156"/>
        <v>7080.9900000000007</v>
      </c>
      <c r="J187" s="124">
        <f t="shared" si="156"/>
        <v>3691.4500000000003</v>
      </c>
      <c r="K187" s="123">
        <f t="shared" si="156"/>
        <v>736422.96</v>
      </c>
      <c r="L187" s="159">
        <f t="shared" si="156"/>
        <v>8944</v>
      </c>
      <c r="M187" s="129">
        <f>'Odometro-Kilometraje'!AA81</f>
        <v>7448</v>
      </c>
      <c r="N187" s="21">
        <f>(V187/M187)*100</f>
        <v>91.566326530612258</v>
      </c>
      <c r="O187" s="205"/>
      <c r="P187" s="192"/>
      <c r="Q187" s="192"/>
      <c r="R187" s="192"/>
      <c r="S187" s="192"/>
      <c r="T187" s="192"/>
      <c r="U187" s="192"/>
      <c r="V187" s="206">
        <f>SUM(V181:V186)</f>
        <v>6819.8600000000015</v>
      </c>
    </row>
    <row r="188" spans="1:22" x14ac:dyDescent="0.25">
      <c r="A188" s="62">
        <f>A181+1</f>
        <v>45318</v>
      </c>
      <c r="B188" s="119">
        <v>0</v>
      </c>
      <c r="C188" s="119">
        <v>34</v>
      </c>
      <c r="D188" s="155">
        <f>'Data Ocupacion'!BD33</f>
        <v>0</v>
      </c>
      <c r="E188" s="155">
        <f>'Data Ocupacion'!BE33</f>
        <v>32</v>
      </c>
      <c r="F188" s="119" t="s">
        <v>38</v>
      </c>
      <c r="G188" s="119">
        <f t="shared" ref="G188:G193" si="157">D188+E188*2</f>
        <v>64</v>
      </c>
      <c r="H188" s="119">
        <f t="shared" ref="H188:H193" si="158">D188+E188</f>
        <v>32</v>
      </c>
      <c r="I188" s="119">
        <f>G188*L$2</f>
        <v>2760.32</v>
      </c>
      <c r="J188" s="161">
        <f>H188*L$2</f>
        <v>1380.16</v>
      </c>
      <c r="K188" s="119">
        <f t="shared" ref="K188:K193" si="159">I188*104</f>
        <v>287073.28000000003</v>
      </c>
      <c r="L188" s="119">
        <f t="shared" ref="L188:L193" si="160">H188*104</f>
        <v>3328</v>
      </c>
      <c r="M188" s="19"/>
      <c r="N188" s="19"/>
      <c r="O188" s="153"/>
      <c r="P188" s="198"/>
      <c r="Q188" s="194"/>
      <c r="R188" s="222"/>
      <c r="S188" s="203"/>
      <c r="T188" s="204"/>
      <c r="U188" s="252"/>
      <c r="V188" s="193">
        <f>I188-(P188*($L$2-$J$1)+(Q188*($L$2-$L$1))+  (R188*($L$2-$H$2)))</f>
        <v>2760.32</v>
      </c>
    </row>
    <row r="189" spans="1:22" ht="18" customHeight="1" x14ac:dyDescent="0.25">
      <c r="A189" s="326" t="s">
        <v>175</v>
      </c>
      <c r="B189" s="119">
        <v>4</v>
      </c>
      <c r="C189" s="119">
        <v>32</v>
      </c>
      <c r="D189" s="155">
        <f>'Data Ocupacion'!BD34</f>
        <v>2</v>
      </c>
      <c r="E189" s="155">
        <f>'Data Ocupacion'!BE34</f>
        <v>31</v>
      </c>
      <c r="F189" s="119" t="s">
        <v>52</v>
      </c>
      <c r="G189" s="119">
        <f t="shared" si="157"/>
        <v>64</v>
      </c>
      <c r="H189" s="119">
        <f t="shared" si="158"/>
        <v>33</v>
      </c>
      <c r="I189" s="119">
        <f>G189*L$2</f>
        <v>2760.32</v>
      </c>
      <c r="J189" s="161">
        <f>H189*L$2</f>
        <v>1423.2900000000002</v>
      </c>
      <c r="K189" s="119">
        <f t="shared" si="159"/>
        <v>287073.28000000003</v>
      </c>
      <c r="L189" s="119">
        <f t="shared" si="160"/>
        <v>3432</v>
      </c>
      <c r="M189" s="19"/>
      <c r="N189" s="19"/>
      <c r="O189" s="153"/>
      <c r="P189" s="199"/>
      <c r="Q189" s="199"/>
      <c r="R189" s="199"/>
      <c r="S189" s="198"/>
      <c r="T189" s="220"/>
      <c r="U189" s="253"/>
      <c r="V189" s="197">
        <f>I189-(S189*($L$2-$J$1)+(T189*($L$2-$L$1)))</f>
        <v>2760.32</v>
      </c>
    </row>
    <row r="190" spans="1:22" x14ac:dyDescent="0.25">
      <c r="A190" s="326"/>
      <c r="B190" s="119">
        <v>0</v>
      </c>
      <c r="C190" s="119">
        <v>0</v>
      </c>
      <c r="D190" s="155">
        <f>'Data Ocupacion'!BD35</f>
        <v>0</v>
      </c>
      <c r="E190" s="155">
        <f>'Data Ocupacion'!BE35</f>
        <v>0</v>
      </c>
      <c r="F190" s="119" t="s">
        <v>36</v>
      </c>
      <c r="G190" s="119">
        <f t="shared" si="157"/>
        <v>0</v>
      </c>
      <c r="H190" s="119">
        <f t="shared" si="158"/>
        <v>0</v>
      </c>
      <c r="I190" s="119">
        <f>G190*L$1</f>
        <v>0</v>
      </c>
      <c r="J190" s="161">
        <f>H190*L$1</f>
        <v>0</v>
      </c>
      <c r="K190" s="119">
        <f t="shared" si="159"/>
        <v>0</v>
      </c>
      <c r="L190" s="119">
        <f t="shared" si="160"/>
        <v>0</v>
      </c>
      <c r="M190" s="19"/>
      <c r="N190" s="19"/>
      <c r="O190" s="153"/>
      <c r="P190" s="198"/>
      <c r="Q190" s="200"/>
      <c r="R190" s="223"/>
      <c r="S190" s="201"/>
      <c r="T190" s="202"/>
      <c r="U190" s="202"/>
      <c r="V190" s="193">
        <f>I190-(P190*($L$1-$J$1))</f>
        <v>0</v>
      </c>
    </row>
    <row r="191" spans="1:22" ht="15" customHeight="1" x14ac:dyDescent="0.25">
      <c r="A191" s="326"/>
      <c r="B191" s="119">
        <v>0</v>
      </c>
      <c r="C191" s="119">
        <v>0</v>
      </c>
      <c r="D191" s="155">
        <f>'Data Ocupacion'!BD36</f>
        <v>0</v>
      </c>
      <c r="E191" s="155">
        <f>'Data Ocupacion'!BE36</f>
        <v>0</v>
      </c>
      <c r="F191" s="119" t="s">
        <v>53</v>
      </c>
      <c r="G191" s="119">
        <f t="shared" si="157"/>
        <v>0</v>
      </c>
      <c r="H191" s="119">
        <f t="shared" si="158"/>
        <v>0</v>
      </c>
      <c r="I191" s="119">
        <f>G191*L$1</f>
        <v>0</v>
      </c>
      <c r="J191" s="161">
        <f>H191*L$1</f>
        <v>0</v>
      </c>
      <c r="K191" s="119">
        <f t="shared" si="159"/>
        <v>0</v>
      </c>
      <c r="L191" s="119">
        <f t="shared" si="160"/>
        <v>0</v>
      </c>
      <c r="M191" s="19"/>
      <c r="N191" s="19"/>
      <c r="O191" s="153"/>
      <c r="P191" s="202"/>
      <c r="Q191" s="202"/>
      <c r="R191" s="202"/>
      <c r="S191" s="202"/>
      <c r="T191" s="202"/>
      <c r="U191" s="202"/>
      <c r="V191" s="193">
        <f t="shared" ref="V191:V192" si="161">I191</f>
        <v>0</v>
      </c>
    </row>
    <row r="192" spans="1:22" x14ac:dyDescent="0.25">
      <c r="A192" s="326"/>
      <c r="B192" s="119">
        <v>0</v>
      </c>
      <c r="C192" s="119">
        <v>0</v>
      </c>
      <c r="D192" s="155">
        <f>'Data Ocupacion'!BD37</f>
        <v>0</v>
      </c>
      <c r="E192" s="155">
        <f>'Data Ocupacion'!BE37</f>
        <v>0</v>
      </c>
      <c r="F192" s="119" t="s">
        <v>122</v>
      </c>
      <c r="G192" s="119">
        <f t="shared" si="157"/>
        <v>0</v>
      </c>
      <c r="H192" s="119">
        <f t="shared" si="158"/>
        <v>0</v>
      </c>
      <c r="I192" s="119">
        <f>G192*J$1</f>
        <v>0</v>
      </c>
      <c r="J192" s="161">
        <f>H192*J$1</f>
        <v>0</v>
      </c>
      <c r="K192" s="119">
        <f t="shared" si="159"/>
        <v>0</v>
      </c>
      <c r="L192" s="119">
        <f t="shared" si="160"/>
        <v>0</v>
      </c>
      <c r="M192" s="19"/>
      <c r="N192" s="19"/>
      <c r="O192" s="153"/>
      <c r="P192" s="202"/>
      <c r="Q192" s="202"/>
      <c r="R192" s="202"/>
      <c r="S192" s="202"/>
      <c r="T192" s="202"/>
      <c r="U192" s="202"/>
      <c r="V192" s="193">
        <f t="shared" si="161"/>
        <v>0</v>
      </c>
    </row>
    <row r="193" spans="1:24" ht="15.75" thickBot="1" x14ac:dyDescent="0.3">
      <c r="A193" s="326"/>
      <c r="B193" s="119">
        <v>0</v>
      </c>
      <c r="C193" s="119">
        <v>0</v>
      </c>
      <c r="D193" s="155">
        <f>'Data Ocupacion'!BD38</f>
        <v>0</v>
      </c>
      <c r="E193" s="155">
        <f>'Data Ocupacion'!BE38</f>
        <v>0</v>
      </c>
      <c r="F193" s="119" t="s">
        <v>35</v>
      </c>
      <c r="G193" s="119">
        <f t="shared" si="157"/>
        <v>0</v>
      </c>
      <c r="H193" s="119">
        <f t="shared" si="158"/>
        <v>0</v>
      </c>
      <c r="I193" s="119">
        <f>G193*J$1</f>
        <v>0</v>
      </c>
      <c r="J193" s="161">
        <f>H193*J$1</f>
        <v>0</v>
      </c>
      <c r="K193" s="119">
        <f t="shared" si="159"/>
        <v>0</v>
      </c>
      <c r="L193" s="119">
        <f t="shared" si="160"/>
        <v>0</v>
      </c>
      <c r="M193" s="19"/>
      <c r="N193" s="19"/>
      <c r="O193" s="153"/>
      <c r="P193" s="202"/>
      <c r="Q193" s="202"/>
      <c r="R193" s="202"/>
      <c r="S193" s="202"/>
      <c r="T193" s="202"/>
      <c r="U193" s="202"/>
      <c r="V193" s="193">
        <f>I193</f>
        <v>0</v>
      </c>
    </row>
    <row r="194" spans="1:24" s="130" customFormat="1" ht="15.75" thickBot="1" x14ac:dyDescent="0.3">
      <c r="A194" s="20"/>
      <c r="B194" s="237">
        <f>SUM(B188:B193)</f>
        <v>4</v>
      </c>
      <c r="C194" s="237">
        <f>SUM(C188:C193)</f>
        <v>66</v>
      </c>
      <c r="D194" s="156">
        <f>SUM(D188:D193)</f>
        <v>2</v>
      </c>
      <c r="E194" s="156">
        <f>SUM(E188:E193)</f>
        <v>63</v>
      </c>
      <c r="F194" s="124"/>
      <c r="G194" s="124">
        <f t="shared" ref="G194:L194" si="162">SUM(G188:G193)</f>
        <v>128</v>
      </c>
      <c r="H194" s="124">
        <f t="shared" si="162"/>
        <v>65</v>
      </c>
      <c r="I194" s="124">
        <f t="shared" si="162"/>
        <v>5520.64</v>
      </c>
      <c r="J194" s="124">
        <f t="shared" si="162"/>
        <v>2803.4500000000003</v>
      </c>
      <c r="K194" s="124">
        <f t="shared" si="162"/>
        <v>574146.56000000006</v>
      </c>
      <c r="L194" s="124">
        <f t="shared" si="162"/>
        <v>6760</v>
      </c>
      <c r="M194" s="129">
        <f>'Odometro-Kilometraje'!AB81</f>
        <v>5603</v>
      </c>
      <c r="N194" s="21">
        <f>(V194/M194)*100</f>
        <v>98.53007317508478</v>
      </c>
      <c r="O194" s="205"/>
      <c r="P194" s="192"/>
      <c r="Q194" s="192"/>
      <c r="R194" s="192"/>
      <c r="S194" s="192"/>
      <c r="T194" s="192"/>
      <c r="U194" s="192"/>
      <c r="V194" s="206">
        <f>SUM(V188:V193)</f>
        <v>5520.64</v>
      </c>
    </row>
    <row r="195" spans="1:24" x14ac:dyDescent="0.25">
      <c r="A195" s="62">
        <f>A188+1</f>
        <v>45319</v>
      </c>
      <c r="B195" s="238">
        <v>0</v>
      </c>
      <c r="C195" s="238">
        <v>28</v>
      </c>
      <c r="D195" s="144">
        <f>'Data Ocupacion'!BF33</f>
        <v>0</v>
      </c>
      <c r="E195" s="144">
        <f>'Data Ocupacion'!BG33</f>
        <v>28</v>
      </c>
      <c r="F195" s="302" t="s">
        <v>38</v>
      </c>
      <c r="G195" s="303">
        <f t="shared" ref="G195:G200" si="163">D195+E195*2</f>
        <v>56</v>
      </c>
      <c r="H195" s="304">
        <f t="shared" ref="H195:H200" si="164">D195+E195</f>
        <v>28</v>
      </c>
      <c r="I195" s="304">
        <f>G195*L$2</f>
        <v>2415.2800000000002</v>
      </c>
      <c r="J195" s="161">
        <f>H195*L$2</f>
        <v>1207.6400000000001</v>
      </c>
      <c r="K195" s="238">
        <f t="shared" ref="K195:K200" si="165">I195*104</f>
        <v>251189.12000000002</v>
      </c>
      <c r="L195" s="238">
        <f t="shared" ref="L195:L200" si="166">H195*104</f>
        <v>2912</v>
      </c>
      <c r="M195" s="19"/>
      <c r="N195" s="19"/>
      <c r="O195" s="153"/>
      <c r="P195" s="198"/>
      <c r="Q195" s="194"/>
      <c r="R195" s="222"/>
      <c r="S195" s="203"/>
      <c r="T195" s="204"/>
      <c r="U195" s="252"/>
      <c r="V195" s="193">
        <f>I195-(P195*($L$2-$J$1)+(Q195*($L$2-$L$1))+  (R195*($L$2-$H$2)))</f>
        <v>2415.2800000000002</v>
      </c>
    </row>
    <row r="196" spans="1:24" ht="15" customHeight="1" x14ac:dyDescent="0.25">
      <c r="A196" s="326" t="s">
        <v>176</v>
      </c>
      <c r="B196" s="238">
        <v>2</v>
      </c>
      <c r="C196" s="238">
        <v>27</v>
      </c>
      <c r="D196" s="132">
        <f>'Data Ocupacion'!BF34</f>
        <v>0</v>
      </c>
      <c r="E196" s="132">
        <f>'Data Ocupacion'!BG34</f>
        <v>29</v>
      </c>
      <c r="F196" s="302" t="s">
        <v>52</v>
      </c>
      <c r="G196" s="303">
        <f t="shared" si="163"/>
        <v>58</v>
      </c>
      <c r="H196" s="238">
        <f t="shared" si="164"/>
        <v>29</v>
      </c>
      <c r="I196" s="238">
        <f>G196*L$2</f>
        <v>2501.54</v>
      </c>
      <c r="J196" s="161">
        <f>H196*L$2</f>
        <v>1250.77</v>
      </c>
      <c r="K196" s="238">
        <f t="shared" si="165"/>
        <v>260160.16</v>
      </c>
      <c r="L196" s="238">
        <f t="shared" si="166"/>
        <v>3016</v>
      </c>
      <c r="M196" s="19"/>
      <c r="N196" s="19"/>
      <c r="O196" s="153"/>
      <c r="P196" s="199"/>
      <c r="Q196" s="199"/>
      <c r="R196" s="199"/>
      <c r="S196" s="275"/>
      <c r="T196" s="194"/>
      <c r="U196" s="222"/>
      <c r="V196" s="197">
        <f>I196-(S196*($L$2-$J$1)+(T196*($L$2-$L$1)))</f>
        <v>2501.54</v>
      </c>
    </row>
    <row r="197" spans="1:24" x14ac:dyDescent="0.25">
      <c r="A197" s="326"/>
      <c r="B197" s="238">
        <v>0</v>
      </c>
      <c r="C197" s="238">
        <v>0</v>
      </c>
      <c r="D197" s="144">
        <f>'Data Ocupacion'!BF35</f>
        <v>0</v>
      </c>
      <c r="E197" s="144">
        <f>'Data Ocupacion'!BG35</f>
        <v>0</v>
      </c>
      <c r="F197" s="302" t="s">
        <v>36</v>
      </c>
      <c r="G197" s="303">
        <f t="shared" si="163"/>
        <v>0</v>
      </c>
      <c r="H197" s="238">
        <f t="shared" si="164"/>
        <v>0</v>
      </c>
      <c r="I197" s="238">
        <f>G197*L$1</f>
        <v>0</v>
      </c>
      <c r="J197" s="161">
        <f>H197*L$1</f>
        <v>0</v>
      </c>
      <c r="K197" s="238">
        <f t="shared" si="165"/>
        <v>0</v>
      </c>
      <c r="L197" s="238">
        <f t="shared" si="166"/>
        <v>0</v>
      </c>
      <c r="M197" s="19"/>
      <c r="N197" s="19" t="s">
        <v>147</v>
      </c>
      <c r="O197" s="153"/>
      <c r="P197" s="198"/>
      <c r="Q197" s="200"/>
      <c r="R197" s="223"/>
      <c r="S197" s="201"/>
      <c r="T197" s="202"/>
      <c r="U197" s="202"/>
      <c r="V197" s="193">
        <f>I197-(P197*($L$1-$J$1))</f>
        <v>0</v>
      </c>
    </row>
    <row r="198" spans="1:24" ht="15" customHeight="1" x14ac:dyDescent="0.25">
      <c r="A198" s="326"/>
      <c r="B198" s="238">
        <v>0</v>
      </c>
      <c r="C198" s="238">
        <v>0</v>
      </c>
      <c r="D198" s="144">
        <f>'Data Ocupacion'!BF36</f>
        <v>0</v>
      </c>
      <c r="E198" s="144">
        <f>'Data Ocupacion'!BG36</f>
        <v>0</v>
      </c>
      <c r="F198" s="302" t="s">
        <v>53</v>
      </c>
      <c r="G198" s="303">
        <f t="shared" si="163"/>
        <v>0</v>
      </c>
      <c r="H198" s="238">
        <f t="shared" si="164"/>
        <v>0</v>
      </c>
      <c r="I198" s="238">
        <f>G198*L$1</f>
        <v>0</v>
      </c>
      <c r="J198" s="161">
        <f>H198*L$1</f>
        <v>0</v>
      </c>
      <c r="K198" s="238">
        <f t="shared" si="165"/>
        <v>0</v>
      </c>
      <c r="L198" s="238">
        <f t="shared" si="166"/>
        <v>0</v>
      </c>
      <c r="M198" s="19"/>
      <c r="N198" s="19" t="s">
        <v>147</v>
      </c>
      <c r="O198" s="153"/>
      <c r="P198" s="202"/>
      <c r="Q198" s="202"/>
      <c r="R198" s="202"/>
      <c r="S198" s="202"/>
      <c r="T198" s="202"/>
      <c r="U198" s="202"/>
      <c r="V198" s="193">
        <f t="shared" ref="V198:V199" si="167">I198</f>
        <v>0</v>
      </c>
    </row>
    <row r="199" spans="1:24" ht="15" customHeight="1" x14ac:dyDescent="0.25">
      <c r="A199" s="326"/>
      <c r="B199" s="238">
        <v>0</v>
      </c>
      <c r="C199" s="238">
        <v>0</v>
      </c>
      <c r="D199" s="144">
        <f>'Data Ocupacion'!BF37</f>
        <v>0</v>
      </c>
      <c r="E199" s="144">
        <f>'Data Ocupacion'!BG37</f>
        <v>0</v>
      </c>
      <c r="F199" s="302" t="s">
        <v>122</v>
      </c>
      <c r="G199" s="303">
        <f t="shared" si="163"/>
        <v>0</v>
      </c>
      <c r="H199" s="238">
        <f t="shared" si="164"/>
        <v>0</v>
      </c>
      <c r="I199" s="305">
        <f>G199*J$1</f>
        <v>0</v>
      </c>
      <c r="J199" s="161">
        <f>H199*J$1</f>
        <v>0</v>
      </c>
      <c r="K199" s="238">
        <f t="shared" si="165"/>
        <v>0</v>
      </c>
      <c r="L199" s="238">
        <f t="shared" si="166"/>
        <v>0</v>
      </c>
      <c r="M199" s="19"/>
      <c r="N199" s="19"/>
      <c r="O199" s="153"/>
      <c r="P199" s="202"/>
      <c r="Q199" s="202"/>
      <c r="R199" s="202"/>
      <c r="S199" s="202"/>
      <c r="T199" s="202"/>
      <c r="U199" s="202"/>
      <c r="V199" s="193">
        <f t="shared" si="167"/>
        <v>0</v>
      </c>
    </row>
    <row r="200" spans="1:24" ht="15.75" thickBot="1" x14ac:dyDescent="0.3">
      <c r="A200" s="326"/>
      <c r="B200" s="238">
        <v>0</v>
      </c>
      <c r="C200" s="238">
        <v>0</v>
      </c>
      <c r="D200" s="144">
        <f>'Data Ocupacion'!BF38</f>
        <v>0</v>
      </c>
      <c r="E200" s="144">
        <f>'Data Ocupacion'!BG38</f>
        <v>0</v>
      </c>
      <c r="F200" s="302" t="s">
        <v>35</v>
      </c>
      <c r="G200" s="303">
        <f t="shared" si="163"/>
        <v>0</v>
      </c>
      <c r="H200" s="306">
        <f t="shared" si="164"/>
        <v>0</v>
      </c>
      <c r="I200" s="306">
        <f>G200*J$1</f>
        <v>0</v>
      </c>
      <c r="J200" s="161">
        <f>H200*J$1</f>
        <v>0</v>
      </c>
      <c r="K200" s="238">
        <f t="shared" si="165"/>
        <v>0</v>
      </c>
      <c r="L200" s="238">
        <f t="shared" si="166"/>
        <v>0</v>
      </c>
      <c r="M200" s="19"/>
      <c r="N200" s="19"/>
      <c r="O200" s="153"/>
      <c r="P200" s="202"/>
      <c r="Q200" s="202"/>
      <c r="R200" s="202"/>
      <c r="S200" s="202"/>
      <c r="T200" s="202"/>
      <c r="U200" s="202"/>
      <c r="V200" s="193">
        <f>I200</f>
        <v>0</v>
      </c>
    </row>
    <row r="201" spans="1:24" s="130" customFormat="1" ht="15.75" thickBot="1" x14ac:dyDescent="0.3">
      <c r="A201" s="20"/>
      <c r="B201" s="237">
        <f>SUM(B195:B200)</f>
        <v>2</v>
      </c>
      <c r="C201" s="237">
        <f>SUM(C195:C200)</f>
        <v>55</v>
      </c>
      <c r="D201" s="156">
        <f>SUM(D195:D200)</f>
        <v>0</v>
      </c>
      <c r="E201" s="156">
        <f>SUM(E195:E200)</f>
        <v>57</v>
      </c>
      <c r="F201" s="124"/>
      <c r="G201" s="124">
        <f t="shared" ref="G201:L201" si="168">SUM(G195:G200)</f>
        <v>114</v>
      </c>
      <c r="H201" s="124">
        <f t="shared" si="168"/>
        <v>57</v>
      </c>
      <c r="I201" s="124">
        <f t="shared" si="168"/>
        <v>4916.82</v>
      </c>
      <c r="J201" s="124">
        <f t="shared" si="168"/>
        <v>2458.41</v>
      </c>
      <c r="K201" s="124">
        <f t="shared" si="168"/>
        <v>511349.28</v>
      </c>
      <c r="L201" s="124">
        <f t="shared" si="168"/>
        <v>5928</v>
      </c>
      <c r="M201" s="129">
        <f>'Odometro-Kilometraje'!AC81</f>
        <v>5100</v>
      </c>
      <c r="N201" s="21">
        <f>(V201/M201)*100</f>
        <v>96.408235294117645</v>
      </c>
      <c r="O201" s="205"/>
      <c r="P201" s="192"/>
      <c r="Q201" s="192"/>
      <c r="R201" s="192"/>
      <c r="S201" s="192"/>
      <c r="T201" s="192"/>
      <c r="U201" s="192"/>
      <c r="V201" s="206">
        <f>SUM(V195:V200)</f>
        <v>4916.82</v>
      </c>
    </row>
    <row r="202" spans="1:24" x14ac:dyDescent="0.25">
      <c r="A202" s="62">
        <f>A195+1</f>
        <v>45320</v>
      </c>
      <c r="B202" s="131">
        <v>45</v>
      </c>
      <c r="C202" s="131">
        <v>37</v>
      </c>
      <c r="D202" s="132">
        <f>'Data Ocupacion'!BH33</f>
        <v>45</v>
      </c>
      <c r="E202" s="132">
        <f>'Data Ocupacion'!BI33</f>
        <v>37</v>
      </c>
      <c r="F202" s="131" t="s">
        <v>38</v>
      </c>
      <c r="G202" s="131">
        <f t="shared" ref="G202:G207" si="169">D202+E202*2</f>
        <v>119</v>
      </c>
      <c r="H202" s="131">
        <f t="shared" ref="H202:H207" si="170">D202+E202</f>
        <v>82</v>
      </c>
      <c r="I202" s="131">
        <f>G202*L$2</f>
        <v>5132.47</v>
      </c>
      <c r="J202" s="161">
        <f>H202*L$2</f>
        <v>3536.6600000000003</v>
      </c>
      <c r="K202" s="131">
        <f t="shared" ref="K202:K207" si="171">I202*104</f>
        <v>533776.88</v>
      </c>
      <c r="L202" s="131">
        <f t="shared" ref="L202:L207" si="172">H202*104</f>
        <v>8528</v>
      </c>
      <c r="M202" s="19"/>
      <c r="N202" s="19"/>
      <c r="O202" s="153"/>
      <c r="P202" s="198"/>
      <c r="Q202" s="194"/>
      <c r="R202" s="222"/>
      <c r="S202" s="203"/>
      <c r="T202" s="204"/>
      <c r="U202" s="252"/>
      <c r="V202" s="193">
        <f>I202-(P202*($L$2-$J$1)+(Q202*($L$2-$L$1))+  (R202*($L$2-$H$2)))</f>
        <v>5132.47</v>
      </c>
    </row>
    <row r="203" spans="1:24" ht="15" customHeight="1" x14ac:dyDescent="0.25">
      <c r="A203" s="215"/>
      <c r="B203" s="131">
        <v>46</v>
      </c>
      <c r="C203" s="131">
        <v>35</v>
      </c>
      <c r="D203" s="132">
        <f>'Data Ocupacion'!BH34</f>
        <v>46</v>
      </c>
      <c r="E203" s="132">
        <f>'Data Ocupacion'!BI34</f>
        <v>35</v>
      </c>
      <c r="F203" s="131" t="s">
        <v>52</v>
      </c>
      <c r="G203" s="131">
        <f t="shared" si="169"/>
        <v>116</v>
      </c>
      <c r="H203" s="131">
        <f t="shared" si="170"/>
        <v>81</v>
      </c>
      <c r="I203" s="131">
        <f>G203*L$2</f>
        <v>5003.08</v>
      </c>
      <c r="J203" s="161">
        <f>H203*L$2</f>
        <v>3493.53</v>
      </c>
      <c r="K203" s="131">
        <f t="shared" si="171"/>
        <v>520320.32</v>
      </c>
      <c r="L203" s="131">
        <f t="shared" si="172"/>
        <v>8424</v>
      </c>
      <c r="M203" s="19"/>
      <c r="N203" s="19"/>
      <c r="O203" s="153"/>
      <c r="P203" s="199"/>
      <c r="Q203" s="199"/>
      <c r="R203" s="199"/>
      <c r="S203" s="275">
        <v>2</v>
      </c>
      <c r="T203" s="194"/>
      <c r="U203" s="222"/>
      <c r="V203" s="197">
        <f>I203-(S203*($L$2-$J$1)+(T203*($L$2-$L$1)))</f>
        <v>4967.62</v>
      </c>
    </row>
    <row r="204" spans="1:24" s="130" customFormat="1" x14ac:dyDescent="0.25">
      <c r="A204" s="215"/>
      <c r="B204" s="131">
        <v>0</v>
      </c>
      <c r="C204" s="131">
        <v>0</v>
      </c>
      <c r="D204" s="132">
        <f>'Data Ocupacion'!BH35</f>
        <v>0</v>
      </c>
      <c r="E204" s="132">
        <f>'Data Ocupacion'!BI35</f>
        <v>0</v>
      </c>
      <c r="F204" s="131" t="s">
        <v>36</v>
      </c>
      <c r="G204" s="131">
        <f t="shared" si="169"/>
        <v>0</v>
      </c>
      <c r="H204" s="131">
        <f t="shared" si="170"/>
        <v>0</v>
      </c>
      <c r="I204" s="131">
        <f>G204*L$1</f>
        <v>0</v>
      </c>
      <c r="J204" s="161">
        <f>H204*L$1</f>
        <v>0</v>
      </c>
      <c r="K204" s="131">
        <f t="shared" si="171"/>
        <v>0</v>
      </c>
      <c r="L204" s="131">
        <f t="shared" si="172"/>
        <v>0</v>
      </c>
      <c r="M204" s="19"/>
      <c r="N204" s="19" t="s">
        <v>147</v>
      </c>
      <c r="O204" s="153"/>
      <c r="P204" s="198"/>
      <c r="Q204" s="200"/>
      <c r="R204" s="223"/>
      <c r="S204" s="201"/>
      <c r="T204" s="202"/>
      <c r="U204" s="202"/>
      <c r="V204" s="193">
        <f>I204-(P204*($L$1-$J$1))</f>
        <v>0</v>
      </c>
    </row>
    <row r="205" spans="1:24" s="130" customFormat="1" ht="15" customHeight="1" x14ac:dyDescent="0.25">
      <c r="A205" s="215"/>
      <c r="B205" s="131">
        <v>0</v>
      </c>
      <c r="C205" s="131">
        <v>0</v>
      </c>
      <c r="D205" s="132">
        <f>'Data Ocupacion'!BH36</f>
        <v>0</v>
      </c>
      <c r="E205" s="132">
        <f>'Data Ocupacion'!BI36</f>
        <v>0</v>
      </c>
      <c r="F205" s="131" t="s">
        <v>53</v>
      </c>
      <c r="G205" s="131">
        <f t="shared" si="169"/>
        <v>0</v>
      </c>
      <c r="H205" s="131">
        <f t="shared" si="170"/>
        <v>0</v>
      </c>
      <c r="I205" s="131">
        <f>G205*L$1</f>
        <v>0</v>
      </c>
      <c r="J205" s="161">
        <f>H205*L$1</f>
        <v>0</v>
      </c>
      <c r="K205" s="131">
        <f t="shared" si="171"/>
        <v>0</v>
      </c>
      <c r="L205" s="131">
        <f t="shared" si="172"/>
        <v>0</v>
      </c>
      <c r="M205" s="19"/>
      <c r="N205" s="19" t="s">
        <v>147</v>
      </c>
      <c r="O205" s="153"/>
      <c r="P205" s="202"/>
      <c r="Q205" s="202"/>
      <c r="R205" s="202"/>
      <c r="S205" s="202"/>
      <c r="T205" s="202"/>
      <c r="U205" s="202"/>
      <c r="V205" s="193">
        <f t="shared" ref="V205:V206" si="173">I205</f>
        <v>0</v>
      </c>
    </row>
    <row r="206" spans="1:24" s="130" customFormat="1" x14ac:dyDescent="0.25">
      <c r="A206" s="215"/>
      <c r="B206" s="131">
        <v>0</v>
      </c>
      <c r="C206" s="131">
        <v>0</v>
      </c>
      <c r="D206" s="132">
        <f>'Data Ocupacion'!BH37</f>
        <v>0</v>
      </c>
      <c r="E206" s="132">
        <f>'Data Ocupacion'!BI37</f>
        <v>0</v>
      </c>
      <c r="F206" s="131" t="s">
        <v>122</v>
      </c>
      <c r="G206" s="131">
        <f t="shared" si="169"/>
        <v>0</v>
      </c>
      <c r="H206" s="131">
        <f t="shared" si="170"/>
        <v>0</v>
      </c>
      <c r="I206" s="131">
        <f>G206*J$1</f>
        <v>0</v>
      </c>
      <c r="J206" s="161">
        <f>H206*J$1</f>
        <v>0</v>
      </c>
      <c r="K206" s="131">
        <f t="shared" si="171"/>
        <v>0</v>
      </c>
      <c r="L206" s="131">
        <f t="shared" si="172"/>
        <v>0</v>
      </c>
      <c r="M206" s="19"/>
      <c r="N206" s="19"/>
      <c r="O206" s="153"/>
      <c r="P206" s="202"/>
      <c r="Q206" s="202"/>
      <c r="R206" s="202"/>
      <c r="S206" s="202"/>
      <c r="T206" s="202"/>
      <c r="U206" s="202"/>
      <c r="V206" s="193">
        <f t="shared" si="173"/>
        <v>0</v>
      </c>
    </row>
    <row r="207" spans="1:24" s="130" customFormat="1" ht="15.75" thickBot="1" x14ac:dyDescent="0.3">
      <c r="A207" s="215"/>
      <c r="B207" s="131">
        <v>0</v>
      </c>
      <c r="C207" s="131">
        <v>1</v>
      </c>
      <c r="D207" s="132">
        <f>'Data Ocupacion'!BH38</f>
        <v>0</v>
      </c>
      <c r="E207" s="132">
        <f>'Data Ocupacion'!BI38</f>
        <v>1</v>
      </c>
      <c r="F207" s="131" t="s">
        <v>35</v>
      </c>
      <c r="G207" s="131">
        <f t="shared" si="169"/>
        <v>2</v>
      </c>
      <c r="H207" s="131">
        <f t="shared" si="170"/>
        <v>1</v>
      </c>
      <c r="I207" s="131">
        <f>G207*J$1</f>
        <v>50.8</v>
      </c>
      <c r="J207" s="161">
        <f>H207*J$1</f>
        <v>25.4</v>
      </c>
      <c r="K207" s="131">
        <f t="shared" si="171"/>
        <v>5283.2</v>
      </c>
      <c r="L207" s="131">
        <f t="shared" si="172"/>
        <v>104</v>
      </c>
      <c r="M207" s="19"/>
      <c r="N207" s="19"/>
      <c r="O207" s="153"/>
      <c r="P207" s="202"/>
      <c r="Q207" s="202"/>
      <c r="R207" s="202"/>
      <c r="S207" s="202"/>
      <c r="T207" s="202"/>
      <c r="U207" s="202"/>
      <c r="V207" s="193">
        <f>I207</f>
        <v>50.8</v>
      </c>
    </row>
    <row r="208" spans="1:24" s="130" customFormat="1" ht="14.25" customHeight="1" thickBot="1" x14ac:dyDescent="0.3">
      <c r="A208" s="20"/>
      <c r="B208" s="237">
        <f>SUM(B202:B207)</f>
        <v>91</v>
      </c>
      <c r="C208" s="237">
        <f>SUM(C202:C207)</f>
        <v>73</v>
      </c>
      <c r="D208" s="156">
        <f>SUM(D202:D207)</f>
        <v>91</v>
      </c>
      <c r="E208" s="156">
        <f>SUM(E202:E207)</f>
        <v>73</v>
      </c>
      <c r="F208" s="124"/>
      <c r="G208" s="124">
        <f t="shared" ref="G208:L208" si="174">SUM(G202:G207)</f>
        <v>237</v>
      </c>
      <c r="H208" s="124">
        <f t="shared" si="174"/>
        <v>164</v>
      </c>
      <c r="I208" s="124">
        <f t="shared" si="174"/>
        <v>10186.349999999999</v>
      </c>
      <c r="J208" s="124">
        <f t="shared" si="174"/>
        <v>7055.59</v>
      </c>
      <c r="K208" s="124">
        <f t="shared" si="174"/>
        <v>1059380.3999999999</v>
      </c>
      <c r="L208" s="124">
        <f t="shared" si="174"/>
        <v>17056</v>
      </c>
      <c r="M208" s="129">
        <f>'Odometro-Kilometraje'!AD81</f>
        <v>10686</v>
      </c>
      <c r="N208" s="21">
        <f>(V208/M208)*100</f>
        <v>94.992419988770351</v>
      </c>
      <c r="O208" s="205"/>
      <c r="P208" s="192"/>
      <c r="Q208" s="192"/>
      <c r="R208" s="192"/>
      <c r="S208" s="192"/>
      <c r="T208" s="192"/>
      <c r="U208" s="192"/>
      <c r="V208" s="206">
        <f>SUM(V202:V207)</f>
        <v>10150.89</v>
      </c>
      <c r="X208" s="274"/>
    </row>
    <row r="209" spans="1:24" s="130" customFormat="1" x14ac:dyDescent="0.25">
      <c r="A209" s="62">
        <f>A202+1</f>
        <v>45321</v>
      </c>
      <c r="B209" s="131">
        <v>45</v>
      </c>
      <c r="C209" s="131">
        <v>37</v>
      </c>
      <c r="D209" s="132">
        <f>'Data Ocupacion'!BJ33</f>
        <v>46</v>
      </c>
      <c r="E209" s="132">
        <f>'Data Ocupacion'!BK33</f>
        <v>36</v>
      </c>
      <c r="F209" s="131" t="s">
        <v>38</v>
      </c>
      <c r="G209" s="131">
        <f t="shared" ref="G209:G214" si="175">D209+E209*2</f>
        <v>118</v>
      </c>
      <c r="H209" s="131">
        <f t="shared" ref="H209:H214" si="176">D209+E209</f>
        <v>82</v>
      </c>
      <c r="I209" s="131">
        <f>G209*L$2</f>
        <v>5089.34</v>
      </c>
      <c r="J209" s="161">
        <f>H209*L$2</f>
        <v>3536.6600000000003</v>
      </c>
      <c r="K209" s="131">
        <f t="shared" ref="K209:K214" si="177">I209*104</f>
        <v>529291.36</v>
      </c>
      <c r="L209" s="131">
        <f t="shared" ref="L209:L214" si="178">H209*104</f>
        <v>8528</v>
      </c>
      <c r="M209" s="19"/>
      <c r="N209" s="19"/>
      <c r="O209" s="153"/>
      <c r="P209" s="194"/>
      <c r="Q209" s="194"/>
      <c r="R209" s="222"/>
      <c r="S209" s="203"/>
      <c r="T209" s="204"/>
      <c r="U209" s="252"/>
      <c r="V209" s="193">
        <f>I209-(P209*($L$2-$J$1)+(Q209*($L$2-$L$1))+  (R209*($L$2-$H$2)))</f>
        <v>5089.34</v>
      </c>
    </row>
    <row r="210" spans="1:24" s="130" customFormat="1" x14ac:dyDescent="0.25">
      <c r="A210" s="215"/>
      <c r="B210" s="131">
        <v>46</v>
      </c>
      <c r="C210" s="131">
        <v>35</v>
      </c>
      <c r="D210" s="132">
        <f>'Data Ocupacion'!BJ34</f>
        <v>46</v>
      </c>
      <c r="E210" s="132">
        <f>'Data Ocupacion'!BK34</f>
        <v>35</v>
      </c>
      <c r="F210" s="131" t="s">
        <v>52</v>
      </c>
      <c r="G210" s="131">
        <f t="shared" si="175"/>
        <v>116</v>
      </c>
      <c r="H210" s="131">
        <f t="shared" si="176"/>
        <v>81</v>
      </c>
      <c r="I210" s="131">
        <f>G210*L$2</f>
        <v>5003.08</v>
      </c>
      <c r="J210" s="161">
        <f>H210*L$2</f>
        <v>3493.53</v>
      </c>
      <c r="K210" s="131">
        <f t="shared" si="177"/>
        <v>520320.32</v>
      </c>
      <c r="L210" s="131">
        <f t="shared" si="178"/>
        <v>8424</v>
      </c>
      <c r="M210" s="19"/>
      <c r="N210" s="19"/>
      <c r="O210" s="153"/>
      <c r="P210" s="199"/>
      <c r="Q210" s="199"/>
      <c r="R210" s="199"/>
      <c r="S210" s="194">
        <v>1</v>
      </c>
      <c r="T210" s="194"/>
      <c r="U210" s="222"/>
      <c r="V210" s="197">
        <f>I210-(S210*($L$2-$J$1)+(T210*($L$2-$L$1)))</f>
        <v>4985.3500000000004</v>
      </c>
    </row>
    <row r="211" spans="1:24" s="130" customFormat="1" x14ac:dyDescent="0.25">
      <c r="A211" s="215"/>
      <c r="B211" s="131">
        <v>0</v>
      </c>
      <c r="C211" s="131">
        <v>0</v>
      </c>
      <c r="D211" s="132">
        <f>'Data Ocupacion'!BJ35</f>
        <v>0</v>
      </c>
      <c r="E211" s="132">
        <f>'Data Ocupacion'!BK35</f>
        <v>0</v>
      </c>
      <c r="F211" s="131" t="s">
        <v>36</v>
      </c>
      <c r="G211" s="131">
        <f t="shared" si="175"/>
        <v>0</v>
      </c>
      <c r="H211" s="131">
        <f t="shared" si="176"/>
        <v>0</v>
      </c>
      <c r="I211" s="131">
        <f>G211*L$1</f>
        <v>0</v>
      </c>
      <c r="J211" s="161">
        <f>H211*L$1</f>
        <v>0</v>
      </c>
      <c r="K211" s="131">
        <f t="shared" si="177"/>
        <v>0</v>
      </c>
      <c r="L211" s="131">
        <f t="shared" si="178"/>
        <v>0</v>
      </c>
      <c r="M211" s="19"/>
      <c r="N211" s="19" t="s">
        <v>147</v>
      </c>
      <c r="O211" s="153"/>
      <c r="P211" s="198"/>
      <c r="Q211" s="200"/>
      <c r="R211" s="223"/>
      <c r="S211" s="201"/>
      <c r="T211" s="202"/>
      <c r="U211" s="202"/>
      <c r="V211" s="193">
        <f>I211-(P211*($L$1-$J$1))</f>
        <v>0</v>
      </c>
    </row>
    <row r="212" spans="1:24" s="130" customFormat="1" x14ac:dyDescent="0.25">
      <c r="A212" s="215"/>
      <c r="B212" s="131">
        <v>0</v>
      </c>
      <c r="C212" s="131">
        <v>0</v>
      </c>
      <c r="D212" s="132">
        <f>'Data Ocupacion'!BJ36</f>
        <v>0</v>
      </c>
      <c r="E212" s="132">
        <f>'Data Ocupacion'!BK36</f>
        <v>0</v>
      </c>
      <c r="F212" s="131" t="s">
        <v>53</v>
      </c>
      <c r="G212" s="131">
        <f t="shared" si="175"/>
        <v>0</v>
      </c>
      <c r="H212" s="131">
        <f t="shared" si="176"/>
        <v>0</v>
      </c>
      <c r="I212" s="131">
        <f>G212*L$1</f>
        <v>0</v>
      </c>
      <c r="J212" s="161">
        <f>H212*L$1</f>
        <v>0</v>
      </c>
      <c r="K212" s="131">
        <f t="shared" si="177"/>
        <v>0</v>
      </c>
      <c r="L212" s="131">
        <f t="shared" si="178"/>
        <v>0</v>
      </c>
      <c r="M212" s="19"/>
      <c r="N212" s="19" t="s">
        <v>147</v>
      </c>
      <c r="O212" s="153"/>
      <c r="P212" s="202"/>
      <c r="Q212" s="202"/>
      <c r="R212" s="202"/>
      <c r="S212" s="202"/>
      <c r="T212" s="202"/>
      <c r="U212" s="202"/>
      <c r="V212" s="193">
        <f t="shared" ref="V212:V213" si="179">I212</f>
        <v>0</v>
      </c>
    </row>
    <row r="213" spans="1:24" s="130" customFormat="1" x14ac:dyDescent="0.25">
      <c r="A213" s="215"/>
      <c r="B213" s="131">
        <v>0</v>
      </c>
      <c r="C213" s="131">
        <v>0</v>
      </c>
      <c r="D213" s="132">
        <f>'Data Ocupacion'!BJ37</f>
        <v>0</v>
      </c>
      <c r="E213" s="132">
        <f>'Data Ocupacion'!BK37</f>
        <v>0</v>
      </c>
      <c r="F213" s="131" t="s">
        <v>122</v>
      </c>
      <c r="G213" s="131">
        <f t="shared" si="175"/>
        <v>0</v>
      </c>
      <c r="H213" s="131">
        <f t="shared" si="176"/>
        <v>0</v>
      </c>
      <c r="I213" s="131">
        <f>G213*J$1</f>
        <v>0</v>
      </c>
      <c r="J213" s="161">
        <f>H213*J$1</f>
        <v>0</v>
      </c>
      <c r="K213" s="131">
        <f t="shared" si="177"/>
        <v>0</v>
      </c>
      <c r="L213" s="131">
        <f t="shared" si="178"/>
        <v>0</v>
      </c>
      <c r="M213" s="19"/>
      <c r="N213" s="19"/>
      <c r="O213" s="153"/>
      <c r="P213" s="202"/>
      <c r="Q213" s="202"/>
      <c r="R213" s="202"/>
      <c r="S213" s="202"/>
      <c r="T213" s="202"/>
      <c r="U213" s="202"/>
      <c r="V213" s="193">
        <f t="shared" si="179"/>
        <v>0</v>
      </c>
    </row>
    <row r="214" spans="1:24" s="130" customFormat="1" ht="15.75" thickBot="1" x14ac:dyDescent="0.3">
      <c r="A214" s="215"/>
      <c r="B214" s="131">
        <v>0</v>
      </c>
      <c r="C214" s="131">
        <v>1</v>
      </c>
      <c r="D214" s="132">
        <f>'Data Ocupacion'!BJ38</f>
        <v>0</v>
      </c>
      <c r="E214" s="132">
        <f>'Data Ocupacion'!BK38</f>
        <v>1</v>
      </c>
      <c r="F214" s="131" t="s">
        <v>35</v>
      </c>
      <c r="G214" s="131">
        <f t="shared" si="175"/>
        <v>2</v>
      </c>
      <c r="H214" s="131">
        <f t="shared" si="176"/>
        <v>1</v>
      </c>
      <c r="I214" s="131">
        <f>G214*J$1</f>
        <v>50.8</v>
      </c>
      <c r="J214" s="161">
        <f>H214*J$1</f>
        <v>25.4</v>
      </c>
      <c r="K214" s="131">
        <f t="shared" si="177"/>
        <v>5283.2</v>
      </c>
      <c r="L214" s="131">
        <f t="shared" si="178"/>
        <v>104</v>
      </c>
      <c r="M214" s="19"/>
      <c r="N214" s="19"/>
      <c r="O214" s="153"/>
      <c r="P214" s="202"/>
      <c r="Q214" s="202"/>
      <c r="R214" s="202"/>
      <c r="S214" s="202"/>
      <c r="T214" s="202"/>
      <c r="U214" s="202"/>
      <c r="V214" s="193">
        <f>I214</f>
        <v>50.8</v>
      </c>
    </row>
    <row r="215" spans="1:24" s="130" customFormat="1" ht="15.75" thickBot="1" x14ac:dyDescent="0.3">
      <c r="A215" s="20"/>
      <c r="B215" s="237">
        <f>SUM(B209:B214)</f>
        <v>91</v>
      </c>
      <c r="C215" s="237">
        <f>SUM(C209:C214)</f>
        <v>73</v>
      </c>
      <c r="D215" s="156">
        <f>SUM(D209:D214)</f>
        <v>92</v>
      </c>
      <c r="E215" s="156">
        <f>SUM(E209:E214)</f>
        <v>72</v>
      </c>
      <c r="F215" s="124"/>
      <c r="G215" s="124">
        <f t="shared" ref="G215:L215" si="180">SUM(G209:G214)</f>
        <v>236</v>
      </c>
      <c r="H215" s="124">
        <f t="shared" si="180"/>
        <v>164</v>
      </c>
      <c r="I215" s="124">
        <f t="shared" si="180"/>
        <v>10143.219999999999</v>
      </c>
      <c r="J215" s="124">
        <f t="shared" si="180"/>
        <v>7055.59</v>
      </c>
      <c r="K215" s="124">
        <f t="shared" si="180"/>
        <v>1054894.8799999999</v>
      </c>
      <c r="L215" s="124">
        <f t="shared" si="180"/>
        <v>17056</v>
      </c>
      <c r="M215" s="129">
        <f>'Odometro-Kilometraje'!AE81</f>
        <v>10755</v>
      </c>
      <c r="N215" s="21">
        <f>(V215/M215)*100</f>
        <v>94.146815434681542</v>
      </c>
      <c r="O215" s="205"/>
      <c r="P215" s="192"/>
      <c r="Q215" s="192"/>
      <c r="R215" s="192"/>
      <c r="S215" s="192"/>
      <c r="T215" s="192"/>
      <c r="U215" s="192"/>
      <c r="V215" s="206">
        <f>SUM(V209:V214)</f>
        <v>10125.49</v>
      </c>
      <c r="W215" s="316"/>
      <c r="X215" s="316"/>
    </row>
    <row r="216" spans="1:24" s="130" customFormat="1" x14ac:dyDescent="0.25">
      <c r="A216" s="62">
        <f>A209+1</f>
        <v>45322</v>
      </c>
      <c r="B216" s="131">
        <v>57</v>
      </c>
      <c r="C216" s="131">
        <v>40</v>
      </c>
      <c r="D216" s="132">
        <f>'Data Ocupacion'!BL33</f>
        <v>53</v>
      </c>
      <c r="E216" s="132">
        <f>'Data Ocupacion'!BM33</f>
        <v>42</v>
      </c>
      <c r="F216" s="131" t="s">
        <v>38</v>
      </c>
      <c r="G216" s="131">
        <f t="shared" ref="G216:G221" si="181">D216+E216*2</f>
        <v>137</v>
      </c>
      <c r="H216" s="131">
        <f t="shared" ref="H216:H221" si="182">D216+E216</f>
        <v>95</v>
      </c>
      <c r="I216" s="131">
        <f>G216*L$2</f>
        <v>5908.81</v>
      </c>
      <c r="J216" s="161">
        <f>H216*L$2</f>
        <v>4097.3500000000004</v>
      </c>
      <c r="K216" s="131">
        <f t="shared" ref="K216:K221" si="183">I216*104</f>
        <v>614516.24</v>
      </c>
      <c r="L216" s="131">
        <f t="shared" ref="L216:L221" si="184">H216*104</f>
        <v>9880</v>
      </c>
      <c r="M216" s="19"/>
      <c r="N216" s="19"/>
      <c r="O216" s="153"/>
      <c r="P216" s="267"/>
      <c r="Q216" s="194"/>
      <c r="R216" s="222"/>
      <c r="S216" s="216">
        <v>5</v>
      </c>
      <c r="T216" s="204"/>
      <c r="U216" s="252"/>
      <c r="V216" s="193">
        <f>I216-(P216*($L$2-$J$1)+(Q216*($L$2-$L$1))+  (R216*($L$2-$H$2))+  (S216*($J$1)))</f>
        <v>5781.81</v>
      </c>
      <c r="W216" s="316"/>
      <c r="X216" s="316"/>
    </row>
    <row r="217" spans="1:24" s="130" customFormat="1" ht="15" customHeight="1" x14ac:dyDescent="0.25">
      <c r="A217" s="337" t="s">
        <v>178</v>
      </c>
      <c r="B217" s="131">
        <v>55</v>
      </c>
      <c r="C217" s="131">
        <v>40</v>
      </c>
      <c r="D217" s="132">
        <f>'Data Ocupacion'!BL34</f>
        <v>60</v>
      </c>
      <c r="E217" s="132">
        <f>'Data Ocupacion'!BM34</f>
        <v>35</v>
      </c>
      <c r="F217" s="131" t="s">
        <v>52</v>
      </c>
      <c r="G217" s="131">
        <f t="shared" si="181"/>
        <v>130</v>
      </c>
      <c r="H217" s="131">
        <f t="shared" si="182"/>
        <v>95</v>
      </c>
      <c r="I217" s="131">
        <f>G217*L$2</f>
        <v>5606.9000000000005</v>
      </c>
      <c r="J217" s="161">
        <f>H217*L$2</f>
        <v>4097.3500000000004</v>
      </c>
      <c r="K217" s="131">
        <f t="shared" si="183"/>
        <v>583117.60000000009</v>
      </c>
      <c r="L217" s="131">
        <f t="shared" si="184"/>
        <v>9880</v>
      </c>
      <c r="M217" s="19"/>
      <c r="N217" s="19"/>
      <c r="O217" s="153"/>
      <c r="P217" s="199"/>
      <c r="Q217" s="199"/>
      <c r="R217" s="199"/>
      <c r="S217" s="194"/>
      <c r="T217" s="194"/>
      <c r="U217" s="222"/>
      <c r="V217" s="197">
        <f>I217-(S217*($L$2-$J$1)+(T217*($L$2-$L$1)))</f>
        <v>5606.9000000000005</v>
      </c>
    </row>
    <row r="218" spans="1:24" s="130" customFormat="1" x14ac:dyDescent="0.25">
      <c r="A218" s="337"/>
      <c r="B218" s="131">
        <v>0</v>
      </c>
      <c r="C218" s="131">
        <v>0</v>
      </c>
      <c r="D218" s="132">
        <f>'Data Ocupacion'!BL35</f>
        <v>0</v>
      </c>
      <c r="E218" s="132">
        <f>'Data Ocupacion'!BM35</f>
        <v>0</v>
      </c>
      <c r="F218" s="131" t="s">
        <v>36</v>
      </c>
      <c r="G218" s="131">
        <f t="shared" si="181"/>
        <v>0</v>
      </c>
      <c r="H218" s="131">
        <f t="shared" si="182"/>
        <v>0</v>
      </c>
      <c r="I218" s="131">
        <f>G218*L$1</f>
        <v>0</v>
      </c>
      <c r="J218" s="161">
        <f>H218*L$1</f>
        <v>0</v>
      </c>
      <c r="K218" s="131">
        <f t="shared" si="183"/>
        <v>0</v>
      </c>
      <c r="L218" s="131">
        <f t="shared" si="184"/>
        <v>0</v>
      </c>
      <c r="M218" s="19"/>
      <c r="N218" s="19"/>
      <c r="O218" s="153"/>
      <c r="P218" s="198"/>
      <c r="Q218" s="200"/>
      <c r="R218" s="223"/>
      <c r="S218" s="201"/>
      <c r="T218" s="202"/>
      <c r="U218" s="202"/>
      <c r="V218" s="193">
        <f>I218-(P218*($L$1-$J$1))</f>
        <v>0</v>
      </c>
    </row>
    <row r="219" spans="1:24" s="130" customFormat="1" x14ac:dyDescent="0.25">
      <c r="A219" s="337"/>
      <c r="B219" s="131">
        <v>0</v>
      </c>
      <c r="C219" s="131">
        <v>0</v>
      </c>
      <c r="D219" s="132">
        <f>'Data Ocupacion'!BL36</f>
        <v>0</v>
      </c>
      <c r="E219" s="132">
        <f>'Data Ocupacion'!BM36</f>
        <v>0</v>
      </c>
      <c r="F219" s="131" t="s">
        <v>53</v>
      </c>
      <c r="G219" s="131">
        <f t="shared" si="181"/>
        <v>0</v>
      </c>
      <c r="H219" s="131">
        <f t="shared" si="182"/>
        <v>0</v>
      </c>
      <c r="I219" s="131">
        <f>G219*L$1</f>
        <v>0</v>
      </c>
      <c r="J219" s="161">
        <f>H219*L$1</f>
        <v>0</v>
      </c>
      <c r="K219" s="131">
        <f t="shared" si="183"/>
        <v>0</v>
      </c>
      <c r="L219" s="131">
        <f t="shared" si="184"/>
        <v>0</v>
      </c>
      <c r="M219" s="19"/>
      <c r="N219" s="19"/>
      <c r="O219" s="153"/>
      <c r="P219" s="202"/>
      <c r="Q219" s="202"/>
      <c r="R219" s="202"/>
      <c r="S219" s="202"/>
      <c r="T219" s="202"/>
      <c r="U219" s="202"/>
      <c r="V219" s="193">
        <f t="shared" ref="V219:V220" si="185">I219</f>
        <v>0</v>
      </c>
    </row>
    <row r="220" spans="1:24" s="130" customFormat="1" x14ac:dyDescent="0.25">
      <c r="A220" s="337"/>
      <c r="B220" s="131">
        <v>0</v>
      </c>
      <c r="C220" s="131">
        <v>0</v>
      </c>
      <c r="D220" s="132">
        <f>'Data Ocupacion'!BL37</f>
        <v>0</v>
      </c>
      <c r="E220" s="132">
        <f>'Data Ocupacion'!BM37</f>
        <v>0</v>
      </c>
      <c r="F220" s="131" t="s">
        <v>122</v>
      </c>
      <c r="G220" s="131">
        <f t="shared" si="181"/>
        <v>0</v>
      </c>
      <c r="H220" s="131">
        <f t="shared" si="182"/>
        <v>0</v>
      </c>
      <c r="I220" s="131">
        <f>G220*J$1</f>
        <v>0</v>
      </c>
      <c r="J220" s="161">
        <f>H220*J$1</f>
        <v>0</v>
      </c>
      <c r="K220" s="131">
        <f t="shared" si="183"/>
        <v>0</v>
      </c>
      <c r="L220" s="131">
        <f t="shared" si="184"/>
        <v>0</v>
      </c>
      <c r="M220" s="19"/>
      <c r="N220" s="19"/>
      <c r="O220" s="153"/>
      <c r="P220" s="202"/>
      <c r="Q220" s="202"/>
      <c r="R220" s="202"/>
      <c r="S220" s="202"/>
      <c r="T220" s="202"/>
      <c r="U220" s="202"/>
      <c r="V220" s="193">
        <f t="shared" si="185"/>
        <v>0</v>
      </c>
    </row>
    <row r="221" spans="1:24" s="130" customFormat="1" ht="15.75" thickBot="1" x14ac:dyDescent="0.3">
      <c r="A221" s="337"/>
      <c r="B221" s="131">
        <v>1</v>
      </c>
      <c r="C221" s="131">
        <v>0</v>
      </c>
      <c r="D221" s="132">
        <f>'Data Ocupacion'!BL38</f>
        <v>0</v>
      </c>
      <c r="E221" s="132">
        <f>'Data Ocupacion'!BM38</f>
        <v>1</v>
      </c>
      <c r="F221" s="131" t="s">
        <v>35</v>
      </c>
      <c r="G221" s="131">
        <f t="shared" si="181"/>
        <v>2</v>
      </c>
      <c r="H221" s="131">
        <f t="shared" si="182"/>
        <v>1</v>
      </c>
      <c r="I221" s="131">
        <f>G221*J$1</f>
        <v>50.8</v>
      </c>
      <c r="J221" s="161">
        <f>H221*J$1</f>
        <v>25.4</v>
      </c>
      <c r="K221" s="131">
        <f t="shared" si="183"/>
        <v>5283.2</v>
      </c>
      <c r="L221" s="131">
        <f t="shared" si="184"/>
        <v>104</v>
      </c>
      <c r="M221" s="19"/>
      <c r="N221" s="19"/>
      <c r="O221" s="153"/>
      <c r="P221" s="202"/>
      <c r="Q221" s="202"/>
      <c r="R221" s="202"/>
      <c r="S221" s="202"/>
      <c r="T221" s="202"/>
      <c r="U221" s="202"/>
      <c r="V221" s="193">
        <f>I221</f>
        <v>50.8</v>
      </c>
    </row>
    <row r="222" spans="1:24" s="130" customFormat="1" ht="15.75" thickBot="1" x14ac:dyDescent="0.3">
      <c r="A222" s="20"/>
      <c r="B222" s="237">
        <f>SUM(B216:B221)</f>
        <v>113</v>
      </c>
      <c r="C222" s="237">
        <f>SUM(C216:C221)</f>
        <v>80</v>
      </c>
      <c r="D222" s="156">
        <f>SUM(D216:D221)</f>
        <v>113</v>
      </c>
      <c r="E222" s="156">
        <f>SUM(E216:E221)</f>
        <v>78</v>
      </c>
      <c r="F222" s="124"/>
      <c r="G222" s="124">
        <f t="shared" ref="G222:L222" si="186">SUM(G216:G221)</f>
        <v>269</v>
      </c>
      <c r="H222" s="124">
        <f t="shared" si="186"/>
        <v>191</v>
      </c>
      <c r="I222" s="124">
        <f t="shared" si="186"/>
        <v>11566.51</v>
      </c>
      <c r="J222" s="124">
        <f t="shared" si="186"/>
        <v>8220.1</v>
      </c>
      <c r="K222" s="124">
        <f t="shared" si="186"/>
        <v>1202917.04</v>
      </c>
      <c r="L222" s="124">
        <f t="shared" si="186"/>
        <v>19864</v>
      </c>
      <c r="M222" s="129">
        <f>'Odometro-Kilometraje'!AF81</f>
        <v>12043</v>
      </c>
      <c r="N222" s="21">
        <f>(V222/M222)*100</f>
        <v>94.98887320435108</v>
      </c>
      <c r="O222" s="205"/>
      <c r="P222" s="192"/>
      <c r="Q222" s="192"/>
      <c r="R222" s="192"/>
      <c r="S222" s="192"/>
      <c r="T222" s="192"/>
      <c r="U222" s="192"/>
      <c r="V222" s="206">
        <f>SUM(V216:V221)</f>
        <v>11439.51</v>
      </c>
    </row>
    <row r="223" spans="1:24" s="130" customFormat="1" ht="15.75" thickBot="1" x14ac:dyDescent="0.3"/>
    <row r="224" spans="1:24" s="130" customFormat="1" ht="15.75" thickBot="1" x14ac:dyDescent="0.3">
      <c r="A224"/>
      <c r="B224" s="344" t="s">
        <v>56</v>
      </c>
      <c r="C224" s="345"/>
      <c r="D224" s="345"/>
      <c r="E224" s="345"/>
      <c r="F224" s="345"/>
      <c r="G224" s="346"/>
      <c r="H224" s="344" t="s">
        <v>57</v>
      </c>
      <c r="I224" s="345"/>
      <c r="J224" s="345"/>
      <c r="K224" s="345"/>
      <c r="L224" s="345"/>
      <c r="M224" s="346"/>
      <c r="O224" s="331" t="s">
        <v>142</v>
      </c>
      <c r="P224" s="331"/>
      <c r="Q224" s="331"/>
      <c r="R224" s="332"/>
      <c r="S224" s="327" t="s">
        <v>145</v>
      </c>
      <c r="T224" s="328"/>
      <c r="U224" s="329"/>
      <c r="V224" s="347" t="s">
        <v>146</v>
      </c>
    </row>
    <row r="225" spans="1:28" s="130" customFormat="1" ht="24.75" thickBot="1" x14ac:dyDescent="0.3">
      <c r="A225" s="22" t="s">
        <v>56</v>
      </c>
      <c r="B225" s="189" t="s">
        <v>58</v>
      </c>
      <c r="C225" s="189" t="s">
        <v>59</v>
      </c>
      <c r="D225" s="189" t="s">
        <v>60</v>
      </c>
      <c r="E225" s="189" t="s">
        <v>61</v>
      </c>
      <c r="F225" s="189" t="s">
        <v>62</v>
      </c>
      <c r="G225" s="189" t="s">
        <v>63</v>
      </c>
      <c r="H225" s="189" t="s">
        <v>58</v>
      </c>
      <c r="I225" s="189" t="s">
        <v>59</v>
      </c>
      <c r="J225" s="189" t="s">
        <v>60</v>
      </c>
      <c r="K225" s="189" t="s">
        <v>61</v>
      </c>
      <c r="L225" s="189" t="s">
        <v>62</v>
      </c>
      <c r="M225" s="189" t="s">
        <v>63</v>
      </c>
      <c r="O225" s="230" t="s">
        <v>143</v>
      </c>
      <c r="P225" s="208" t="s">
        <v>144</v>
      </c>
      <c r="Q225" s="229" t="s">
        <v>151</v>
      </c>
      <c r="R225" s="231" t="s">
        <v>149</v>
      </c>
      <c r="S225" s="209" t="s">
        <v>143</v>
      </c>
      <c r="T225" s="210" t="s">
        <v>144</v>
      </c>
      <c r="U225" s="251" t="s">
        <v>149</v>
      </c>
      <c r="V225" s="348"/>
    </row>
    <row r="226" spans="1:28" ht="15.95" customHeight="1" x14ac:dyDescent="0.25">
      <c r="A226" s="23" t="s">
        <v>38</v>
      </c>
      <c r="B226" s="117">
        <f>B5+B13+B20+B27+B34+B41+B48+B55+B62+B69+B76+B83+B90+B97+B104+B111+B118+B125+B132+B139+B146+B153+B160+B167+B174+B181+B188+B195+B202+B209+B216</f>
        <v>1178</v>
      </c>
      <c r="C226" s="117">
        <f>C5+C13+C20+C27+C34+C41+C48+C55+C62+C69+C76+C83+C90+C97+C104+C111+C118+C125+C132+C139+C146+C153+C160+C167+C174+C181+C188+C195+C202+C209+C216</f>
        <v>1130</v>
      </c>
      <c r="D226" s="117">
        <f t="shared" ref="D226:D233" si="187">B226+C226</f>
        <v>2308</v>
      </c>
      <c r="E226" s="146">
        <f>D226*43.13</f>
        <v>99544.040000000008</v>
      </c>
      <c r="F226" s="146">
        <f>B226*43.13+C226*86.26</f>
        <v>148280.94</v>
      </c>
      <c r="G226" s="146">
        <f t="shared" ref="G226:G233" si="188">F226*104</f>
        <v>15421217.76</v>
      </c>
      <c r="H226" s="117">
        <f>D5+D13+D20+D27+D34+D41+D48+D55+D62+D69+D76+D83+D90+D97+D104+D111+D118+D125+D132+D139+D146+D153+D160+D167+D174+D181+D188+D195+D202+D209+D216</f>
        <v>1119</v>
      </c>
      <c r="I226" s="117">
        <f>E5+E13+E20+E27+E34+E41+E48+E55+E62+E69+E76+E83+E90+E97+E104+E111+E118+E125+E132+E139+E146+E153+E160+E167+E174+E181+E188+E195+E202+E209+E216</f>
        <v>1146</v>
      </c>
      <c r="J226" s="145">
        <f>H226+I226</f>
        <v>2265</v>
      </c>
      <c r="K226" s="146">
        <f>J226*43.13</f>
        <v>97689.450000000012</v>
      </c>
      <c r="L226" s="146">
        <f>H226*43.13+I226*86.26</f>
        <v>147116.43</v>
      </c>
      <c r="M226" s="146">
        <f t="shared" ref="M226:M233" si="189">L226*104</f>
        <v>15300108.719999999</v>
      </c>
      <c r="N226" s="130"/>
      <c r="O226" s="224">
        <f>SUM(P195,P188,P181,P174,P167,P160,P153,P146,P139,P132,P125,P118,P111,P104,P97,P90,P83,P76,P69,P62,P55,P48,P41,P34,P27,P20,P13,P5,P202,P209,P216)</f>
        <v>4</v>
      </c>
      <c r="P226" s="225">
        <f>SUM(Q195,Q188,Q181,Q174,Q167,Q160,Q153,Q146,Q139,Q132,Q125,Q118,Q111,Q104,Q97,Q90,Q83,Q76,Q69,Q62,Q55,Q48,Q41,Q34,Q27,Q20,Q13,Q5,Q202,Q209,Q216)</f>
        <v>0</v>
      </c>
      <c r="Q226" s="130">
        <f>SUM(P197,P190,P183,P176,P169,P162,P155,P148,P141,P134,P127,P120,P113,P106,P99,P92,P85,P78,P71,P64,P57,P50,P43,P36,P29,P22,P15,P8,P204,P211,P218)</f>
        <v>0</v>
      </c>
      <c r="R226" s="130">
        <f>SUM(R195,R188,R181,R174,R167,R160,R153,R146,R139,R132,R125,R118,R111,R104,R97,R90,R83,R76,R69,R62,R55,R48,R41,R34,R27,R20,R13,R5,R202,R209,R216)</f>
        <v>0</v>
      </c>
      <c r="S226" s="130">
        <f>SUM(S196,S189,S182,S175,S168,S161,S154,S147,S140,S133,S126,S119,S112,S105,S98,S91,S84,S77,S70,S63,S56,S49,S42,S35,S28,S21,S14,S7,S203,S210,S217)</f>
        <v>64</v>
      </c>
      <c r="T226" s="130">
        <f>SUM(T196,T189,T182,T175,T168,T161,T154,T147,T140,T133,T126,T119,T112,T105,T98,T91,T84,T77,T70,T63,T56,T49,T42,T35,T28,T21,T14,T7,T203,T210,T217)</f>
        <v>0</v>
      </c>
      <c r="U226" s="130">
        <f>SUM(U196,U189,U182,U175,U168,U161,U154,U147,U140,U133,U126,U119,U112,U105,U98,U91,U84,U77,U70,U63,U56,U49,U42,U35,U28,U21,U14,U7,U203,U210,U217)</f>
        <v>0</v>
      </c>
      <c r="V226" s="257">
        <f>V12+V19+V26+V33+V40+V47+V54+V61+V68+V75+V82+V89+V96+V103+V110+V117+V124+V131+V138+V145+V152+V159+V166+V173+V180+V187+V194+V201+V208+V215+V222</f>
        <v>291260.47000000003</v>
      </c>
      <c r="Y226">
        <v>290570.65999999997</v>
      </c>
    </row>
    <row r="227" spans="1:28" ht="17.25" customHeight="1" x14ac:dyDescent="0.25">
      <c r="A227" s="23" t="s">
        <v>52</v>
      </c>
      <c r="B227" s="117">
        <f t="shared" ref="B227:C231" si="190">B7+B14+B21+B28+B35+B42+B49+B56+B63+B70+B77+B84+B91+B98+B105+B112+B119+B126+B133+B140+B147+B154+B161+B168+B175+B182+B189+B196+B203+B210+B217</f>
        <v>1243</v>
      </c>
      <c r="C227" s="117">
        <f t="shared" si="190"/>
        <v>1066</v>
      </c>
      <c r="D227" s="117">
        <f t="shared" si="187"/>
        <v>2309</v>
      </c>
      <c r="E227" s="146">
        <f>D227*43.13</f>
        <v>99587.170000000013</v>
      </c>
      <c r="F227" s="146">
        <f>B227*43.13+C227*86.26</f>
        <v>145563.75</v>
      </c>
      <c r="G227" s="146">
        <f t="shared" si="188"/>
        <v>15138630</v>
      </c>
      <c r="H227" s="117">
        <f t="shared" ref="H227:I231" si="191">D7+D14+D21+D28+D35+D42+D49+D56+D63+D70+D77+D84+D91+D98+D105+D112+D119+D126+D133+D140+D147+D154+D161+D168+D175+D182+D189+D196+D203+D210+D217</f>
        <v>1178</v>
      </c>
      <c r="I227" s="117">
        <f t="shared" si="191"/>
        <v>1088</v>
      </c>
      <c r="J227" s="145">
        <f t="shared" ref="J227:J233" si="192">H227+I227</f>
        <v>2266</v>
      </c>
      <c r="K227" s="146">
        <f>J227*43.13</f>
        <v>97732.58</v>
      </c>
      <c r="L227" s="146">
        <f>H227*43.13+I227*86.26</f>
        <v>144658.02000000002</v>
      </c>
      <c r="M227" s="146">
        <f t="shared" si="189"/>
        <v>15044434.080000002</v>
      </c>
      <c r="N227" s="130"/>
      <c r="V227" s="224"/>
      <c r="Z227" s="8"/>
    </row>
    <row r="228" spans="1:28" x14ac:dyDescent="0.25">
      <c r="A228" s="23" t="s">
        <v>36</v>
      </c>
      <c r="B228" s="117">
        <f t="shared" si="190"/>
        <v>0</v>
      </c>
      <c r="C228" s="117">
        <f t="shared" si="190"/>
        <v>0</v>
      </c>
      <c r="D228" s="117">
        <f t="shared" si="187"/>
        <v>0</v>
      </c>
      <c r="E228" s="146">
        <f>D228*29.11</f>
        <v>0</v>
      </c>
      <c r="F228" s="146">
        <f>B228*29.11+C228*58.22</f>
        <v>0</v>
      </c>
      <c r="G228" s="146">
        <f t="shared" si="188"/>
        <v>0</v>
      </c>
      <c r="H228" s="117">
        <f t="shared" si="191"/>
        <v>0</v>
      </c>
      <c r="I228" s="117">
        <f t="shared" si="191"/>
        <v>0</v>
      </c>
      <c r="J228" s="145">
        <f t="shared" si="192"/>
        <v>0</v>
      </c>
      <c r="K228" s="146">
        <f>J228*29.11</f>
        <v>0</v>
      </c>
      <c r="L228" s="146">
        <f>H228*29.11+I228*58.22</f>
        <v>0</v>
      </c>
      <c r="M228" s="146">
        <f t="shared" si="189"/>
        <v>0</v>
      </c>
      <c r="N228" s="130"/>
      <c r="V228" s="224"/>
    </row>
    <row r="229" spans="1:28" x14ac:dyDescent="0.25">
      <c r="A229" s="23" t="s">
        <v>53</v>
      </c>
      <c r="B229" s="117">
        <f t="shared" si="190"/>
        <v>0</v>
      </c>
      <c r="C229" s="117">
        <f t="shared" si="190"/>
        <v>0</v>
      </c>
      <c r="D229" s="117">
        <f t="shared" si="187"/>
        <v>0</v>
      </c>
      <c r="E229" s="146">
        <f>D229*29.11</f>
        <v>0</v>
      </c>
      <c r="F229" s="146">
        <f>B229*29.11+C229*58.22</f>
        <v>0</v>
      </c>
      <c r="G229" s="146">
        <f t="shared" si="188"/>
        <v>0</v>
      </c>
      <c r="H229" s="117">
        <f t="shared" si="191"/>
        <v>0</v>
      </c>
      <c r="I229" s="117">
        <f t="shared" si="191"/>
        <v>0</v>
      </c>
      <c r="J229" s="145">
        <f t="shared" si="192"/>
        <v>0</v>
      </c>
      <c r="K229" s="146">
        <f>J229*29.11</f>
        <v>0</v>
      </c>
      <c r="L229" s="146">
        <f>H229*29.11+I229*58.22</f>
        <v>0</v>
      </c>
      <c r="M229" s="146">
        <f t="shared" si="189"/>
        <v>0</v>
      </c>
      <c r="N229" s="130"/>
      <c r="V229" s="224"/>
      <c r="Z229" s="104"/>
      <c r="AA229" s="104"/>
      <c r="AB229" s="104"/>
    </row>
    <row r="230" spans="1:28" x14ac:dyDescent="0.25">
      <c r="A230" s="23" t="s">
        <v>122</v>
      </c>
      <c r="B230" s="117">
        <f t="shared" si="190"/>
        <v>0</v>
      </c>
      <c r="C230" s="117">
        <f t="shared" si="190"/>
        <v>0</v>
      </c>
      <c r="D230" s="117">
        <f t="shared" si="187"/>
        <v>0</v>
      </c>
      <c r="E230" s="146">
        <f>D230*25.4</f>
        <v>0</v>
      </c>
      <c r="F230" s="146">
        <f>B230*25.4+C230*50.8</f>
        <v>0</v>
      </c>
      <c r="G230" s="146">
        <f t="shared" si="188"/>
        <v>0</v>
      </c>
      <c r="H230" s="117">
        <f t="shared" si="191"/>
        <v>0</v>
      </c>
      <c r="I230" s="117">
        <f t="shared" si="191"/>
        <v>0</v>
      </c>
      <c r="J230" s="145">
        <f t="shared" si="192"/>
        <v>0</v>
      </c>
      <c r="K230" s="146">
        <f>J230*25.4</f>
        <v>0</v>
      </c>
      <c r="L230" s="146">
        <f>H230*25.4+I230*50.8</f>
        <v>0</v>
      </c>
      <c r="M230" s="146">
        <f t="shared" si="189"/>
        <v>0</v>
      </c>
      <c r="N230" s="130"/>
      <c r="V230" s="224"/>
    </row>
    <row r="231" spans="1:28" x14ac:dyDescent="0.25">
      <c r="A231" s="23" t="s">
        <v>35</v>
      </c>
      <c r="B231" s="117">
        <f t="shared" si="190"/>
        <v>1</v>
      </c>
      <c r="C231" s="117">
        <f t="shared" si="190"/>
        <v>21</v>
      </c>
      <c r="D231" s="117">
        <f t="shared" si="187"/>
        <v>22</v>
      </c>
      <c r="E231" s="146">
        <f>D231*25.4</f>
        <v>558.79999999999995</v>
      </c>
      <c r="F231" s="146">
        <f>B231*25.4+C231*50.8</f>
        <v>1092.2</v>
      </c>
      <c r="G231" s="146">
        <f t="shared" si="188"/>
        <v>113588.8</v>
      </c>
      <c r="H231" s="117">
        <f t="shared" si="191"/>
        <v>1</v>
      </c>
      <c r="I231" s="117">
        <f t="shared" si="191"/>
        <v>22</v>
      </c>
      <c r="J231" s="145">
        <f t="shared" si="192"/>
        <v>23</v>
      </c>
      <c r="K231" s="146">
        <f>J231*25.4</f>
        <v>584.19999999999993</v>
      </c>
      <c r="L231" s="146">
        <f>H231*25.4+I231*50.8</f>
        <v>1143</v>
      </c>
      <c r="M231" s="146">
        <f t="shared" si="189"/>
        <v>118872</v>
      </c>
      <c r="N231" s="130"/>
      <c r="O231" s="130"/>
      <c r="P231" s="130"/>
      <c r="Q231" s="130"/>
      <c r="S231" s="130"/>
      <c r="T231" s="130"/>
      <c r="V231" s="224"/>
      <c r="Z231" s="104"/>
      <c r="AA231" s="104"/>
      <c r="AB231" s="104"/>
    </row>
    <row r="232" spans="1:28" s="130" customFormat="1" x14ac:dyDescent="0.25">
      <c r="A232" s="23" t="s">
        <v>163</v>
      </c>
      <c r="B232" s="117">
        <v>0</v>
      </c>
      <c r="C232" s="117">
        <v>0</v>
      </c>
      <c r="D232" s="117">
        <f t="shared" si="187"/>
        <v>0</v>
      </c>
      <c r="E232" s="146">
        <f>D232*P2</f>
        <v>0</v>
      </c>
      <c r="F232" s="146">
        <f>B232*P1+C232*16.6</f>
        <v>0</v>
      </c>
      <c r="G232" s="146">
        <f t="shared" si="188"/>
        <v>0</v>
      </c>
      <c r="H232" s="117">
        <v>0</v>
      </c>
      <c r="I232" s="117">
        <v>0</v>
      </c>
      <c r="J232" s="145">
        <f t="shared" si="192"/>
        <v>0</v>
      </c>
      <c r="K232" s="146">
        <f>J232*P1</f>
        <v>0</v>
      </c>
      <c r="L232" s="146">
        <f>H232*P2+I232*16.6</f>
        <v>0</v>
      </c>
      <c r="M232" s="146">
        <f t="shared" si="189"/>
        <v>0</v>
      </c>
      <c r="V232" s="224"/>
    </row>
    <row r="233" spans="1:28" s="130" customFormat="1" x14ac:dyDescent="0.25">
      <c r="A233" s="23" t="s">
        <v>157</v>
      </c>
      <c r="B233" s="117">
        <v>0</v>
      </c>
      <c r="C233" s="117">
        <v>1</v>
      </c>
      <c r="D233" s="117">
        <f t="shared" si="187"/>
        <v>1</v>
      </c>
      <c r="E233" s="146">
        <f>D233*N2</f>
        <v>35.729999999999997</v>
      </c>
      <c r="F233" s="146">
        <f>B233*N2+C233*71.46</f>
        <v>71.459999999999994</v>
      </c>
      <c r="G233" s="146">
        <f t="shared" si="188"/>
        <v>7431.8399999999992</v>
      </c>
      <c r="H233" s="117">
        <v>0</v>
      </c>
      <c r="I233" s="117">
        <v>1</v>
      </c>
      <c r="J233" s="145">
        <f t="shared" si="192"/>
        <v>1</v>
      </c>
      <c r="K233" s="146">
        <f>J233*N2</f>
        <v>35.729999999999997</v>
      </c>
      <c r="L233" s="146">
        <f>H233*N2+I233*71.46</f>
        <v>71.459999999999994</v>
      </c>
      <c r="M233" s="146">
        <f t="shared" si="189"/>
        <v>7431.8399999999992</v>
      </c>
      <c r="V233" s="224"/>
    </row>
    <row r="234" spans="1:28" s="130" customFormat="1" x14ac:dyDescent="0.2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O234"/>
      <c r="P234"/>
      <c r="Q234"/>
      <c r="S234"/>
      <c r="T234"/>
      <c r="V234" s="224"/>
    </row>
    <row r="235" spans="1:28" s="130" customFormat="1" x14ac:dyDescent="0.25">
      <c r="A235" s="187" t="s">
        <v>64</v>
      </c>
      <c r="B235" s="249">
        <f>SUM(B226:B234)</f>
        <v>2422</v>
      </c>
      <c r="C235" s="249">
        <f>SUM(C226:C234)</f>
        <v>2218</v>
      </c>
      <c r="D235" s="249">
        <f>SUM(D226:D234)</f>
        <v>4640</v>
      </c>
      <c r="E235" s="188">
        <f t="shared" ref="E235:M235" si="193">SUM(E226:E233)</f>
        <v>199725.74000000002</v>
      </c>
      <c r="F235" s="188">
        <f t="shared" si="193"/>
        <v>295008.35000000003</v>
      </c>
      <c r="G235" s="188">
        <f t="shared" si="193"/>
        <v>30680868.399999999</v>
      </c>
      <c r="H235" s="248">
        <f t="shared" si="193"/>
        <v>2298</v>
      </c>
      <c r="I235" s="248">
        <f t="shared" si="193"/>
        <v>2257</v>
      </c>
      <c r="J235" s="239">
        <f t="shared" si="193"/>
        <v>4555</v>
      </c>
      <c r="K235" s="240">
        <f t="shared" si="193"/>
        <v>196041.96000000005</v>
      </c>
      <c r="L235" s="240">
        <f t="shared" si="193"/>
        <v>292988.91000000003</v>
      </c>
      <c r="M235" s="240">
        <f t="shared" si="193"/>
        <v>30470846.640000001</v>
      </c>
      <c r="O235"/>
      <c r="P235"/>
      <c r="Q235"/>
      <c r="S235"/>
      <c r="T235"/>
      <c r="V235" s="224"/>
    </row>
    <row r="236" spans="1:28" x14ac:dyDescent="0.25">
      <c r="A236" s="130"/>
      <c r="B236" s="130"/>
      <c r="C236" s="130"/>
      <c r="D236" s="130"/>
      <c r="E236" s="130"/>
      <c r="F236" s="130"/>
      <c r="G236" s="130"/>
      <c r="H236" s="130"/>
      <c r="I236" s="130"/>
      <c r="J236" s="130"/>
      <c r="K236" s="130"/>
      <c r="L236" s="224"/>
      <c r="M236" s="130"/>
      <c r="N236" s="130"/>
      <c r="V236" s="224"/>
    </row>
    <row r="237" spans="1:28" ht="42" customHeight="1" thickBot="1" x14ac:dyDescent="0.3">
      <c r="B237" s="130" t="s">
        <v>65</v>
      </c>
      <c r="C237" s="130">
        <f>(B235)+(C235*2)</f>
        <v>6858</v>
      </c>
      <c r="D237" s="130"/>
      <c r="E237" s="130"/>
      <c r="F237" s="130" t="s">
        <v>65</v>
      </c>
      <c r="G237" s="130">
        <f>(H235)+(I235*2)</f>
        <v>6812</v>
      </c>
      <c r="H237" s="130"/>
      <c r="I237" s="211"/>
      <c r="J237" s="130"/>
      <c r="K237" s="130"/>
      <c r="L237" s="224"/>
      <c r="M237" s="130"/>
      <c r="N237" s="130"/>
      <c r="V237" s="224"/>
    </row>
    <row r="238" spans="1:28" x14ac:dyDescent="0.25">
      <c r="A238" s="24"/>
      <c r="B238" s="342" t="s">
        <v>55</v>
      </c>
      <c r="C238" s="343"/>
      <c r="D238" s="25" t="s">
        <v>65</v>
      </c>
      <c r="E238" s="26"/>
      <c r="F238" s="27" t="s">
        <v>61</v>
      </c>
      <c r="G238" s="27" t="s">
        <v>66</v>
      </c>
      <c r="H238" s="28" t="s">
        <v>67</v>
      </c>
      <c r="I238" s="130"/>
      <c r="J238" s="130"/>
      <c r="K238" s="130"/>
      <c r="L238" s="130"/>
      <c r="M238" s="130"/>
      <c r="N238" s="130"/>
      <c r="V238" s="224"/>
    </row>
    <row r="239" spans="1:28" x14ac:dyDescent="0.25">
      <c r="A239" s="29"/>
      <c r="B239" s="30" t="s">
        <v>58</v>
      </c>
      <c r="C239" s="30" t="s">
        <v>68</v>
      </c>
      <c r="D239" s="31"/>
      <c r="E239" s="32"/>
      <c r="F239" s="30"/>
      <c r="G239" s="30"/>
      <c r="H239" s="33"/>
      <c r="I239" s="130"/>
      <c r="J239" s="130"/>
      <c r="K239" s="130"/>
      <c r="L239" s="130"/>
      <c r="M239" s="130"/>
      <c r="N239" s="130"/>
      <c r="V239" s="224"/>
    </row>
    <row r="240" spans="1:28" ht="15" hidden="1" customHeight="1" x14ac:dyDescent="0.25">
      <c r="A240" s="34" t="s">
        <v>69</v>
      </c>
      <c r="B240" s="151" t="e">
        <f>+#REF!</f>
        <v>#REF!</v>
      </c>
      <c r="C240" s="151" t="e">
        <f>+#REF!</f>
        <v>#REF!</v>
      </c>
      <c r="D240" s="151" t="e">
        <f>+B240+2*C240</f>
        <v>#REF!</v>
      </c>
      <c r="E240" s="35" t="s">
        <v>69</v>
      </c>
      <c r="F240" s="36">
        <f>+E235</f>
        <v>199725.74000000002</v>
      </c>
      <c r="G240" s="36">
        <f>+F235</f>
        <v>295008.35000000003</v>
      </c>
      <c r="H240" s="37">
        <f>+G235</f>
        <v>30680868.399999999</v>
      </c>
      <c r="I240" s="130"/>
      <c r="J240" s="130"/>
      <c r="K240" s="130"/>
      <c r="L240" s="130"/>
      <c r="M240" s="130"/>
      <c r="N240" s="130"/>
      <c r="V240" s="224"/>
    </row>
    <row r="241" spans="1:22" ht="15.95" hidden="1" customHeight="1" thickBot="1" x14ac:dyDescent="0.3">
      <c r="A241" s="38" t="s">
        <v>70</v>
      </c>
      <c r="B241" s="186" t="e">
        <f>+#REF!</f>
        <v>#REF!</v>
      </c>
      <c r="C241" s="186" t="e">
        <f>+#REF!</f>
        <v>#REF!</v>
      </c>
      <c r="D241" s="151" t="e">
        <f>+B241+2*C241</f>
        <v>#REF!</v>
      </c>
      <c r="E241" s="38" t="s">
        <v>70</v>
      </c>
      <c r="F241" s="39" t="e">
        <f>+#REF!</f>
        <v>#REF!</v>
      </c>
      <c r="G241" s="39" t="e">
        <f>+#REF!</f>
        <v>#REF!</v>
      </c>
      <c r="H241" s="40" t="e">
        <f>+#REF!</f>
        <v>#REF!</v>
      </c>
      <c r="I241" s="130"/>
      <c r="J241" s="130"/>
      <c r="K241" s="130"/>
      <c r="L241" s="130"/>
      <c r="M241" s="130"/>
      <c r="N241" s="130"/>
      <c r="V241" s="224"/>
    </row>
    <row r="242" spans="1:22" ht="15" hidden="1" customHeight="1" x14ac:dyDescent="0.25">
      <c r="C242" s="130"/>
      <c r="D242" s="130"/>
      <c r="E242" s="130"/>
      <c r="F242" s="130"/>
      <c r="G242" s="130"/>
      <c r="H242" s="130" t="s">
        <v>65</v>
      </c>
      <c r="I242" s="241">
        <f>(H235)+(I235*2)</f>
        <v>6812</v>
      </c>
      <c r="J242" s="130"/>
      <c r="K242" s="130"/>
      <c r="L242" s="224"/>
      <c r="M242" s="224"/>
      <c r="N242" s="224"/>
      <c r="O242" s="224"/>
      <c r="P242" s="224"/>
      <c r="Q242" s="224"/>
      <c r="R242" s="224"/>
      <c r="S242" s="224"/>
      <c r="T242" s="224"/>
      <c r="U242" s="224"/>
      <c r="V242" s="224"/>
    </row>
    <row r="243" spans="1:22" ht="15" hidden="1" customHeight="1" x14ac:dyDescent="0.25">
      <c r="C243" s="130"/>
      <c r="D243" s="130"/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</row>
    <row r="244" spans="1:22" x14ac:dyDescent="0.25">
      <c r="C244" s="130"/>
    </row>
  </sheetData>
  <dataConsolidate>
    <dataRefs count="1">
      <dataRef name="=suma($G$5:$G$9)" r:id="rId1"/>
    </dataRefs>
  </dataConsolidate>
  <mergeCells count="33">
    <mergeCell ref="B238:C238"/>
    <mergeCell ref="B224:G224"/>
    <mergeCell ref="V224:V225"/>
    <mergeCell ref="V3:V4"/>
    <mergeCell ref="O3:O4"/>
    <mergeCell ref="N3:N4"/>
    <mergeCell ref="F3:F4"/>
    <mergeCell ref="H224:M224"/>
    <mergeCell ref="H3:H4"/>
    <mergeCell ref="J3:J4"/>
    <mergeCell ref="K3:K4"/>
    <mergeCell ref="L3:L4"/>
    <mergeCell ref="M3:M4"/>
    <mergeCell ref="I3:I4"/>
    <mergeCell ref="P3:R3"/>
    <mergeCell ref="B2:C2"/>
    <mergeCell ref="D2:E2"/>
    <mergeCell ref="B3:C3"/>
    <mergeCell ref="D3:E3"/>
    <mergeCell ref="G3:G4"/>
    <mergeCell ref="A196:A200"/>
    <mergeCell ref="S224:U224"/>
    <mergeCell ref="A21:A25"/>
    <mergeCell ref="S3:U3"/>
    <mergeCell ref="O224:R224"/>
    <mergeCell ref="A105:A109"/>
    <mergeCell ref="A7:A11"/>
    <mergeCell ref="A154:A158"/>
    <mergeCell ref="A56:A57"/>
    <mergeCell ref="A59:A60"/>
    <mergeCell ref="A182:A186"/>
    <mergeCell ref="A189:A193"/>
    <mergeCell ref="A217:A221"/>
  </mergeCells>
  <conditionalFormatting sqref="D48:E53">
    <cfRule type="expression" dxfId="44" priority="246">
      <formula>AND($B48&lt;&gt;$D48)</formula>
    </cfRule>
  </conditionalFormatting>
  <conditionalFormatting sqref="D55:E60">
    <cfRule type="expression" dxfId="43" priority="159">
      <formula>AND($B55&lt;&gt;$D55)</formula>
    </cfRule>
  </conditionalFormatting>
  <conditionalFormatting sqref="D153:E158">
    <cfRule type="expression" dxfId="42" priority="133">
      <formula>AND($B153&lt;&gt;$D153)</formula>
    </cfRule>
  </conditionalFormatting>
  <conditionalFormatting sqref="E34:E39">
    <cfRule type="expression" dxfId="41" priority="120">
      <formula>AND($C34&lt;&gt;$E34)</formula>
    </cfRule>
  </conditionalFormatting>
  <conditionalFormatting sqref="D34:D39">
    <cfRule type="expression" dxfId="40" priority="121">
      <formula>AND($B34&lt;&gt;$D34)</formula>
    </cfRule>
  </conditionalFormatting>
  <conditionalFormatting sqref="D104:E109">
    <cfRule type="expression" dxfId="39" priority="112">
      <formula>AND($B104&lt;&gt;$D104)</formula>
    </cfRule>
  </conditionalFormatting>
  <conditionalFormatting sqref="D132:E137">
    <cfRule type="expression" dxfId="38" priority="101">
      <formula>AND($B132&lt;&gt;$D132)</formula>
    </cfRule>
  </conditionalFormatting>
  <conditionalFormatting sqref="D132:D137">
    <cfRule type="expression" dxfId="37" priority="100">
      <formula>AND($B132&lt;&gt;$D132)</formula>
    </cfRule>
  </conditionalFormatting>
  <conditionalFormatting sqref="E132:E137">
    <cfRule type="expression" dxfId="36" priority="99">
      <formula>AND($C132&lt;&gt;$E132)</formula>
    </cfRule>
  </conditionalFormatting>
  <conditionalFormatting sqref="D181:D186">
    <cfRule type="expression" dxfId="35" priority="97">
      <formula>AND($B181&lt;&gt;$D181)</formula>
    </cfRule>
  </conditionalFormatting>
  <conditionalFormatting sqref="E181:E186">
    <cfRule type="expression" dxfId="34" priority="96">
      <formula>AND($C181&lt;&gt;$E181)</formula>
    </cfRule>
  </conditionalFormatting>
  <conditionalFormatting sqref="D181:D186">
    <cfRule type="expression" dxfId="33" priority="95">
      <formula>AND($B181&lt;&gt;$D181)</formula>
    </cfRule>
  </conditionalFormatting>
  <conditionalFormatting sqref="E181:E186">
    <cfRule type="expression" dxfId="32" priority="94">
      <formula>AND($C181&lt;&gt;$E181)</formula>
    </cfRule>
  </conditionalFormatting>
  <conditionalFormatting sqref="E13:E18">
    <cfRule type="expression" dxfId="31" priority="88">
      <formula>AND($C13&lt;&gt;$E13)</formula>
    </cfRule>
  </conditionalFormatting>
  <conditionalFormatting sqref="D13:D18">
    <cfRule type="expression" dxfId="30" priority="89">
      <formula>AND($B13&lt;&gt;$D13)</formula>
    </cfRule>
  </conditionalFormatting>
  <conditionalFormatting sqref="D83:E88">
    <cfRule type="expression" dxfId="29" priority="56">
      <formula>AND($B83&lt;&gt;$D83)</formula>
    </cfRule>
  </conditionalFormatting>
  <conditionalFormatting sqref="D5:E11">
    <cfRule type="expression" dxfId="28" priority="46">
      <formula>AND($B5&lt;&gt;$D5)</formula>
    </cfRule>
  </conditionalFormatting>
  <conditionalFormatting sqref="D5:D11">
    <cfRule type="expression" dxfId="27" priority="45">
      <formula>AND($B5&lt;&gt;$D5)</formula>
    </cfRule>
  </conditionalFormatting>
  <conditionalFormatting sqref="E5:E11">
    <cfRule type="expression" dxfId="26" priority="44">
      <formula>AND($C5&lt;&gt;$E5)</formula>
    </cfRule>
  </conditionalFormatting>
  <conditionalFormatting sqref="D90:E95">
    <cfRule type="expression" dxfId="25" priority="43">
      <formula>AND($B90&lt;&gt;$D90)</formula>
    </cfRule>
  </conditionalFormatting>
  <conditionalFormatting sqref="E139:E144">
    <cfRule type="expression" dxfId="24" priority="40">
      <formula>AND($C139&lt;&gt;$E139)</formula>
    </cfRule>
  </conditionalFormatting>
  <conditionalFormatting sqref="D139:D144">
    <cfRule type="expression" dxfId="23" priority="41">
      <formula>AND($B139&lt;&gt;$D139)</formula>
    </cfRule>
  </conditionalFormatting>
  <conditionalFormatting sqref="D97:E102">
    <cfRule type="expression" dxfId="22" priority="37">
      <formula>AND($B97&lt;&gt;$D97)</formula>
    </cfRule>
  </conditionalFormatting>
  <conditionalFormatting sqref="D146:E151">
    <cfRule type="expression" dxfId="21" priority="36">
      <formula>AND($B146&lt;&gt;$D146)</formula>
    </cfRule>
  </conditionalFormatting>
  <conditionalFormatting sqref="D195:E200">
    <cfRule type="expression" dxfId="20" priority="35">
      <formula>AND($B195&lt;&gt;$D195)</formula>
    </cfRule>
  </conditionalFormatting>
  <conditionalFormatting sqref="D160:E165">
    <cfRule type="expression" dxfId="19" priority="30">
      <formula>AND($B160&lt;&gt;$D160)</formula>
    </cfRule>
  </conditionalFormatting>
  <conditionalFormatting sqref="D167:E172">
    <cfRule type="expression" dxfId="18" priority="28">
      <formula>AND($B167&lt;&gt;$D167)</formula>
    </cfRule>
  </conditionalFormatting>
  <conditionalFormatting sqref="D174:E179">
    <cfRule type="expression" dxfId="17" priority="26">
      <formula>AND($B174&lt;&gt;$D174)</formula>
    </cfRule>
  </conditionalFormatting>
  <conditionalFormatting sqref="D202:E207">
    <cfRule type="expression" dxfId="16" priority="24">
      <formula>AND($B202&lt;&gt;$D202)</formula>
    </cfRule>
  </conditionalFormatting>
  <conditionalFormatting sqref="D209:E214">
    <cfRule type="expression" dxfId="15" priority="22">
      <formula>AND($B209&lt;&gt;$D209)</formula>
    </cfRule>
  </conditionalFormatting>
  <conditionalFormatting sqref="D216:E221">
    <cfRule type="expression" dxfId="14" priority="20">
      <formula>AND($B216&lt;&gt;$D216)</formula>
    </cfRule>
  </conditionalFormatting>
  <conditionalFormatting sqref="E20:E25">
    <cfRule type="expression" dxfId="13" priority="13">
      <formula>AND($C20&lt;&gt;$E20)</formula>
    </cfRule>
  </conditionalFormatting>
  <conditionalFormatting sqref="D20:D25">
    <cfRule type="expression" dxfId="12" priority="14">
      <formula>AND($B20&lt;&gt;$D20)</formula>
    </cfRule>
  </conditionalFormatting>
  <conditionalFormatting sqref="E27:E32">
    <cfRule type="expression" dxfId="11" priority="11">
      <formula>AND($C27&lt;&gt;$E27)</formula>
    </cfRule>
  </conditionalFormatting>
  <conditionalFormatting sqref="D27:D32">
    <cfRule type="expression" dxfId="10" priority="12">
      <formula>AND($B27&lt;&gt;$D27)</formula>
    </cfRule>
  </conditionalFormatting>
  <conditionalFormatting sqref="E41:E46">
    <cfRule type="expression" dxfId="9" priority="9">
      <formula>AND($C41&lt;&gt;$E41)</formula>
    </cfRule>
  </conditionalFormatting>
  <conditionalFormatting sqref="D41:D46">
    <cfRule type="expression" dxfId="8" priority="10">
      <formula>AND($B41&lt;&gt;$D41)</formula>
    </cfRule>
  </conditionalFormatting>
  <conditionalFormatting sqref="D111:E116">
    <cfRule type="expression" dxfId="7" priority="8">
      <formula>AND($B111&lt;&gt;$D111)</formula>
    </cfRule>
  </conditionalFormatting>
  <conditionalFormatting sqref="D118:E123">
    <cfRule type="expression" dxfId="6" priority="7">
      <formula>AND($B118&lt;&gt;$D118)</formula>
    </cfRule>
  </conditionalFormatting>
  <conditionalFormatting sqref="D125:E130">
    <cfRule type="expression" dxfId="5" priority="6">
      <formula>AND($B125&lt;&gt;$D125)</formula>
    </cfRule>
  </conditionalFormatting>
  <conditionalFormatting sqref="D76:E81">
    <cfRule type="expression" dxfId="4" priority="5">
      <formula>AND($B76&lt;&gt;$D76)</formula>
    </cfRule>
  </conditionalFormatting>
  <conditionalFormatting sqref="D69:E74">
    <cfRule type="expression" dxfId="3" priority="4">
      <formula>AND($B69&lt;&gt;$D69)</formula>
    </cfRule>
  </conditionalFormatting>
  <conditionalFormatting sqref="D62:E67">
    <cfRule type="expression" dxfId="2" priority="3">
      <formula>AND($B62&lt;&gt;$D62)</formula>
    </cfRule>
  </conditionalFormatting>
  <conditionalFormatting sqref="E188:E193">
    <cfRule type="expression" dxfId="1" priority="1">
      <formula>AND($C188&lt;&gt;$E188)</formula>
    </cfRule>
  </conditionalFormatting>
  <conditionalFormatting sqref="D188:D193">
    <cfRule type="expression" dxfId="0" priority="2">
      <formula>AND($B188&lt;&gt;$D188)</formula>
    </cfRule>
  </conditionalFormatting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2"/>
  <sheetViews>
    <sheetView zoomScaleNormal="100" workbookViewId="0">
      <selection activeCell="P48" sqref="P48"/>
    </sheetView>
  </sheetViews>
  <sheetFormatPr baseColWidth="10" defaultColWidth="15.140625" defaultRowHeight="15" x14ac:dyDescent="0.25"/>
  <cols>
    <col min="1" max="1" width="39.28515625" customWidth="1"/>
    <col min="2" max="2" width="15.28515625" customWidth="1"/>
    <col min="3" max="21" width="10.7109375" customWidth="1"/>
    <col min="22" max="22" width="10.85546875" customWidth="1"/>
    <col min="23" max="30" width="10.7109375" customWidth="1"/>
    <col min="31" max="31" width="11.28515625" customWidth="1"/>
    <col min="32" max="32" width="10.7109375" customWidth="1"/>
    <col min="33" max="33" width="10.140625" bestFit="1" customWidth="1"/>
  </cols>
  <sheetData>
    <row r="1" spans="1:33" ht="24.75" x14ac:dyDescent="0.45">
      <c r="A1" s="133" t="s">
        <v>165</v>
      </c>
      <c r="B1" s="80"/>
    </row>
    <row r="3" spans="1:33" x14ac:dyDescent="0.25">
      <c r="A3" s="81"/>
      <c r="B3" s="81"/>
      <c r="C3" s="96">
        <v>45292</v>
      </c>
      <c r="D3" s="96">
        <v>45293</v>
      </c>
      <c r="E3" s="96">
        <v>45294</v>
      </c>
      <c r="F3" s="96">
        <v>45295</v>
      </c>
      <c r="G3" s="96">
        <v>45296</v>
      </c>
      <c r="H3" s="96">
        <v>45297</v>
      </c>
      <c r="I3" s="96">
        <v>45298</v>
      </c>
      <c r="J3" s="96">
        <v>45299</v>
      </c>
      <c r="K3" s="96">
        <v>45300</v>
      </c>
      <c r="L3" s="96">
        <v>45301</v>
      </c>
      <c r="M3" s="96">
        <v>45302</v>
      </c>
      <c r="N3" s="96">
        <v>45303</v>
      </c>
      <c r="O3" s="96">
        <v>45304</v>
      </c>
      <c r="P3" s="96">
        <v>45305</v>
      </c>
      <c r="Q3" s="96">
        <v>45306</v>
      </c>
      <c r="R3" s="96">
        <v>45307</v>
      </c>
      <c r="S3" s="96">
        <v>45308</v>
      </c>
      <c r="T3" s="96">
        <v>45309</v>
      </c>
      <c r="U3" s="96">
        <v>45310</v>
      </c>
      <c r="V3" s="96">
        <v>45311</v>
      </c>
      <c r="W3" s="96">
        <v>45312</v>
      </c>
      <c r="X3" s="96">
        <v>45313</v>
      </c>
      <c r="Y3" s="96">
        <v>45314</v>
      </c>
      <c r="Z3" s="96">
        <v>45315</v>
      </c>
      <c r="AA3" s="96">
        <v>45316</v>
      </c>
      <c r="AB3" s="96">
        <v>45317</v>
      </c>
      <c r="AC3" s="96">
        <v>45318</v>
      </c>
      <c r="AD3" s="96">
        <v>45319</v>
      </c>
      <c r="AE3" s="96">
        <v>45320</v>
      </c>
      <c r="AF3" s="96">
        <v>45321</v>
      </c>
      <c r="AG3" s="96">
        <v>45322</v>
      </c>
    </row>
    <row r="4" spans="1:33" x14ac:dyDescent="0.25">
      <c r="A4" s="82" t="s">
        <v>85</v>
      </c>
      <c r="B4" s="83" t="s">
        <v>86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</row>
    <row r="5" spans="1:33" s="88" customFormat="1" ht="14.25" x14ac:dyDescent="0.2">
      <c r="A5" s="84" t="s">
        <v>74</v>
      </c>
      <c r="B5" s="85">
        <v>43.13</v>
      </c>
      <c r="C5" s="98">
        <f>'Data Ocupacion'!D44</f>
        <v>54</v>
      </c>
      <c r="D5" s="98">
        <f>'Data Ocupacion'!F44</f>
        <v>82</v>
      </c>
      <c r="E5" s="98">
        <f>'Data Ocupacion'!H44</f>
        <v>82</v>
      </c>
      <c r="F5" s="98">
        <f>'Data Ocupacion'!J44</f>
        <v>82</v>
      </c>
      <c r="G5" s="98">
        <f>'Data Ocupacion'!L44</f>
        <v>82</v>
      </c>
      <c r="H5" s="98">
        <f>'Data Ocupacion'!N44</f>
        <v>70</v>
      </c>
      <c r="I5" s="98">
        <f>'Data Ocupacion'!P44</f>
        <v>54</v>
      </c>
      <c r="J5" s="98">
        <f>'Data Ocupacion'!R44</f>
        <v>81</v>
      </c>
      <c r="K5" s="98">
        <f>'Data Ocupacion'!T44</f>
        <v>82</v>
      </c>
      <c r="L5" s="98">
        <f>'Data Ocupacion'!V44</f>
        <v>82</v>
      </c>
      <c r="M5" s="98">
        <f>'Data Ocupacion'!X44</f>
        <v>82</v>
      </c>
      <c r="N5" s="98">
        <f>'Data Ocupacion'!Z44</f>
        <v>82</v>
      </c>
      <c r="O5" s="98">
        <f>'Data Ocupacion'!AB44</f>
        <v>70</v>
      </c>
      <c r="P5" s="98">
        <f>'Data Ocupacion'!AD44</f>
        <v>54</v>
      </c>
      <c r="Q5" s="98">
        <f>'Data Ocupacion'!AF44</f>
        <v>82</v>
      </c>
      <c r="R5" s="98">
        <f>'Data Ocupacion'!AH44</f>
        <v>82</v>
      </c>
      <c r="S5" s="98">
        <f>'Data Ocupacion'!AJ44</f>
        <v>82</v>
      </c>
      <c r="T5" s="98">
        <f>'Data Ocupacion'!AL44</f>
        <v>82</v>
      </c>
      <c r="U5" s="98">
        <f>'Data Ocupacion'!AN44</f>
        <v>82</v>
      </c>
      <c r="V5" s="98">
        <f>'Data Ocupacion'!AP44</f>
        <v>71</v>
      </c>
      <c r="W5" s="98">
        <f>'Data Ocupacion'!AR44</f>
        <v>54</v>
      </c>
      <c r="X5" s="98">
        <f>'Data Ocupacion'!AT44</f>
        <v>82</v>
      </c>
      <c r="Y5" s="98">
        <f>'Data Ocupacion'!AV44</f>
        <v>82</v>
      </c>
      <c r="Z5" s="98">
        <f>'Data Ocupacion'!AX44</f>
        <v>82</v>
      </c>
      <c r="AA5" s="98">
        <f>'Data Ocupacion'!AZ44</f>
        <v>82</v>
      </c>
      <c r="AB5" s="98">
        <f>'Data Ocupacion'!BB44</f>
        <v>44</v>
      </c>
      <c r="AC5" s="98">
        <f>'Data Ocupacion'!BD44</f>
        <v>32</v>
      </c>
      <c r="AD5" s="98">
        <f>'Data Ocupacion'!BF44</f>
        <v>28</v>
      </c>
      <c r="AE5" s="98">
        <f>'Data Ocupacion'!BH44</f>
        <v>82</v>
      </c>
      <c r="AF5" s="98">
        <f>'Data Ocupacion'!BJ44</f>
        <v>82</v>
      </c>
      <c r="AG5" s="98">
        <f>'Data Ocupacion'!BL44</f>
        <v>95</v>
      </c>
    </row>
    <row r="6" spans="1:33" s="88" customFormat="1" ht="14.25" x14ac:dyDescent="0.2">
      <c r="A6" s="84" t="s">
        <v>77</v>
      </c>
      <c r="B6" s="85">
        <v>43.13</v>
      </c>
      <c r="C6" s="98">
        <f>'Data Ocupacion'!D45</f>
        <v>57</v>
      </c>
      <c r="D6" s="98">
        <f>'Data Ocupacion'!F45</f>
        <v>81</v>
      </c>
      <c r="E6" s="98">
        <f>'Data Ocupacion'!H45</f>
        <v>81</v>
      </c>
      <c r="F6" s="98">
        <f>'Data Ocupacion'!J45</f>
        <v>81</v>
      </c>
      <c r="G6" s="98">
        <f>'Data Ocupacion'!L45</f>
        <v>81</v>
      </c>
      <c r="H6" s="98">
        <f>'Data Ocupacion'!N45</f>
        <v>73</v>
      </c>
      <c r="I6" s="98">
        <f>'Data Ocupacion'!P45</f>
        <v>57</v>
      </c>
      <c r="J6" s="98">
        <f>'Data Ocupacion'!R45</f>
        <v>81</v>
      </c>
      <c r="K6" s="98">
        <f>'Data Ocupacion'!T45</f>
        <v>81</v>
      </c>
      <c r="L6" s="98">
        <f>'Data Ocupacion'!V45</f>
        <v>81</v>
      </c>
      <c r="M6" s="98">
        <f>'Data Ocupacion'!X45</f>
        <v>81</v>
      </c>
      <c r="N6" s="98">
        <f>'Data Ocupacion'!Z45</f>
        <v>81</v>
      </c>
      <c r="O6" s="98">
        <f>'Data Ocupacion'!AB45</f>
        <v>73</v>
      </c>
      <c r="P6" s="98">
        <f>'Data Ocupacion'!AD45</f>
        <v>57</v>
      </c>
      <c r="Q6" s="98">
        <f>'Data Ocupacion'!AF45</f>
        <v>81</v>
      </c>
      <c r="R6" s="98">
        <f>'Data Ocupacion'!AH45</f>
        <v>81</v>
      </c>
      <c r="S6" s="98">
        <f>'Data Ocupacion'!AJ45</f>
        <v>81</v>
      </c>
      <c r="T6" s="98">
        <f>'Data Ocupacion'!AL45</f>
        <v>81</v>
      </c>
      <c r="U6" s="98">
        <f>'Data Ocupacion'!AN45</f>
        <v>81</v>
      </c>
      <c r="V6" s="98">
        <f>'Data Ocupacion'!AP45</f>
        <v>74</v>
      </c>
      <c r="W6" s="98">
        <f>'Data Ocupacion'!AR45</f>
        <v>57</v>
      </c>
      <c r="X6" s="98">
        <f>'Data Ocupacion'!AT45</f>
        <v>81</v>
      </c>
      <c r="Y6" s="98">
        <f>'Data Ocupacion'!AV45</f>
        <v>81</v>
      </c>
      <c r="Z6" s="98">
        <f>'Data Ocupacion'!AX45</f>
        <v>81</v>
      </c>
      <c r="AA6" s="98">
        <f>'Data Ocupacion'!AZ45</f>
        <v>81</v>
      </c>
      <c r="AB6" s="98">
        <f>'Data Ocupacion'!BB45</f>
        <v>41</v>
      </c>
      <c r="AC6" s="98">
        <f>'Data Ocupacion'!BD45</f>
        <v>33</v>
      </c>
      <c r="AD6" s="98">
        <f>'Data Ocupacion'!BF45</f>
        <v>29</v>
      </c>
      <c r="AE6" s="98">
        <f>'Data Ocupacion'!BH45</f>
        <v>81</v>
      </c>
      <c r="AF6" s="98">
        <f>'Data Ocupacion'!BJ45</f>
        <v>81</v>
      </c>
      <c r="AG6" s="98">
        <f>'Data Ocupacion'!BL45</f>
        <v>95</v>
      </c>
    </row>
    <row r="7" spans="1:33" s="88" customFormat="1" ht="14.25" x14ac:dyDescent="0.2">
      <c r="A7" s="84" t="s">
        <v>73</v>
      </c>
      <c r="B7" s="85">
        <v>29.11</v>
      </c>
      <c r="C7" s="98">
        <f>'Data Ocupacion'!D46</f>
        <v>0</v>
      </c>
      <c r="D7" s="98">
        <f>'Data Ocupacion'!F46</f>
        <v>0</v>
      </c>
      <c r="E7" s="98">
        <f>'Data Ocupacion'!H46</f>
        <v>0</v>
      </c>
      <c r="F7" s="98">
        <f>'Data Ocupacion'!J46</f>
        <v>0</v>
      </c>
      <c r="G7" s="98">
        <f>'Data Ocupacion'!L46</f>
        <v>0</v>
      </c>
      <c r="H7" s="98">
        <f>'Data Ocupacion'!N46</f>
        <v>0</v>
      </c>
      <c r="I7" s="98">
        <f>'Data Ocupacion'!P46</f>
        <v>0</v>
      </c>
      <c r="J7" s="98">
        <f>'Data Ocupacion'!R46</f>
        <v>0</v>
      </c>
      <c r="K7" s="98">
        <f>'Data Ocupacion'!T46</f>
        <v>0</v>
      </c>
      <c r="L7" s="98">
        <f>'Data Ocupacion'!V46</f>
        <v>0</v>
      </c>
      <c r="M7" s="98">
        <f>'Data Ocupacion'!X46</f>
        <v>0</v>
      </c>
      <c r="N7" s="98">
        <f>'Data Ocupacion'!Z46</f>
        <v>0</v>
      </c>
      <c r="O7" s="98">
        <f>'Data Ocupacion'!AB46</f>
        <v>0</v>
      </c>
      <c r="P7" s="98">
        <f>'Data Ocupacion'!AD46</f>
        <v>0</v>
      </c>
      <c r="Q7" s="98">
        <f>'Data Ocupacion'!AF46</f>
        <v>0</v>
      </c>
      <c r="R7" s="98">
        <f>'Data Ocupacion'!AH46</f>
        <v>0</v>
      </c>
      <c r="S7" s="98">
        <f>'Data Ocupacion'!AJ46</f>
        <v>0</v>
      </c>
      <c r="T7" s="98">
        <f>'Data Ocupacion'!AL46</f>
        <v>0</v>
      </c>
      <c r="U7" s="98">
        <f>'Data Ocupacion'!AN46</f>
        <v>0</v>
      </c>
      <c r="V7" s="98">
        <f>'Data Ocupacion'!AP46</f>
        <v>0</v>
      </c>
      <c r="W7" s="98">
        <f>'Data Ocupacion'!AR46</f>
        <v>0</v>
      </c>
      <c r="X7" s="98">
        <f>'Data Ocupacion'!AT46</f>
        <v>0</v>
      </c>
      <c r="Y7" s="98">
        <f>'Data Ocupacion'!AV46</f>
        <v>0</v>
      </c>
      <c r="Z7" s="98">
        <f>'Data Ocupacion'!AX46</f>
        <v>0</v>
      </c>
      <c r="AA7" s="98">
        <f>'Data Ocupacion'!AZ46</f>
        <v>0</v>
      </c>
      <c r="AB7" s="98">
        <f>'Data Ocupacion'!BB46</f>
        <v>0</v>
      </c>
      <c r="AC7" s="98">
        <f>'Data Ocupacion'!BD46</f>
        <v>0</v>
      </c>
      <c r="AD7" s="98">
        <f>'Data Ocupacion'!BF46</f>
        <v>0</v>
      </c>
      <c r="AE7" s="98">
        <f>'Data Ocupacion'!BH46</f>
        <v>0</v>
      </c>
      <c r="AF7" s="98">
        <f>'Data Ocupacion'!BJ46</f>
        <v>0</v>
      </c>
      <c r="AG7" s="98">
        <f>'Data Ocupacion'!BL46</f>
        <v>0</v>
      </c>
    </row>
    <row r="8" spans="1:33" s="88" customFormat="1" ht="14.25" x14ac:dyDescent="0.2">
      <c r="A8" s="84" t="s">
        <v>75</v>
      </c>
      <c r="B8" s="85">
        <v>29.11</v>
      </c>
      <c r="C8" s="98">
        <f>'Data Ocupacion'!D47</f>
        <v>0</v>
      </c>
      <c r="D8" s="98">
        <f>'Data Ocupacion'!F47</f>
        <v>0</v>
      </c>
      <c r="E8" s="98">
        <f>'Data Ocupacion'!H47</f>
        <v>0</v>
      </c>
      <c r="F8" s="98">
        <f>'Data Ocupacion'!J47</f>
        <v>0</v>
      </c>
      <c r="G8" s="98">
        <f>'Data Ocupacion'!L47</f>
        <v>0</v>
      </c>
      <c r="H8" s="98">
        <f>'Data Ocupacion'!N47</f>
        <v>0</v>
      </c>
      <c r="I8" s="98">
        <f>'Data Ocupacion'!P47</f>
        <v>0</v>
      </c>
      <c r="J8" s="98">
        <f>'Data Ocupacion'!R47</f>
        <v>0</v>
      </c>
      <c r="K8" s="98">
        <f>'Data Ocupacion'!T47</f>
        <v>0</v>
      </c>
      <c r="L8" s="98">
        <f>'Data Ocupacion'!V47</f>
        <v>0</v>
      </c>
      <c r="M8" s="98">
        <f>'Data Ocupacion'!X47</f>
        <v>0</v>
      </c>
      <c r="N8" s="98">
        <f>'Data Ocupacion'!Z47</f>
        <v>0</v>
      </c>
      <c r="O8" s="98">
        <f>'Data Ocupacion'!AB47</f>
        <v>0</v>
      </c>
      <c r="P8" s="98">
        <f>'Data Ocupacion'!AD47</f>
        <v>0</v>
      </c>
      <c r="Q8" s="98">
        <f>'Data Ocupacion'!AF47</f>
        <v>0</v>
      </c>
      <c r="R8" s="98">
        <f>'Data Ocupacion'!AH47</f>
        <v>0</v>
      </c>
      <c r="S8" s="98">
        <f>'Data Ocupacion'!AJ47</f>
        <v>0</v>
      </c>
      <c r="T8" s="98">
        <f>'Data Ocupacion'!AL47</f>
        <v>0</v>
      </c>
      <c r="U8" s="98">
        <f>'Data Ocupacion'!AN47</f>
        <v>0</v>
      </c>
      <c r="V8" s="98">
        <f>'Data Ocupacion'!AP47</f>
        <v>0</v>
      </c>
      <c r="W8" s="98">
        <f>'Data Ocupacion'!AR47</f>
        <v>0</v>
      </c>
      <c r="X8" s="98">
        <f>'Data Ocupacion'!AT47</f>
        <v>0</v>
      </c>
      <c r="Y8" s="98">
        <f>'Data Ocupacion'!AV47</f>
        <v>0</v>
      </c>
      <c r="Z8" s="98">
        <f>'Data Ocupacion'!AX47</f>
        <v>0</v>
      </c>
      <c r="AA8" s="98">
        <f>'Data Ocupacion'!AZ47</f>
        <v>0</v>
      </c>
      <c r="AB8" s="98">
        <f>'Data Ocupacion'!BB47</f>
        <v>0</v>
      </c>
      <c r="AC8" s="98">
        <f>'Data Ocupacion'!BD47</f>
        <v>0</v>
      </c>
      <c r="AD8" s="98">
        <f>'Data Ocupacion'!BF47</f>
        <v>0</v>
      </c>
      <c r="AE8" s="98">
        <f>'Data Ocupacion'!BH47</f>
        <v>0</v>
      </c>
      <c r="AF8" s="98">
        <f>'Data Ocupacion'!BJ47</f>
        <v>0</v>
      </c>
      <c r="AG8" s="98">
        <f>'Data Ocupacion'!BL47</f>
        <v>0</v>
      </c>
    </row>
    <row r="9" spans="1:33" s="88" customFormat="1" ht="14.25" x14ac:dyDescent="0.2">
      <c r="A9" s="84" t="s">
        <v>123</v>
      </c>
      <c r="B9" s="85">
        <v>25.4</v>
      </c>
      <c r="C9" s="98">
        <f>'Data Ocupacion'!D48</f>
        <v>0</v>
      </c>
      <c r="D9" s="98">
        <f>'Data Ocupacion'!F48</f>
        <v>0</v>
      </c>
      <c r="E9" s="98">
        <f>'Data Ocupacion'!H48</f>
        <v>0</v>
      </c>
      <c r="F9" s="98">
        <f>'Data Ocupacion'!J48</f>
        <v>0</v>
      </c>
      <c r="G9" s="98">
        <f>'Data Ocupacion'!L48</f>
        <v>0</v>
      </c>
      <c r="H9" s="98">
        <f>'Data Ocupacion'!N48</f>
        <v>0</v>
      </c>
      <c r="I9" s="98">
        <f>'Data Ocupacion'!P48</f>
        <v>0</v>
      </c>
      <c r="J9" s="98">
        <f>'Data Ocupacion'!R48</f>
        <v>0</v>
      </c>
      <c r="K9" s="98">
        <f>'Data Ocupacion'!T48</f>
        <v>0</v>
      </c>
      <c r="L9" s="98">
        <f>'Data Ocupacion'!V48</f>
        <v>0</v>
      </c>
      <c r="M9" s="98">
        <f>'Data Ocupacion'!X48</f>
        <v>0</v>
      </c>
      <c r="N9" s="98">
        <f>'Data Ocupacion'!Z48</f>
        <v>0</v>
      </c>
      <c r="O9" s="98">
        <f>'Data Ocupacion'!AB48</f>
        <v>0</v>
      </c>
      <c r="P9" s="98">
        <f>'Data Ocupacion'!AD48</f>
        <v>0</v>
      </c>
      <c r="Q9" s="98">
        <f>'Data Ocupacion'!AF48</f>
        <v>0</v>
      </c>
      <c r="R9" s="98">
        <f>'Data Ocupacion'!AH48</f>
        <v>0</v>
      </c>
      <c r="S9" s="98">
        <f>'Data Ocupacion'!AJ48</f>
        <v>0</v>
      </c>
      <c r="T9" s="98">
        <f>'Data Ocupacion'!AL48</f>
        <v>0</v>
      </c>
      <c r="U9" s="98">
        <f>'Data Ocupacion'!AN48</f>
        <v>0</v>
      </c>
      <c r="V9" s="98">
        <f>'Data Ocupacion'!AP48</f>
        <v>0</v>
      </c>
      <c r="W9" s="98">
        <f>'Data Ocupacion'!AR48</f>
        <v>0</v>
      </c>
      <c r="X9" s="98">
        <f>'Data Ocupacion'!AT48</f>
        <v>0</v>
      </c>
      <c r="Y9" s="98">
        <f>'Data Ocupacion'!AV48</f>
        <v>0</v>
      </c>
      <c r="Z9" s="98">
        <f>'Data Ocupacion'!AX48</f>
        <v>0</v>
      </c>
      <c r="AA9" s="98">
        <f>'Data Ocupacion'!AZ48</f>
        <v>0</v>
      </c>
      <c r="AB9" s="98">
        <f>'Data Ocupacion'!BB48</f>
        <v>0</v>
      </c>
      <c r="AC9" s="98">
        <f>'Data Ocupacion'!BD48</f>
        <v>0</v>
      </c>
      <c r="AD9" s="98">
        <f>'Data Ocupacion'!BF48</f>
        <v>0</v>
      </c>
      <c r="AE9" s="98">
        <f>'Data Ocupacion'!BH48</f>
        <v>0</v>
      </c>
      <c r="AF9" s="98">
        <f>'Data Ocupacion'!BJ48</f>
        <v>0</v>
      </c>
      <c r="AG9" s="98">
        <f>'Data Ocupacion'!BL48</f>
        <v>0</v>
      </c>
    </row>
    <row r="10" spans="1:33" s="88" customFormat="1" ht="14.25" x14ac:dyDescent="0.2">
      <c r="A10" s="89" t="s">
        <v>76</v>
      </c>
      <c r="B10" s="85">
        <v>25.4</v>
      </c>
      <c r="C10" s="98">
        <f>'Data Ocupacion'!D49</f>
        <v>0</v>
      </c>
      <c r="D10" s="98">
        <f>'Data Ocupacion'!F49</f>
        <v>1</v>
      </c>
      <c r="E10" s="98">
        <f>'Data Ocupacion'!H49</f>
        <v>1</v>
      </c>
      <c r="F10" s="98">
        <f>'Data Ocupacion'!J49</f>
        <v>1</v>
      </c>
      <c r="G10" s="98">
        <f>'Data Ocupacion'!L49</f>
        <v>1</v>
      </c>
      <c r="H10" s="98">
        <f>'Data Ocupacion'!N49</f>
        <v>0</v>
      </c>
      <c r="I10" s="98">
        <f>'Data Ocupacion'!P49</f>
        <v>0</v>
      </c>
      <c r="J10" s="98">
        <f>'Data Ocupacion'!R49</f>
        <v>1</v>
      </c>
      <c r="K10" s="98">
        <f>'Data Ocupacion'!T49</f>
        <v>1</v>
      </c>
      <c r="L10" s="98">
        <f>'Data Ocupacion'!V49</f>
        <v>1</v>
      </c>
      <c r="M10" s="98">
        <f>'Data Ocupacion'!X49</f>
        <v>1</v>
      </c>
      <c r="N10" s="98">
        <f>'Data Ocupacion'!Z49</f>
        <v>1</v>
      </c>
      <c r="O10" s="98">
        <f>'Data Ocupacion'!AB49</f>
        <v>0</v>
      </c>
      <c r="P10" s="98">
        <f>'Data Ocupacion'!AD49</f>
        <v>0</v>
      </c>
      <c r="Q10" s="98">
        <f>'Data Ocupacion'!AF49</f>
        <v>2</v>
      </c>
      <c r="R10" s="98">
        <f>'Data Ocupacion'!AH49</f>
        <v>1</v>
      </c>
      <c r="S10" s="98">
        <f>'Data Ocupacion'!AJ49</f>
        <v>1</v>
      </c>
      <c r="T10" s="98">
        <f>'Data Ocupacion'!AL49</f>
        <v>1</v>
      </c>
      <c r="U10" s="98">
        <f>'Data Ocupacion'!AN49</f>
        <v>1</v>
      </c>
      <c r="V10" s="98">
        <f>'Data Ocupacion'!AP49</f>
        <v>0</v>
      </c>
      <c r="W10" s="98">
        <f>'Data Ocupacion'!AR49</f>
        <v>0</v>
      </c>
      <c r="X10" s="98">
        <f>'Data Ocupacion'!AT49</f>
        <v>1</v>
      </c>
      <c r="Y10" s="98">
        <f>'Data Ocupacion'!AV49</f>
        <v>1</v>
      </c>
      <c r="Z10" s="98">
        <f>'Data Ocupacion'!AX49</f>
        <v>1</v>
      </c>
      <c r="AA10" s="98">
        <f>'Data Ocupacion'!AZ49</f>
        <v>1</v>
      </c>
      <c r="AB10" s="98">
        <f>'Data Ocupacion'!BB49</f>
        <v>1</v>
      </c>
      <c r="AC10" s="98">
        <f>'Data Ocupacion'!BD49</f>
        <v>0</v>
      </c>
      <c r="AD10" s="98">
        <f>'Data Ocupacion'!BF49</f>
        <v>0</v>
      </c>
      <c r="AE10" s="98">
        <f>'Data Ocupacion'!BH49</f>
        <v>1</v>
      </c>
      <c r="AF10" s="98">
        <f>'Data Ocupacion'!BJ49</f>
        <v>1</v>
      </c>
      <c r="AG10" s="98">
        <f>'Data Ocupacion'!BL49</f>
        <v>1</v>
      </c>
    </row>
    <row r="11" spans="1:33" s="88" customFormat="1" ht="14.25" customHeight="1" x14ac:dyDescent="0.2">
      <c r="A11" s="89" t="s">
        <v>161</v>
      </c>
      <c r="B11" s="260">
        <v>35.729999999999997</v>
      </c>
      <c r="C11" s="98">
        <v>1</v>
      </c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T11" s="98"/>
      <c r="V11" s="98"/>
      <c r="X11" s="98"/>
      <c r="Z11" s="98"/>
      <c r="AB11" s="98"/>
      <c r="AD11" s="98"/>
      <c r="AE11" s="98"/>
      <c r="AF11" s="98"/>
      <c r="AG11" s="98"/>
    </row>
    <row r="12" spans="1:33" s="88" customFormat="1" ht="14.25" customHeight="1" x14ac:dyDescent="0.2">
      <c r="A12" s="89" t="s">
        <v>162</v>
      </c>
      <c r="B12" s="260">
        <v>35.729999999999997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T12" s="98"/>
      <c r="V12" s="98"/>
      <c r="X12" s="98"/>
      <c r="Z12" s="98"/>
      <c r="AB12" s="98"/>
      <c r="AD12" s="98"/>
      <c r="AE12" s="98"/>
      <c r="AF12" s="98"/>
      <c r="AG12" s="98"/>
    </row>
    <row r="13" spans="1:33" s="88" customFormat="1" ht="14.25" x14ac:dyDescent="0.2">
      <c r="A13" s="84"/>
      <c r="B13" s="85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T13" s="98"/>
      <c r="V13" s="98"/>
      <c r="X13" s="98"/>
      <c r="Z13" s="98"/>
      <c r="AB13" s="98"/>
      <c r="AD13" s="98"/>
      <c r="AE13" s="98"/>
      <c r="AF13" s="98"/>
      <c r="AG13" s="98"/>
    </row>
    <row r="14" spans="1:33" s="88" customFormat="1" ht="14.25" x14ac:dyDescent="0.2">
      <c r="A14" s="84" t="s">
        <v>87</v>
      </c>
      <c r="B14" s="85">
        <v>43.13</v>
      </c>
      <c r="C14" s="98">
        <f>'Data Ocupacion'!D54</f>
        <v>57</v>
      </c>
      <c r="D14" s="98">
        <f>'Data Ocupacion'!F54</f>
        <v>152</v>
      </c>
      <c r="E14" s="98">
        <f>'Data Ocupacion'!H54</f>
        <v>142</v>
      </c>
      <c r="F14" s="98">
        <f>'Data Ocupacion'!J54</f>
        <v>146</v>
      </c>
      <c r="G14" s="98">
        <f>'Data Ocupacion'!L54</f>
        <v>146</v>
      </c>
      <c r="H14" s="98">
        <f>'Data Ocupacion'!N54</f>
        <v>73</v>
      </c>
      <c r="I14" s="98">
        <f>'Data Ocupacion'!P54</f>
        <v>57</v>
      </c>
      <c r="J14" s="98">
        <f>'Data Ocupacion'!R54</f>
        <v>142</v>
      </c>
      <c r="K14" s="98">
        <f>'Data Ocupacion'!T54</f>
        <v>136</v>
      </c>
      <c r="L14" s="98">
        <f>'Data Ocupacion'!V54</f>
        <v>136</v>
      </c>
      <c r="M14" s="98">
        <f>'Data Ocupacion'!X54</f>
        <v>136</v>
      </c>
      <c r="N14" s="98">
        <f>'Data Ocupacion'!Z54</f>
        <v>136</v>
      </c>
      <c r="O14" s="98">
        <f>'Data Ocupacion'!AB54</f>
        <v>74</v>
      </c>
      <c r="P14" s="98">
        <f>'Data Ocupacion'!AD54</f>
        <v>57</v>
      </c>
      <c r="Q14" s="98">
        <f>'Data Ocupacion'!AF54</f>
        <v>128</v>
      </c>
      <c r="R14" s="98">
        <f>'Data Ocupacion'!AH54</f>
        <v>126</v>
      </c>
      <c r="S14" s="98">
        <f>'Data Ocupacion'!AJ54</f>
        <v>127</v>
      </c>
      <c r="T14" s="98">
        <f>'Data Ocupacion'!AL54</f>
        <v>127</v>
      </c>
      <c r="U14" s="98">
        <f>'Data Ocupacion'!AN54</f>
        <v>128</v>
      </c>
      <c r="V14" s="98">
        <f>'Data Ocupacion'!AP54</f>
        <v>74</v>
      </c>
      <c r="W14" s="98">
        <f>'Data Ocupacion'!AR54</f>
        <v>57</v>
      </c>
      <c r="X14" s="98">
        <f>'Data Ocupacion'!AT54</f>
        <v>119</v>
      </c>
      <c r="Y14" s="98">
        <f>'Data Ocupacion'!AV54</f>
        <v>119</v>
      </c>
      <c r="Z14" s="98">
        <f>'Data Ocupacion'!AX54</f>
        <v>120</v>
      </c>
      <c r="AA14" s="98">
        <f>'Data Ocupacion'!AZ54</f>
        <v>119</v>
      </c>
      <c r="AB14" s="98">
        <f>'Data Ocupacion'!BB54</f>
        <v>83</v>
      </c>
      <c r="AC14" s="98">
        <f>'Data Ocupacion'!BD54</f>
        <v>64</v>
      </c>
      <c r="AD14" s="98">
        <f>'Data Ocupacion'!BF54</f>
        <v>56</v>
      </c>
      <c r="AE14" s="98">
        <f>'Data Ocupacion'!BH54</f>
        <v>119</v>
      </c>
      <c r="AF14" s="98">
        <f>'Data Ocupacion'!BJ54</f>
        <v>118</v>
      </c>
      <c r="AG14" s="98">
        <f>'Data Ocupacion'!BL54</f>
        <v>137</v>
      </c>
    </row>
    <row r="15" spans="1:33" s="88" customFormat="1" ht="14.25" x14ac:dyDescent="0.2">
      <c r="A15" s="84" t="s">
        <v>88</v>
      </c>
      <c r="B15" s="85">
        <v>43.13</v>
      </c>
      <c r="C15" s="98">
        <f>'Data Ocupacion'!D55</f>
        <v>59</v>
      </c>
      <c r="D15" s="98">
        <f>'Data Ocupacion'!F55</f>
        <v>150</v>
      </c>
      <c r="E15" s="98">
        <f>'Data Ocupacion'!H55</f>
        <v>141</v>
      </c>
      <c r="F15" s="98">
        <f>'Data Ocupacion'!J55</f>
        <v>144</v>
      </c>
      <c r="G15" s="98">
        <f>'Data Ocupacion'!L55</f>
        <v>144</v>
      </c>
      <c r="H15" s="98">
        <f>'Data Ocupacion'!N55</f>
        <v>73</v>
      </c>
      <c r="I15" s="98">
        <f>'Data Ocupacion'!P55</f>
        <v>57</v>
      </c>
      <c r="J15" s="98">
        <f>'Data Ocupacion'!R55</f>
        <v>136</v>
      </c>
      <c r="K15" s="98">
        <f>'Data Ocupacion'!T55</f>
        <v>133</v>
      </c>
      <c r="L15" s="98">
        <f>'Data Ocupacion'!V55</f>
        <v>133</v>
      </c>
      <c r="M15" s="98">
        <f>'Data Ocupacion'!X55</f>
        <v>134</v>
      </c>
      <c r="N15" s="98">
        <f>'Data Ocupacion'!Z55</f>
        <v>134</v>
      </c>
      <c r="O15" s="98">
        <f>'Data Ocupacion'!AB55</f>
        <v>74</v>
      </c>
      <c r="P15" s="98">
        <f>'Data Ocupacion'!AD55</f>
        <v>57</v>
      </c>
      <c r="Q15" s="98">
        <f>'Data Ocupacion'!AF55</f>
        <v>125</v>
      </c>
      <c r="R15" s="98">
        <f>'Data Ocupacion'!AH55</f>
        <v>124</v>
      </c>
      <c r="S15" s="98">
        <f>'Data Ocupacion'!AJ55</f>
        <v>125</v>
      </c>
      <c r="T15" s="98">
        <f>'Data Ocupacion'!AL55</f>
        <v>124</v>
      </c>
      <c r="U15" s="98">
        <f>'Data Ocupacion'!AN55</f>
        <v>124</v>
      </c>
      <c r="V15" s="98">
        <f>'Data Ocupacion'!AP55</f>
        <v>74</v>
      </c>
      <c r="W15" s="98">
        <f>'Data Ocupacion'!AR55</f>
        <v>57</v>
      </c>
      <c r="X15" s="98">
        <f>'Data Ocupacion'!AT55</f>
        <v>117</v>
      </c>
      <c r="Y15" s="98">
        <f>'Data Ocupacion'!AV55</f>
        <v>117</v>
      </c>
      <c r="Z15" s="98">
        <f>'Data Ocupacion'!AX55</f>
        <v>117</v>
      </c>
      <c r="AA15" s="98">
        <f>'Data Ocupacion'!AZ55</f>
        <v>117</v>
      </c>
      <c r="AB15" s="98">
        <f>'Data Ocupacion'!BB55</f>
        <v>80</v>
      </c>
      <c r="AC15" s="98">
        <f>'Data Ocupacion'!BD55</f>
        <v>64</v>
      </c>
      <c r="AD15" s="98">
        <f>'Data Ocupacion'!BF55</f>
        <v>58</v>
      </c>
      <c r="AE15" s="98">
        <f>'Data Ocupacion'!BH55</f>
        <v>116</v>
      </c>
      <c r="AF15" s="98">
        <f>'Data Ocupacion'!BJ55</f>
        <v>116</v>
      </c>
      <c r="AG15" s="98">
        <f>'Data Ocupacion'!BL55</f>
        <v>130</v>
      </c>
    </row>
    <row r="16" spans="1:33" s="88" customFormat="1" ht="14.25" x14ac:dyDescent="0.2">
      <c r="A16" s="84" t="s">
        <v>89</v>
      </c>
      <c r="B16" s="85">
        <v>29.11</v>
      </c>
      <c r="C16" s="98">
        <f>'Data Ocupacion'!D56</f>
        <v>0</v>
      </c>
      <c r="D16" s="98">
        <f>'Data Ocupacion'!F56</f>
        <v>0</v>
      </c>
      <c r="E16" s="98">
        <f>'Data Ocupacion'!H56</f>
        <v>0</v>
      </c>
      <c r="F16" s="98">
        <f>'Data Ocupacion'!J56</f>
        <v>0</v>
      </c>
      <c r="G16" s="98">
        <f>'Data Ocupacion'!L56</f>
        <v>0</v>
      </c>
      <c r="H16" s="98">
        <f>'Data Ocupacion'!N56</f>
        <v>0</v>
      </c>
      <c r="I16" s="98">
        <f>'Data Ocupacion'!P56</f>
        <v>0</v>
      </c>
      <c r="J16" s="98">
        <f>'Data Ocupacion'!R56</f>
        <v>0</v>
      </c>
      <c r="K16" s="98">
        <f>'Data Ocupacion'!T56</f>
        <v>0</v>
      </c>
      <c r="L16" s="98">
        <f>'Data Ocupacion'!V56</f>
        <v>0</v>
      </c>
      <c r="M16" s="98">
        <f>'Data Ocupacion'!X56</f>
        <v>0</v>
      </c>
      <c r="N16" s="98">
        <f>'Data Ocupacion'!Z56</f>
        <v>0</v>
      </c>
      <c r="O16" s="98">
        <f>'Data Ocupacion'!AB56</f>
        <v>0</v>
      </c>
      <c r="P16" s="98">
        <f>'Data Ocupacion'!AD56</f>
        <v>0</v>
      </c>
      <c r="Q16" s="98">
        <f>'Data Ocupacion'!AF56</f>
        <v>0</v>
      </c>
      <c r="R16" s="98">
        <f>'Data Ocupacion'!AH56</f>
        <v>0</v>
      </c>
      <c r="S16" s="98">
        <f>'Data Ocupacion'!AJ56</f>
        <v>0</v>
      </c>
      <c r="T16" s="98">
        <f>'Data Ocupacion'!AL56</f>
        <v>0</v>
      </c>
      <c r="U16" s="98">
        <f>'Data Ocupacion'!AN56</f>
        <v>0</v>
      </c>
      <c r="V16" s="98">
        <f>'Data Ocupacion'!AP56</f>
        <v>0</v>
      </c>
      <c r="W16" s="98">
        <f>'Data Ocupacion'!AR56</f>
        <v>0</v>
      </c>
      <c r="X16" s="98">
        <f>'Data Ocupacion'!AT56</f>
        <v>0</v>
      </c>
      <c r="Y16" s="98">
        <f>'Data Ocupacion'!AV56</f>
        <v>0</v>
      </c>
      <c r="Z16" s="98">
        <f>'Data Ocupacion'!AX56</f>
        <v>0</v>
      </c>
      <c r="AA16" s="98">
        <f>'Data Ocupacion'!AZ56</f>
        <v>0</v>
      </c>
      <c r="AB16" s="98">
        <f>'Data Ocupacion'!BB56</f>
        <v>0</v>
      </c>
      <c r="AC16" s="98">
        <f>'Data Ocupacion'!BD56</f>
        <v>0</v>
      </c>
      <c r="AD16" s="98">
        <f>'Data Ocupacion'!BF56</f>
        <v>0</v>
      </c>
      <c r="AE16" s="98">
        <f>'Data Ocupacion'!BH56</f>
        <v>0</v>
      </c>
      <c r="AF16" s="98">
        <f>'Data Ocupacion'!BJ56</f>
        <v>0</v>
      </c>
      <c r="AG16" s="98">
        <f>'Data Ocupacion'!BL56</f>
        <v>0</v>
      </c>
    </row>
    <row r="17" spans="1:33" s="88" customFormat="1" ht="14.25" x14ac:dyDescent="0.2">
      <c r="A17" s="84" t="s">
        <v>90</v>
      </c>
      <c r="B17" s="85">
        <v>29.11</v>
      </c>
      <c r="C17" s="98">
        <f>'Data Ocupacion'!D57</f>
        <v>0</v>
      </c>
      <c r="D17" s="98">
        <f>'Data Ocupacion'!F57</f>
        <v>0</v>
      </c>
      <c r="E17" s="98">
        <f>'Data Ocupacion'!H57</f>
        <v>0</v>
      </c>
      <c r="F17" s="98">
        <f>'Data Ocupacion'!J57</f>
        <v>0</v>
      </c>
      <c r="G17" s="98">
        <f>'Data Ocupacion'!L57</f>
        <v>0</v>
      </c>
      <c r="H17" s="98">
        <f>'Data Ocupacion'!N57</f>
        <v>0</v>
      </c>
      <c r="I17" s="98">
        <f>'Data Ocupacion'!P57</f>
        <v>0</v>
      </c>
      <c r="J17" s="98">
        <f>'Data Ocupacion'!R57</f>
        <v>0</v>
      </c>
      <c r="K17" s="98">
        <f>'Data Ocupacion'!T57</f>
        <v>0</v>
      </c>
      <c r="L17" s="98">
        <f>'Data Ocupacion'!V57</f>
        <v>0</v>
      </c>
      <c r="M17" s="98">
        <f>'Data Ocupacion'!X57</f>
        <v>0</v>
      </c>
      <c r="N17" s="98">
        <f>'Data Ocupacion'!Z57</f>
        <v>0</v>
      </c>
      <c r="O17" s="98">
        <f>'Data Ocupacion'!AB57</f>
        <v>0</v>
      </c>
      <c r="P17" s="98">
        <f>'Data Ocupacion'!AD57</f>
        <v>0</v>
      </c>
      <c r="Q17" s="98">
        <f>'Data Ocupacion'!AF57</f>
        <v>0</v>
      </c>
      <c r="R17" s="98">
        <f>'Data Ocupacion'!AH57</f>
        <v>0</v>
      </c>
      <c r="S17" s="98">
        <f>'Data Ocupacion'!AJ57</f>
        <v>0</v>
      </c>
      <c r="T17" s="98">
        <f>'Data Ocupacion'!AL57</f>
        <v>0</v>
      </c>
      <c r="U17" s="98">
        <f>'Data Ocupacion'!AN57</f>
        <v>0</v>
      </c>
      <c r="V17" s="98">
        <f>'Data Ocupacion'!AP57</f>
        <v>0</v>
      </c>
      <c r="W17" s="98">
        <f>'Data Ocupacion'!AR57</f>
        <v>0</v>
      </c>
      <c r="X17" s="98">
        <f>'Data Ocupacion'!AT57</f>
        <v>0</v>
      </c>
      <c r="Y17" s="98">
        <f>'Data Ocupacion'!AV57</f>
        <v>0</v>
      </c>
      <c r="Z17" s="98">
        <f>'Data Ocupacion'!AX57</f>
        <v>0</v>
      </c>
      <c r="AA17" s="98">
        <f>'Data Ocupacion'!AZ57</f>
        <v>0</v>
      </c>
      <c r="AB17" s="98">
        <f>'Data Ocupacion'!BB57</f>
        <v>0</v>
      </c>
      <c r="AC17" s="98">
        <f>'Data Ocupacion'!BD57</f>
        <v>0</v>
      </c>
      <c r="AD17" s="98">
        <f>'Data Ocupacion'!BF57</f>
        <v>0</v>
      </c>
      <c r="AE17" s="98">
        <f>'Data Ocupacion'!BH57</f>
        <v>0</v>
      </c>
      <c r="AF17" s="98">
        <f>'Data Ocupacion'!BJ57</f>
        <v>0</v>
      </c>
      <c r="AG17" s="98">
        <f>'Data Ocupacion'!BL57</f>
        <v>0</v>
      </c>
    </row>
    <row r="18" spans="1:33" s="88" customFormat="1" ht="14.25" x14ac:dyDescent="0.2">
      <c r="A18" s="84" t="s">
        <v>91</v>
      </c>
      <c r="B18" s="85">
        <v>25.4</v>
      </c>
      <c r="C18" s="98">
        <f>'Data Ocupacion'!D59</f>
        <v>0</v>
      </c>
      <c r="D18" s="98">
        <f>'Data Ocupacion'!F59</f>
        <v>2</v>
      </c>
      <c r="E18" s="98">
        <f>'Data Ocupacion'!H59</f>
        <v>2</v>
      </c>
      <c r="F18" s="98">
        <f>'Data Ocupacion'!J59</f>
        <v>2</v>
      </c>
      <c r="G18" s="98">
        <f>'Data Ocupacion'!L59</f>
        <v>2</v>
      </c>
      <c r="H18" s="98">
        <f>'Data Ocupacion'!N59</f>
        <v>0</v>
      </c>
      <c r="I18" s="98">
        <f>'Data Ocupacion'!P59</f>
        <v>0</v>
      </c>
      <c r="J18" s="98">
        <f>'Data Ocupacion'!R59</f>
        <v>2</v>
      </c>
      <c r="K18" s="98">
        <f>'Data Ocupacion'!T59</f>
        <v>2</v>
      </c>
      <c r="L18" s="98">
        <f>'Data Ocupacion'!V59</f>
        <v>2</v>
      </c>
      <c r="M18" s="98">
        <f>'Data Ocupacion'!X59</f>
        <v>2</v>
      </c>
      <c r="N18" s="98">
        <f>'Data Ocupacion'!Z59</f>
        <v>2</v>
      </c>
      <c r="O18" s="98">
        <f>'Data Ocupacion'!AB59</f>
        <v>0</v>
      </c>
      <c r="P18" s="98">
        <f>'Data Ocupacion'!AD59</f>
        <v>0</v>
      </c>
      <c r="Q18" s="98">
        <f>'Data Ocupacion'!AF59</f>
        <v>3</v>
      </c>
      <c r="R18" s="98">
        <f>'Data Ocupacion'!AH59</f>
        <v>2</v>
      </c>
      <c r="S18" s="98">
        <f>'Data Ocupacion'!AJ59</f>
        <v>2</v>
      </c>
      <c r="T18" s="98">
        <f>'Data Ocupacion'!AL59</f>
        <v>2</v>
      </c>
      <c r="U18" s="98">
        <f>'Data Ocupacion'!AN59</f>
        <v>2</v>
      </c>
      <c r="V18" s="98">
        <f>'Data Ocupacion'!AP59</f>
        <v>0</v>
      </c>
      <c r="W18" s="98">
        <f>'Data Ocupacion'!AR59</f>
        <v>0</v>
      </c>
      <c r="X18" s="98">
        <f>'Data Ocupacion'!AT59</f>
        <v>2</v>
      </c>
      <c r="Y18" s="98">
        <f>'Data Ocupacion'!AV59</f>
        <v>2</v>
      </c>
      <c r="Z18" s="98">
        <f>'Data Ocupacion'!AX59</f>
        <v>2</v>
      </c>
      <c r="AA18" s="98">
        <f>'Data Ocupacion'!AZ59</f>
        <v>2</v>
      </c>
      <c r="AB18" s="98">
        <f>'Data Ocupacion'!BB59</f>
        <v>2</v>
      </c>
      <c r="AC18" s="98">
        <f>'Data Ocupacion'!BD59</f>
        <v>0</v>
      </c>
      <c r="AD18" s="98">
        <f>'Data Ocupacion'!BF59</f>
        <v>0</v>
      </c>
      <c r="AE18" s="98">
        <f>'Data Ocupacion'!BH59</f>
        <v>2</v>
      </c>
      <c r="AF18" s="98">
        <f>'Data Ocupacion'!BJ59</f>
        <v>2</v>
      </c>
      <c r="AG18" s="98">
        <f>'Data Ocupacion'!BL59</f>
        <v>2</v>
      </c>
    </row>
    <row r="19" spans="1:33" s="88" customFormat="1" ht="14.25" x14ac:dyDescent="0.2">
      <c r="A19" s="227" t="s">
        <v>124</v>
      </c>
      <c r="B19" s="85">
        <v>25.4</v>
      </c>
      <c r="C19" s="86">
        <v>0</v>
      </c>
      <c r="D19" s="86">
        <v>0</v>
      </c>
      <c r="E19" s="86">
        <v>0</v>
      </c>
      <c r="F19" s="86">
        <v>0</v>
      </c>
      <c r="G19" s="86">
        <v>0</v>
      </c>
      <c r="H19" s="86">
        <v>0</v>
      </c>
      <c r="I19" s="86">
        <v>0</v>
      </c>
      <c r="J19" s="86">
        <v>0</v>
      </c>
      <c r="K19" s="86">
        <v>0</v>
      </c>
      <c r="L19" s="86">
        <v>0</v>
      </c>
      <c r="M19" s="86">
        <v>0</v>
      </c>
      <c r="N19" s="86">
        <v>0</v>
      </c>
      <c r="O19" s="86">
        <v>0</v>
      </c>
      <c r="P19" s="86">
        <v>0</v>
      </c>
      <c r="Q19" s="86">
        <v>0</v>
      </c>
      <c r="R19" s="86">
        <v>0</v>
      </c>
      <c r="S19" s="86">
        <v>0</v>
      </c>
      <c r="T19" s="86">
        <v>0</v>
      </c>
      <c r="U19" s="86">
        <v>0</v>
      </c>
      <c r="V19" s="86">
        <v>0</v>
      </c>
      <c r="W19" s="86">
        <v>0</v>
      </c>
      <c r="X19" s="86">
        <v>0</v>
      </c>
      <c r="Y19" s="86">
        <v>0</v>
      </c>
      <c r="Z19" s="98">
        <v>0</v>
      </c>
      <c r="AA19" s="86">
        <v>0</v>
      </c>
      <c r="AB19" s="86">
        <v>0</v>
      </c>
      <c r="AC19" s="86">
        <v>0</v>
      </c>
      <c r="AD19" s="86">
        <v>0</v>
      </c>
      <c r="AE19" s="98">
        <v>0</v>
      </c>
      <c r="AF19" s="98">
        <v>0</v>
      </c>
      <c r="AG19" s="98">
        <v>0</v>
      </c>
    </row>
    <row r="20" spans="1:33" s="88" customFormat="1" ht="14.25" x14ac:dyDescent="0.2">
      <c r="A20" s="227" t="s">
        <v>159</v>
      </c>
      <c r="B20" s="260">
        <v>35.729999999999997</v>
      </c>
      <c r="C20" s="86">
        <v>2</v>
      </c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98"/>
      <c r="AA20" s="86"/>
      <c r="AB20" s="86"/>
      <c r="AC20" s="86"/>
      <c r="AD20" s="86"/>
      <c r="AE20" s="98"/>
      <c r="AF20" s="98"/>
      <c r="AG20" s="98"/>
    </row>
    <row r="21" spans="1:33" s="88" customFormat="1" ht="14.25" x14ac:dyDescent="0.2">
      <c r="A21" s="227" t="s">
        <v>160</v>
      </c>
      <c r="B21" s="260">
        <v>35.729999999999997</v>
      </c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98"/>
      <c r="AA21" s="86"/>
      <c r="AB21" s="86"/>
      <c r="AC21" s="86"/>
      <c r="AD21" s="86"/>
      <c r="AE21" s="98"/>
      <c r="AF21" s="98"/>
      <c r="AG21" s="98"/>
    </row>
    <row r="22" spans="1:33" x14ac:dyDescent="0.25">
      <c r="A22" s="89" t="s">
        <v>152</v>
      </c>
      <c r="B22" s="85">
        <v>-17.73</v>
      </c>
      <c r="C22" s="86">
        <f>'KM-Servicio'!P5</f>
        <v>0</v>
      </c>
      <c r="D22" s="86">
        <f>'KM-Servicio'!P13</f>
        <v>0</v>
      </c>
      <c r="E22" s="86">
        <f>'KM-Servicio'!P20</f>
        <v>0</v>
      </c>
      <c r="F22" s="86">
        <f>'KM-Servicio'!P27</f>
        <v>0</v>
      </c>
      <c r="G22" s="86">
        <f>'KM-Servicio'!P34</f>
        <v>0</v>
      </c>
      <c r="H22" s="86">
        <f>'KM-Servicio'!P41</f>
        <v>0</v>
      </c>
      <c r="I22" s="86">
        <f>'KM-Servicio'!P48</f>
        <v>0</v>
      </c>
      <c r="J22" s="86">
        <v>0</v>
      </c>
      <c r="K22" s="86">
        <f>'KM-Servicio'!P62</f>
        <v>0</v>
      </c>
      <c r="L22" s="86">
        <f>'KM-Servicio'!P69</f>
        <v>0</v>
      </c>
      <c r="M22" s="86">
        <f>'KM-Servicio'!P76</f>
        <v>0</v>
      </c>
      <c r="N22" s="86">
        <f>'KM-Servicio'!P83</f>
        <v>0</v>
      </c>
      <c r="O22" s="86">
        <f>'KM-Servicio'!P90</f>
        <v>0</v>
      </c>
      <c r="P22" s="86">
        <f>'KM-Servicio'!P97</f>
        <v>0</v>
      </c>
      <c r="Q22" s="86">
        <f>'KM-Servicio'!P104</f>
        <v>4</v>
      </c>
      <c r="R22" s="86">
        <f>'KM-Servicio'!P111</f>
        <v>0</v>
      </c>
      <c r="S22" s="86">
        <f>'KM-Servicio'!P118</f>
        <v>0</v>
      </c>
      <c r="T22" s="86">
        <f>'KM-Servicio'!P125</f>
        <v>0</v>
      </c>
      <c r="U22" s="86">
        <f>'KM-Servicio'!P132</f>
        <v>0</v>
      </c>
      <c r="V22" s="86">
        <f>'KM-Servicio'!P139</f>
        <v>0</v>
      </c>
      <c r="W22" s="86">
        <f>'KM-Servicio'!P146</f>
        <v>0</v>
      </c>
      <c r="X22" s="86">
        <f>'KM-Servicio'!P153</f>
        <v>0</v>
      </c>
      <c r="Y22" s="86">
        <f>'KM-Servicio'!P160</f>
        <v>0</v>
      </c>
      <c r="Z22" s="86">
        <f>'KM-Servicio'!P167</f>
        <v>0</v>
      </c>
      <c r="AA22" s="86">
        <f>'KM-Servicio'!P174</f>
        <v>0</v>
      </c>
      <c r="AB22" s="86">
        <f>'KM-Servicio'!P181</f>
        <v>0</v>
      </c>
      <c r="AC22" s="86">
        <f>'KM-Servicio'!P188</f>
        <v>0</v>
      </c>
      <c r="AD22" s="86">
        <f>'KM-Servicio'!P195</f>
        <v>0</v>
      </c>
      <c r="AE22" s="86">
        <f>'KM-Servicio'!P202</f>
        <v>0</v>
      </c>
      <c r="AF22" s="86">
        <f>'KM-Servicio'!P209</f>
        <v>0</v>
      </c>
      <c r="AG22" s="86">
        <f>'KM-Servicio'!P217</f>
        <v>0</v>
      </c>
    </row>
    <row r="23" spans="1:33" x14ac:dyDescent="0.25">
      <c r="A23" s="89" t="s">
        <v>153</v>
      </c>
      <c r="B23" s="85">
        <v>-17.73</v>
      </c>
      <c r="C23" s="86">
        <f>'KM-Servicio'!S7</f>
        <v>0</v>
      </c>
      <c r="D23" s="86">
        <f>'KM-Servicio'!S14</f>
        <v>1</v>
      </c>
      <c r="E23" s="86">
        <f>'KM-Servicio'!S21</f>
        <v>6</v>
      </c>
      <c r="F23" s="86">
        <f>'KM-Servicio'!S28</f>
        <v>12</v>
      </c>
      <c r="G23" s="86">
        <f>'KM-Servicio'!S35</f>
        <v>5</v>
      </c>
      <c r="H23" s="86">
        <f>'KM-Servicio'!S42</f>
        <v>0</v>
      </c>
      <c r="I23" s="86">
        <f>'KM-Servicio'!S49</f>
        <v>0</v>
      </c>
      <c r="J23" s="86">
        <f>'KM-Servicio'!S56</f>
        <v>3</v>
      </c>
      <c r="K23" s="86">
        <f>'KM-Servicio'!S63</f>
        <v>6</v>
      </c>
      <c r="L23" s="86">
        <f>'KM-Servicio'!S70</f>
        <v>5</v>
      </c>
      <c r="M23" s="86">
        <f>'KM-Servicio'!S77</f>
        <v>4</v>
      </c>
      <c r="N23" s="86">
        <f>'KM-Servicio'!S84</f>
        <v>4</v>
      </c>
      <c r="O23" s="86">
        <f>'KM-Servicio'!S91</f>
        <v>0</v>
      </c>
      <c r="P23" s="86">
        <f>'KM-Servicio'!S98</f>
        <v>0</v>
      </c>
      <c r="Q23" s="86">
        <f>'KM-Servicio'!S105</f>
        <v>1</v>
      </c>
      <c r="R23" s="86">
        <f>'KM-Servicio'!S112</f>
        <v>1</v>
      </c>
      <c r="S23" s="86">
        <f>'KM-Servicio'!S119</f>
        <v>4</v>
      </c>
      <c r="T23" s="86">
        <f>'KM-Servicio'!S126</f>
        <v>3</v>
      </c>
      <c r="U23" s="86">
        <f>'KM-Servicio'!S133</f>
        <v>1</v>
      </c>
      <c r="V23" s="86">
        <f>'KM-Servicio'!S140</f>
        <v>0</v>
      </c>
      <c r="W23" s="86">
        <f>'KM-Servicio'!S147</f>
        <v>0</v>
      </c>
      <c r="X23" s="86">
        <f>'KM-Servicio'!S154</f>
        <v>1</v>
      </c>
      <c r="Y23" s="86">
        <f>'KM-Servicio'!S161</f>
        <v>1</v>
      </c>
      <c r="Z23" s="86">
        <f>'KM-Servicio'!S168</f>
        <v>1</v>
      </c>
      <c r="AA23" s="86">
        <f>'KM-Servicio'!S175</f>
        <v>1</v>
      </c>
      <c r="AB23" s="86">
        <f>'KM-Servicio'!S182</f>
        <v>1</v>
      </c>
      <c r="AC23" s="86">
        <f>'KM-Servicio'!S189</f>
        <v>0</v>
      </c>
      <c r="AD23" s="86">
        <f>'KM-Servicio'!S196</f>
        <v>0</v>
      </c>
      <c r="AE23" s="86">
        <f>'KM-Servicio'!S203</f>
        <v>2</v>
      </c>
      <c r="AF23" s="86">
        <f>'KM-Servicio'!S210</f>
        <v>1</v>
      </c>
      <c r="AG23" s="86">
        <f>'KM-Servicio'!S217</f>
        <v>0</v>
      </c>
    </row>
    <row r="24" spans="1:33" s="130" customFormat="1" x14ac:dyDescent="0.25">
      <c r="A24" s="89" t="s">
        <v>155</v>
      </c>
      <c r="B24" s="85">
        <v>-14.02</v>
      </c>
      <c r="C24" s="86">
        <f>'KM-Servicio'!T7</f>
        <v>0</v>
      </c>
      <c r="D24" s="86">
        <f>'KM-Servicio'!T14</f>
        <v>0</v>
      </c>
      <c r="E24" s="86">
        <f>'KM-Servicio'!T21</f>
        <v>0</v>
      </c>
      <c r="F24" s="86">
        <f>'KM-Servicio'!T28</f>
        <v>0</v>
      </c>
      <c r="G24" s="86">
        <f>'KM-Servicio'!T35</f>
        <v>0</v>
      </c>
      <c r="H24" s="86">
        <f>'KM-Servicio'!T42</f>
        <v>0</v>
      </c>
      <c r="I24" s="86">
        <f>'KM-Servicio'!T49</f>
        <v>0</v>
      </c>
      <c r="J24" s="86">
        <f>'KM-Servicio'!T56</f>
        <v>0</v>
      </c>
      <c r="K24" s="86">
        <f>'KM-Servicio'!T63</f>
        <v>0</v>
      </c>
      <c r="L24" s="86">
        <f>'KM-Servicio'!T70</f>
        <v>0</v>
      </c>
      <c r="M24" s="86">
        <f>'KM-Servicio'!T77</f>
        <v>0</v>
      </c>
      <c r="N24" s="86">
        <f>'KM-Servicio'!T84</f>
        <v>0</v>
      </c>
      <c r="O24" s="86">
        <f>'KM-Servicio'!T91</f>
        <v>0</v>
      </c>
      <c r="P24" s="86">
        <f>'KM-Servicio'!T98</f>
        <v>0</v>
      </c>
      <c r="Q24" s="86">
        <f>'KM-Servicio'!T105</f>
        <v>0</v>
      </c>
      <c r="R24" s="86">
        <f>'KM-Servicio'!T112</f>
        <v>0</v>
      </c>
      <c r="S24" s="86">
        <f>'KM-Servicio'!T119</f>
        <v>0</v>
      </c>
      <c r="T24" s="86">
        <f>'KM-Servicio'!T126</f>
        <v>0</v>
      </c>
      <c r="U24" s="86">
        <f>'KM-Servicio'!T133</f>
        <v>0</v>
      </c>
      <c r="V24" s="86">
        <f>'KM-Servicio'!T140</f>
        <v>0</v>
      </c>
      <c r="W24" s="86">
        <f>'KM-Servicio'!T147</f>
        <v>0</v>
      </c>
      <c r="X24" s="86">
        <f>'KM-Servicio'!T154</f>
        <v>0</v>
      </c>
      <c r="Y24" s="86">
        <f>'KM-Servicio'!T161</f>
        <v>0</v>
      </c>
      <c r="Z24" s="86">
        <f>'KM-Servicio'!T168</f>
        <v>0</v>
      </c>
      <c r="AA24" s="86">
        <f>'KM-Servicio'!T175</f>
        <v>0</v>
      </c>
      <c r="AB24" s="86">
        <f>'KM-Servicio'!T182</f>
        <v>0</v>
      </c>
      <c r="AC24" s="86">
        <f>'KM-Servicio'!T189</f>
        <v>0</v>
      </c>
      <c r="AD24" s="86">
        <f>'KM-Servicio'!T196</f>
        <v>0</v>
      </c>
      <c r="AE24" s="86">
        <f>'KM-Servicio'!T203</f>
        <v>0</v>
      </c>
      <c r="AF24" s="86">
        <f>'KM-Servicio'!T210</f>
        <v>0</v>
      </c>
      <c r="AG24" s="86">
        <f>'KM-Servicio'!T217</f>
        <v>0</v>
      </c>
    </row>
    <row r="25" spans="1:33" s="130" customFormat="1" x14ac:dyDescent="0.25">
      <c r="A25" s="226" t="s">
        <v>154</v>
      </c>
      <c r="B25" s="85">
        <v>-3.71</v>
      </c>
      <c r="C25" s="86"/>
      <c r="D25" s="86"/>
      <c r="E25" s="86">
        <f>'KM-Servicio'!P22</f>
        <v>0</v>
      </c>
      <c r="F25" s="86"/>
      <c r="G25" s="86">
        <f>'KM-Servicio'!P36</f>
        <v>0</v>
      </c>
      <c r="H25" s="86"/>
      <c r="I25" s="86"/>
      <c r="J25" s="86"/>
      <c r="K25" s="86"/>
      <c r="L25" s="86"/>
      <c r="M25" s="86"/>
      <c r="N25" s="86">
        <f>'KM-Servicio'!P85</f>
        <v>0</v>
      </c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</row>
    <row r="26" spans="1:33" s="130" customFormat="1" x14ac:dyDescent="0.25">
      <c r="A26" s="232" t="s">
        <v>174</v>
      </c>
      <c r="B26" s="85">
        <v>-25.4</v>
      </c>
      <c r="C26" s="86"/>
      <c r="D26" s="86"/>
      <c r="E26" s="86"/>
      <c r="F26" s="86"/>
      <c r="G26" s="86"/>
      <c r="H26" s="86"/>
      <c r="I26" s="86"/>
      <c r="J26" s="86">
        <v>4</v>
      </c>
      <c r="K26" s="86"/>
      <c r="L26" s="86"/>
      <c r="M26" s="86"/>
      <c r="N26" s="86"/>
      <c r="O26" s="86">
        <f>'KM-Servicio'!R90</f>
        <v>0</v>
      </c>
      <c r="P26" s="86"/>
      <c r="Q26" s="86"/>
      <c r="R26" s="86"/>
      <c r="S26" s="86"/>
      <c r="T26" s="86"/>
      <c r="U26" s="86">
        <f>'KM-Servicio'!S167</f>
        <v>1</v>
      </c>
      <c r="V26" s="86"/>
      <c r="W26" s="86"/>
      <c r="X26" s="86"/>
      <c r="Y26" s="86"/>
      <c r="Z26" s="86">
        <v>1</v>
      </c>
      <c r="AA26" s="86"/>
      <c r="AB26" s="86"/>
      <c r="AC26" s="86"/>
      <c r="AD26" s="86"/>
      <c r="AE26" s="86"/>
      <c r="AF26" s="86"/>
      <c r="AG26" s="86">
        <f>'KM-Servicio'!S216</f>
        <v>5</v>
      </c>
    </row>
    <row r="27" spans="1:33" x14ac:dyDescent="0.25">
      <c r="A27" s="90"/>
      <c r="B27" s="85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</row>
    <row r="28" spans="1:33" x14ac:dyDescent="0.25">
      <c r="A28" s="91" t="s">
        <v>84</v>
      </c>
      <c r="B28" s="250">
        <f t="shared" ref="B28:B35" si="0">SUM(C28:AG28)</f>
        <v>4555</v>
      </c>
      <c r="C28" s="94">
        <f>SUM(C5:C11)</f>
        <v>112</v>
      </c>
      <c r="D28" s="94">
        <f t="shared" ref="D28:J28" si="1">SUM(D5:D10)</f>
        <v>164</v>
      </c>
      <c r="E28" s="94">
        <f t="shared" si="1"/>
        <v>164</v>
      </c>
      <c r="F28" s="94">
        <f t="shared" si="1"/>
        <v>164</v>
      </c>
      <c r="G28" s="94">
        <f t="shared" si="1"/>
        <v>164</v>
      </c>
      <c r="H28" s="94">
        <f t="shared" si="1"/>
        <v>143</v>
      </c>
      <c r="I28" s="94">
        <f t="shared" si="1"/>
        <v>111</v>
      </c>
      <c r="J28" s="94">
        <f t="shared" si="1"/>
        <v>163</v>
      </c>
      <c r="K28" s="94">
        <f>SUM(K5:K12)</f>
        <v>164</v>
      </c>
      <c r="L28" s="94">
        <f t="shared" ref="L28:AF28" si="2">SUM(L5:L10)</f>
        <v>164</v>
      </c>
      <c r="M28" s="94">
        <f t="shared" si="2"/>
        <v>164</v>
      </c>
      <c r="N28" s="94">
        <f t="shared" si="2"/>
        <v>164</v>
      </c>
      <c r="O28" s="94">
        <f t="shared" si="2"/>
        <v>143</v>
      </c>
      <c r="P28" s="94">
        <f t="shared" si="2"/>
        <v>111</v>
      </c>
      <c r="Q28" s="94">
        <f t="shared" si="2"/>
        <v>165</v>
      </c>
      <c r="R28" s="94">
        <f t="shared" si="2"/>
        <v>164</v>
      </c>
      <c r="S28" s="94">
        <f t="shared" si="2"/>
        <v>164</v>
      </c>
      <c r="T28" s="94">
        <f t="shared" si="2"/>
        <v>164</v>
      </c>
      <c r="U28" s="94">
        <f t="shared" si="2"/>
        <v>164</v>
      </c>
      <c r="V28" s="94">
        <f t="shared" si="2"/>
        <v>145</v>
      </c>
      <c r="W28" s="94">
        <f t="shared" si="2"/>
        <v>111</v>
      </c>
      <c r="X28" s="94">
        <f t="shared" si="2"/>
        <v>164</v>
      </c>
      <c r="Y28" s="94">
        <f t="shared" si="2"/>
        <v>164</v>
      </c>
      <c r="Z28" s="94">
        <f t="shared" si="2"/>
        <v>164</v>
      </c>
      <c r="AA28" s="94">
        <f t="shared" si="2"/>
        <v>164</v>
      </c>
      <c r="AB28" s="94">
        <f t="shared" si="2"/>
        <v>86</v>
      </c>
      <c r="AC28" s="94">
        <f t="shared" si="2"/>
        <v>65</v>
      </c>
      <c r="AD28" s="94">
        <f t="shared" si="2"/>
        <v>57</v>
      </c>
      <c r="AE28" s="94">
        <f t="shared" si="2"/>
        <v>164</v>
      </c>
      <c r="AF28" s="94">
        <f t="shared" si="2"/>
        <v>164</v>
      </c>
      <c r="AG28" s="94">
        <f t="shared" ref="AG28" si="3">SUM(AG5:AG10)</f>
        <v>191</v>
      </c>
    </row>
    <row r="29" spans="1:33" x14ac:dyDescent="0.25">
      <c r="A29" s="93" t="s">
        <v>65</v>
      </c>
      <c r="B29" s="250">
        <f t="shared" si="0"/>
        <v>6812</v>
      </c>
      <c r="C29" s="94">
        <f>SUM(C14:C20)</f>
        <v>118</v>
      </c>
      <c r="D29" s="94">
        <f t="shared" ref="D29:J29" si="4">SUM(D14:D19)</f>
        <v>304</v>
      </c>
      <c r="E29" s="94">
        <f t="shared" si="4"/>
        <v>285</v>
      </c>
      <c r="F29" s="94">
        <f t="shared" si="4"/>
        <v>292</v>
      </c>
      <c r="G29" s="94">
        <f t="shared" si="4"/>
        <v>292</v>
      </c>
      <c r="H29" s="94">
        <f t="shared" si="4"/>
        <v>146</v>
      </c>
      <c r="I29" s="94">
        <f t="shared" si="4"/>
        <v>114</v>
      </c>
      <c r="J29" s="94">
        <f t="shared" si="4"/>
        <v>280</v>
      </c>
      <c r="K29" s="94">
        <f>SUM(K14:K21)</f>
        <v>271</v>
      </c>
      <c r="L29" s="94">
        <f t="shared" ref="L29:AF29" si="5">SUM(L14:L19)</f>
        <v>271</v>
      </c>
      <c r="M29" s="94">
        <f t="shared" si="5"/>
        <v>272</v>
      </c>
      <c r="N29" s="94">
        <f t="shared" si="5"/>
        <v>272</v>
      </c>
      <c r="O29" s="94">
        <f t="shared" si="5"/>
        <v>148</v>
      </c>
      <c r="P29" s="94">
        <f t="shared" si="5"/>
        <v>114</v>
      </c>
      <c r="Q29" s="94">
        <f t="shared" si="5"/>
        <v>256</v>
      </c>
      <c r="R29" s="94">
        <f t="shared" si="5"/>
        <v>252</v>
      </c>
      <c r="S29" s="94">
        <f t="shared" si="5"/>
        <v>254</v>
      </c>
      <c r="T29" s="94">
        <f t="shared" si="5"/>
        <v>253</v>
      </c>
      <c r="U29" s="94">
        <f t="shared" si="5"/>
        <v>254</v>
      </c>
      <c r="V29" s="94">
        <f t="shared" si="5"/>
        <v>148</v>
      </c>
      <c r="W29" s="94">
        <f t="shared" si="5"/>
        <v>114</v>
      </c>
      <c r="X29" s="94">
        <f t="shared" si="5"/>
        <v>238</v>
      </c>
      <c r="Y29" s="94">
        <f t="shared" si="5"/>
        <v>238</v>
      </c>
      <c r="Z29" s="94">
        <f t="shared" si="5"/>
        <v>239</v>
      </c>
      <c r="AA29" s="94">
        <f t="shared" si="5"/>
        <v>238</v>
      </c>
      <c r="AB29" s="94">
        <f t="shared" si="5"/>
        <v>165</v>
      </c>
      <c r="AC29" s="94">
        <f t="shared" si="5"/>
        <v>128</v>
      </c>
      <c r="AD29" s="94">
        <f t="shared" si="5"/>
        <v>114</v>
      </c>
      <c r="AE29" s="94">
        <f t="shared" si="5"/>
        <v>237</v>
      </c>
      <c r="AF29" s="94">
        <f t="shared" si="5"/>
        <v>236</v>
      </c>
      <c r="AG29" s="94">
        <f t="shared" ref="AG29" si="6">SUM(AG14:AG19)</f>
        <v>269</v>
      </c>
    </row>
    <row r="30" spans="1:33" x14ac:dyDescent="0.25">
      <c r="A30" s="93" t="s">
        <v>92</v>
      </c>
      <c r="B30" s="250">
        <f>SUM(C30:AG30)</f>
        <v>291260.47000000003</v>
      </c>
      <c r="C30" s="94">
        <f>(C14*$B$14+C15*$B$15+C16*$B$16+C17*$B$17+C19*$B$19+C23*$B$23+C18*$B$18+C22*$B$22+C24*B24+C20*B20)</f>
        <v>5074.54</v>
      </c>
      <c r="D30" s="94">
        <f>(D14*$B$14+D15*$B$15+D16*$B$16+D17*$B$17+D19*$B$19+D23*$B$23+D18*$B$18+D22*$B$22+D24*B24)</f>
        <v>13058.33</v>
      </c>
      <c r="E30" s="94">
        <f>(E14*$B$14+E15*$B$15+E16*$B$16+E17*$B$17+E19*$B$19+E23*$B$23+E18*$B$18+E22*$B$22+E24*B24+E25*B25)</f>
        <v>12150.210000000001</v>
      </c>
      <c r="F30" s="94">
        <f>(F14*$B$14+F15*$B$15+F16*$B$16+F17*$B$17+F19*$B$19+F23*$B$23+F18*$B$18+F22*$B$22+F26*B26)</f>
        <v>12345.74</v>
      </c>
      <c r="G30" s="94">
        <f>(G14*$B$14+G15*$B$15+G16*$B$16+G17*$B$17+G19*$B$19+G23*$B$23+G18*$B$18+G22*$B$22+G24*B24+G25*B25)</f>
        <v>12469.85</v>
      </c>
      <c r="H30" s="94">
        <f>(H14*$B$14+H15*$B$15+H16*$B$16+H17*$B$17+H19*$B$19+H23*$B$23+H18*$B$18+H22*$B$22)</f>
        <v>6296.9800000000005</v>
      </c>
      <c r="I30" s="94">
        <f>(I14*$B$14+I15*$B$15+I16*$B$16+I17*$B$17+I19*$B$19+I23*$B$23+I18*$B$18+I22*$B$22)</f>
        <v>4916.8200000000006</v>
      </c>
      <c r="J30" s="94">
        <f>(J14*$B$14+J15*$B$15+J16*$B$16+J17*$B$17+J19*$B$19+J23*$B$23+J18*$B$18+J22*$B$22+J26*B26)</f>
        <v>11886.149999999998</v>
      </c>
      <c r="K30" s="94">
        <f>(K14*$B$14+K15*$B$15+K16*$B$16+K17*$B$17+K19*$B$19+K23*$B$23+K18*$B$18+K22*$B$22+K24*B24+K20*B20+K21*B21)</f>
        <v>11546.390000000001</v>
      </c>
      <c r="L30" s="94">
        <f>(L14*$B$14+L15*$B$15+L16*$B$16+L17*$B$17+L19*$B$19+L23*$B$23+L18*$B$18+L22*$B$22+L24*B24)</f>
        <v>11564.12</v>
      </c>
      <c r="M30" s="94">
        <f>(M14*$B$14+M15*$B$15+M16*$B$16+M17*$B$17+M19*$B$19+M23*$B$23+M18*$B$18+M22*$B$22)</f>
        <v>11624.98</v>
      </c>
      <c r="N30" s="94">
        <f>(N14*$B$14+N15*$B$15+N16*$B$16+N17*$B$17+N19*$B$19+N23*$B$23+N18*$B$18+N22*$B$22+N24*B24+N25*B25)</f>
        <v>11624.98</v>
      </c>
      <c r="O30" s="94">
        <f>(O14*$B$14+O15*$B$15+O16*$B$16+O17*$B$17+O19*$B$19+O23*$B$23+O18*$B$18+O22*$B$22+O26*B26)</f>
        <v>6383.2400000000007</v>
      </c>
      <c r="P30" s="94">
        <f>(P14*$B$14+P15*$B$15+P16*$B$16+P17*$B$17+P19*$B$19+P23*$B$23+P18*$B$18+P22*$B$22+P24*B24)</f>
        <v>4916.8200000000006</v>
      </c>
      <c r="Q30" s="94">
        <f>(Q14*$B$14+Q15*$B$15+Q16*$B$16+Q17*$B$17+Q19*$B$19+Q23*$B$23+Q18*$B$18+Q22*$B$22+Q24*B24)</f>
        <v>10899.44</v>
      </c>
      <c r="R30" s="94">
        <f>(R14*$B$14+R15*$B$15+R16*$B$16+R17*$B$17+R19*$B$19+R23*$B$23+R18*$B$18+R22*$B$22)</f>
        <v>10815.57</v>
      </c>
      <c r="S30" s="94">
        <f>(S14*$B$14+S15*$B$15+S16*$B$16+S17*$B$17+S19*$B$19+S23*$B$23+S18*$B$18+S22*$B$22)</f>
        <v>10848.64</v>
      </c>
      <c r="T30" s="94">
        <f>(T14*$B$14+T15*$B$15+T16*$B$16+T17*$B$17+T19*$B$19+T23*$B$23+T18*$B$18+T22*$B$22+T24*B24)</f>
        <v>10823.24</v>
      </c>
      <c r="U30" s="94">
        <f>(U14*$B$14+U15*$B$15+U16*$B$16+U17*$B$17+U19*$B$19+U23*$B$23+U18*$B$18+U22*$B$22+U24*B24+U26*B26)</f>
        <v>10876.43</v>
      </c>
      <c r="V30" s="94">
        <f>(V14*$B$14+V15*$B$15+V16*$B$16+V17*$B$17+V19*$B$19+V23*$B$23+V18*$B$18+V22*$B$22+V24*B24)</f>
        <v>6383.2400000000007</v>
      </c>
      <c r="W30" s="94">
        <f>(W14*$B$14+W15*$B$15+W16*$B$16+W17*$B$17+W19*$B$19+W23*$B$23+W18*$B$18+W22*$B$22+W24*B24)</f>
        <v>4916.8200000000006</v>
      </c>
      <c r="X30" s="94">
        <f>(X14*$B$14+X15*$B$15+X16*$B$16+X17*$B$17+X19*$B$19+X23*$B$23+X18*$B$18+X22*$B$22+X24*B24)</f>
        <v>10211.75</v>
      </c>
      <c r="Y30" s="94">
        <f>(Y14*$B$14+Y15*$B$15+Y16*$B$16+Y17*$B$17+Y19*$B$19+Y23*$B$23+Y18*$B$18+Y22*$B$22+Y24*$B$24)</f>
        <v>10211.75</v>
      </c>
      <c r="Z30" s="94">
        <f>(Z14*$B$14+Z15*$B$15+Z16*$B$16+Z17*$B$17+Z19*$B$19+Z23*$B$23+Z18*$B$18+Z22*$B$22+Z24*$B$24+Z26*B26)</f>
        <v>10229.480000000001</v>
      </c>
      <c r="AA30" s="94">
        <f>(AA14*$B$14+AA15*$B$15+AA16*$B$16+AA17*$B$17+AA19*$B$19+AA23*$B$23+AA18*$B$18+AA22*$B$22)</f>
        <v>10211.75</v>
      </c>
      <c r="AB30" s="94">
        <f>(AB14*$B$14+AB15*$B$15+AB16*$B$16+AB17*$B$17+AB19*$B$19+AB23*$B$23+AB18*$B$18+AB22*$B$22+AB24*B24)-243.4</f>
        <v>6819.8600000000015</v>
      </c>
      <c r="AC30" s="94">
        <f>(AC14*$B$14+AC15*$B$15+AC16*$B$16+AC17*$B$17+AC19*$B$19+AC23*$B$23+AC18*$B$18+AC22*$B$22+AC24*B24)</f>
        <v>5520.64</v>
      </c>
      <c r="AD30" s="94">
        <f>(AD14*$B$14+AD15*$B$15+AD16*$B$16+AD17*$B$17+AD19*$B$19+AD23*$B$23+AD18*$B$18+AD22*$B$22+AD24*B24)</f>
        <v>4916.82</v>
      </c>
      <c r="AE30" s="94">
        <f>(AE14*$B$14+AE15*$B$15+AE16*$B$16+AE17*$B$17+AE19*$B$19+AE23*$B$23+AE18*$B$18+AE22*$B$22+AE24*B24)</f>
        <v>10150.89</v>
      </c>
      <c r="AF30" s="94">
        <f>(AF14*$B$14+AF15*$B$15+AF16*$B$16+AF17*$B$17+AF19*$B$19+AF23*$B$23+AF18*$B$18+AF22*$B$22+AF24*B24)</f>
        <v>10125.49</v>
      </c>
      <c r="AG30" s="94">
        <f>(AG14*$B$14+AG15*$B$15+AG16*$B$16+AG17*$B$17+AG19*$B$19+AG23*$B$23+AG18*$B$18+AG22*$B$22+AG24*B24+AG26*B26)</f>
        <v>11439.51</v>
      </c>
    </row>
    <row r="31" spans="1:33" x14ac:dyDescent="0.25">
      <c r="A31" s="93" t="s">
        <v>93</v>
      </c>
      <c r="B31" s="250">
        <f t="shared" si="0"/>
        <v>196041.95999999996</v>
      </c>
      <c r="C31" s="94">
        <f>$B$5*C5+$B$6*C6+$B$7*C7+$B$8*C8+$B$10*C10+$B$9*C9+C11*B11</f>
        <v>4823.16</v>
      </c>
      <c r="D31" s="94">
        <f t="shared" ref="D31:AF31" si="7">$B$5*D5+$B$6*D6+$B$7*D7+$B$8*D8+$B$10*D10+$B$9*D9</f>
        <v>7055.59</v>
      </c>
      <c r="E31" s="94">
        <f t="shared" si="7"/>
        <v>7055.59</v>
      </c>
      <c r="F31" s="94">
        <f t="shared" si="7"/>
        <v>7055.59</v>
      </c>
      <c r="G31" s="94">
        <f t="shared" si="7"/>
        <v>7055.59</v>
      </c>
      <c r="H31" s="94">
        <f t="shared" si="7"/>
        <v>6167.59</v>
      </c>
      <c r="I31" s="94">
        <f t="shared" si="7"/>
        <v>4787.43</v>
      </c>
      <c r="J31" s="94">
        <f t="shared" si="7"/>
        <v>7012.46</v>
      </c>
      <c r="K31" s="94">
        <f t="shared" si="7"/>
        <v>7055.59</v>
      </c>
      <c r="L31" s="94">
        <f t="shared" si="7"/>
        <v>7055.59</v>
      </c>
      <c r="M31" s="94">
        <f t="shared" si="7"/>
        <v>7055.59</v>
      </c>
      <c r="N31" s="94">
        <f t="shared" si="7"/>
        <v>7055.59</v>
      </c>
      <c r="O31" s="94">
        <f t="shared" si="7"/>
        <v>6167.59</v>
      </c>
      <c r="P31" s="94">
        <f t="shared" si="7"/>
        <v>4787.43</v>
      </c>
      <c r="Q31" s="94">
        <f t="shared" si="7"/>
        <v>7080.9900000000007</v>
      </c>
      <c r="R31" s="94">
        <f t="shared" si="7"/>
        <v>7055.59</v>
      </c>
      <c r="S31" s="94">
        <f t="shared" si="7"/>
        <v>7055.59</v>
      </c>
      <c r="T31" s="94">
        <f t="shared" si="7"/>
        <v>7055.59</v>
      </c>
      <c r="U31" s="94">
        <f t="shared" si="7"/>
        <v>7055.59</v>
      </c>
      <c r="V31" s="94">
        <f t="shared" si="7"/>
        <v>6253.85</v>
      </c>
      <c r="W31" s="94">
        <f t="shared" si="7"/>
        <v>4787.43</v>
      </c>
      <c r="X31" s="94">
        <f t="shared" si="7"/>
        <v>7055.59</v>
      </c>
      <c r="Y31" s="94">
        <f t="shared" si="7"/>
        <v>7055.59</v>
      </c>
      <c r="Z31" s="94">
        <f t="shared" si="7"/>
        <v>7055.59</v>
      </c>
      <c r="AA31" s="94">
        <f t="shared" si="7"/>
        <v>7055.59</v>
      </c>
      <c r="AB31" s="94">
        <f t="shared" si="7"/>
        <v>3691.4500000000003</v>
      </c>
      <c r="AC31" s="94">
        <f t="shared" si="7"/>
        <v>2803.4500000000003</v>
      </c>
      <c r="AD31" s="94">
        <f t="shared" si="7"/>
        <v>2458.41</v>
      </c>
      <c r="AE31" s="94">
        <f t="shared" si="7"/>
        <v>7055.59</v>
      </c>
      <c r="AF31" s="94">
        <f t="shared" si="7"/>
        <v>7055.59</v>
      </c>
      <c r="AG31" s="94">
        <f t="shared" ref="AG31" si="8">$B$5*AG5+$B$6*AG6+$B$7*AG7+$B$8*AG8+$B$10*AG10+$B$9*AG9</f>
        <v>8220.1</v>
      </c>
    </row>
    <row r="32" spans="1:33" x14ac:dyDescent="0.25">
      <c r="A32" s="93" t="s">
        <v>94</v>
      </c>
      <c r="B32" s="250">
        <f t="shared" si="0"/>
        <v>30291088.880000003</v>
      </c>
      <c r="C32" s="94">
        <f t="shared" ref="C32:AF32" si="9">C30*104</f>
        <v>527752.16</v>
      </c>
      <c r="D32" s="94">
        <f t="shared" si="9"/>
        <v>1358066.32</v>
      </c>
      <c r="E32" s="94">
        <f t="shared" si="9"/>
        <v>1263621.8400000001</v>
      </c>
      <c r="F32" s="94">
        <f t="shared" si="9"/>
        <v>1283956.96</v>
      </c>
      <c r="G32" s="94">
        <f t="shared" si="9"/>
        <v>1296864.4000000001</v>
      </c>
      <c r="H32" s="94">
        <f t="shared" si="9"/>
        <v>654885.92000000004</v>
      </c>
      <c r="I32" s="94">
        <f t="shared" si="9"/>
        <v>511349.28000000009</v>
      </c>
      <c r="J32" s="94">
        <f t="shared" si="9"/>
        <v>1236159.5999999999</v>
      </c>
      <c r="K32" s="94">
        <f t="shared" si="9"/>
        <v>1200824.56</v>
      </c>
      <c r="L32" s="94">
        <f t="shared" si="9"/>
        <v>1202668.48</v>
      </c>
      <c r="M32" s="94">
        <f t="shared" si="9"/>
        <v>1208997.92</v>
      </c>
      <c r="N32" s="94">
        <f t="shared" si="9"/>
        <v>1208997.92</v>
      </c>
      <c r="O32" s="94">
        <f t="shared" si="9"/>
        <v>663856.96000000008</v>
      </c>
      <c r="P32" s="94">
        <f t="shared" si="9"/>
        <v>511349.28000000009</v>
      </c>
      <c r="Q32" s="94">
        <f t="shared" si="9"/>
        <v>1133541.76</v>
      </c>
      <c r="R32" s="94">
        <f t="shared" si="9"/>
        <v>1124819.28</v>
      </c>
      <c r="S32" s="94">
        <f t="shared" si="9"/>
        <v>1128258.5600000001</v>
      </c>
      <c r="T32" s="94">
        <f t="shared" si="9"/>
        <v>1125616.96</v>
      </c>
      <c r="U32" s="94">
        <f t="shared" si="9"/>
        <v>1131148.72</v>
      </c>
      <c r="V32" s="94">
        <f t="shared" si="9"/>
        <v>663856.96000000008</v>
      </c>
      <c r="W32" s="94">
        <f t="shared" si="9"/>
        <v>511349.28000000009</v>
      </c>
      <c r="X32" s="94">
        <f t="shared" si="9"/>
        <v>1062022</v>
      </c>
      <c r="Y32" s="94">
        <f t="shared" si="9"/>
        <v>1062022</v>
      </c>
      <c r="Z32" s="94">
        <f t="shared" si="9"/>
        <v>1063865.9200000002</v>
      </c>
      <c r="AA32" s="94">
        <f t="shared" si="9"/>
        <v>1062022</v>
      </c>
      <c r="AB32" s="94">
        <f t="shared" si="9"/>
        <v>709265.44000000018</v>
      </c>
      <c r="AC32" s="94">
        <f t="shared" si="9"/>
        <v>574146.56000000006</v>
      </c>
      <c r="AD32" s="94">
        <f t="shared" si="9"/>
        <v>511349.27999999997</v>
      </c>
      <c r="AE32" s="94">
        <f t="shared" si="9"/>
        <v>1055692.56</v>
      </c>
      <c r="AF32" s="94">
        <f t="shared" si="9"/>
        <v>1053050.96</v>
      </c>
      <c r="AG32" s="94">
        <f t="shared" ref="AG32" si="10">AG30*104</f>
        <v>1189709.04</v>
      </c>
    </row>
    <row r="33" spans="1:34" x14ac:dyDescent="0.25">
      <c r="A33" s="93" t="s">
        <v>95</v>
      </c>
      <c r="B33" s="92">
        <f t="shared" si="0"/>
        <v>582520.94000000006</v>
      </c>
      <c r="C33" s="94">
        <f>C30*2</f>
        <v>10149.08</v>
      </c>
      <c r="D33" s="94">
        <f t="shared" ref="D33:AD33" si="11">D30*2</f>
        <v>26116.66</v>
      </c>
      <c r="E33" s="94">
        <f t="shared" si="11"/>
        <v>24300.420000000002</v>
      </c>
      <c r="F33" s="94">
        <f t="shared" si="11"/>
        <v>24691.48</v>
      </c>
      <c r="G33" s="94">
        <f t="shared" si="11"/>
        <v>24939.7</v>
      </c>
      <c r="H33" s="94">
        <f t="shared" si="11"/>
        <v>12593.960000000001</v>
      </c>
      <c r="I33" s="94">
        <f t="shared" si="11"/>
        <v>9833.6400000000012</v>
      </c>
      <c r="J33" s="94">
        <f t="shared" si="11"/>
        <v>23772.299999999996</v>
      </c>
      <c r="K33" s="94">
        <f t="shared" si="11"/>
        <v>23092.780000000002</v>
      </c>
      <c r="L33" s="94">
        <f t="shared" si="11"/>
        <v>23128.240000000002</v>
      </c>
      <c r="M33" s="94">
        <f t="shared" si="11"/>
        <v>23249.96</v>
      </c>
      <c r="N33" s="94">
        <f t="shared" si="11"/>
        <v>23249.96</v>
      </c>
      <c r="O33" s="94">
        <f t="shared" si="11"/>
        <v>12766.480000000001</v>
      </c>
      <c r="P33" s="94">
        <f t="shared" si="11"/>
        <v>9833.6400000000012</v>
      </c>
      <c r="Q33" s="94">
        <f t="shared" si="11"/>
        <v>21798.880000000001</v>
      </c>
      <c r="R33" s="94">
        <f t="shared" si="11"/>
        <v>21631.14</v>
      </c>
      <c r="S33" s="94">
        <f t="shared" si="11"/>
        <v>21697.279999999999</v>
      </c>
      <c r="T33" s="94">
        <f t="shared" si="11"/>
        <v>21646.48</v>
      </c>
      <c r="U33" s="94">
        <f t="shared" si="11"/>
        <v>21752.86</v>
      </c>
      <c r="V33" s="94">
        <f t="shared" si="11"/>
        <v>12766.480000000001</v>
      </c>
      <c r="W33" s="94">
        <f t="shared" si="11"/>
        <v>9833.6400000000012</v>
      </c>
      <c r="X33" s="94">
        <f t="shared" si="11"/>
        <v>20423.5</v>
      </c>
      <c r="Y33" s="94">
        <f t="shared" si="11"/>
        <v>20423.5</v>
      </c>
      <c r="Z33" s="94">
        <f t="shared" si="11"/>
        <v>20458.960000000003</v>
      </c>
      <c r="AA33" s="94">
        <f t="shared" si="11"/>
        <v>20423.5</v>
      </c>
      <c r="AB33" s="94">
        <f t="shared" si="11"/>
        <v>13639.720000000003</v>
      </c>
      <c r="AC33" s="94">
        <f t="shared" si="11"/>
        <v>11041.28</v>
      </c>
      <c r="AD33" s="94">
        <f t="shared" si="11"/>
        <v>9833.64</v>
      </c>
      <c r="AE33" s="94">
        <f t="shared" ref="AE33:AF33" si="12">AE30*2</f>
        <v>20301.78</v>
      </c>
      <c r="AF33" s="94">
        <f t="shared" si="12"/>
        <v>20250.98</v>
      </c>
      <c r="AG33" s="94">
        <f t="shared" ref="AG33" si="13">AG30*2</f>
        <v>22879.02</v>
      </c>
    </row>
    <row r="34" spans="1:34" x14ac:dyDescent="0.25">
      <c r="A34" s="93" t="s">
        <v>96</v>
      </c>
      <c r="B34" s="92">
        <f t="shared" si="0"/>
        <v>2465944</v>
      </c>
      <c r="C34" s="94">
        <f>+C29*362</f>
        <v>42716</v>
      </c>
      <c r="D34" s="94">
        <f t="shared" ref="D34:AD34" si="14">+D29*362</f>
        <v>110048</v>
      </c>
      <c r="E34" s="94">
        <f t="shared" si="14"/>
        <v>103170</v>
      </c>
      <c r="F34" s="94">
        <f t="shared" si="14"/>
        <v>105704</v>
      </c>
      <c r="G34" s="94">
        <f t="shared" si="14"/>
        <v>105704</v>
      </c>
      <c r="H34" s="94">
        <f t="shared" si="14"/>
        <v>52852</v>
      </c>
      <c r="I34" s="94">
        <f t="shared" si="14"/>
        <v>41268</v>
      </c>
      <c r="J34" s="94">
        <f t="shared" si="14"/>
        <v>101360</v>
      </c>
      <c r="K34" s="94">
        <f t="shared" si="14"/>
        <v>98102</v>
      </c>
      <c r="L34" s="94">
        <f t="shared" si="14"/>
        <v>98102</v>
      </c>
      <c r="M34" s="94">
        <f t="shared" si="14"/>
        <v>98464</v>
      </c>
      <c r="N34" s="94">
        <f t="shared" si="14"/>
        <v>98464</v>
      </c>
      <c r="O34" s="94">
        <f t="shared" si="14"/>
        <v>53576</v>
      </c>
      <c r="P34" s="94">
        <f t="shared" si="14"/>
        <v>41268</v>
      </c>
      <c r="Q34" s="94">
        <f t="shared" si="14"/>
        <v>92672</v>
      </c>
      <c r="R34" s="94">
        <f t="shared" si="14"/>
        <v>91224</v>
      </c>
      <c r="S34" s="94">
        <f t="shared" si="14"/>
        <v>91948</v>
      </c>
      <c r="T34" s="94">
        <f t="shared" si="14"/>
        <v>91586</v>
      </c>
      <c r="U34" s="94">
        <f t="shared" si="14"/>
        <v>91948</v>
      </c>
      <c r="V34" s="94">
        <f t="shared" si="14"/>
        <v>53576</v>
      </c>
      <c r="W34" s="94">
        <f t="shared" si="14"/>
        <v>41268</v>
      </c>
      <c r="X34" s="94">
        <f t="shared" si="14"/>
        <v>86156</v>
      </c>
      <c r="Y34" s="94">
        <f t="shared" si="14"/>
        <v>86156</v>
      </c>
      <c r="Z34" s="94">
        <f t="shared" si="14"/>
        <v>86518</v>
      </c>
      <c r="AA34" s="94">
        <f t="shared" si="14"/>
        <v>86156</v>
      </c>
      <c r="AB34" s="94">
        <f t="shared" si="14"/>
        <v>59730</v>
      </c>
      <c r="AC34" s="94">
        <f t="shared" si="14"/>
        <v>46336</v>
      </c>
      <c r="AD34" s="94">
        <f t="shared" si="14"/>
        <v>41268</v>
      </c>
      <c r="AE34" s="94">
        <f t="shared" ref="AE34:AF34" si="15">+AE29*362</f>
        <v>85794</v>
      </c>
      <c r="AF34" s="94">
        <f t="shared" si="15"/>
        <v>85432</v>
      </c>
      <c r="AG34" s="94">
        <f t="shared" ref="AG34" si="16">+AG29*362</f>
        <v>97378</v>
      </c>
    </row>
    <row r="35" spans="1:34" ht="14.25" customHeight="1" x14ac:dyDescent="0.25">
      <c r="A35" s="95" t="s">
        <v>97</v>
      </c>
      <c r="B35" s="250">
        <f t="shared" si="0"/>
        <v>23096955.270999998</v>
      </c>
      <c r="C35" s="94">
        <f>C30*79.3</f>
        <v>402411.022</v>
      </c>
      <c r="D35" s="94">
        <f t="shared" ref="D35:AD35" si="17">D30*79.3</f>
        <v>1035525.5689999999</v>
      </c>
      <c r="E35" s="94">
        <f t="shared" si="17"/>
        <v>963511.65300000005</v>
      </c>
      <c r="F35" s="94">
        <f t="shared" si="17"/>
        <v>979017.18199999991</v>
      </c>
      <c r="G35" s="94">
        <f t="shared" si="17"/>
        <v>988859.10499999998</v>
      </c>
      <c r="H35" s="94">
        <f t="shared" si="17"/>
        <v>499350.51400000002</v>
      </c>
      <c r="I35" s="94">
        <f t="shared" si="17"/>
        <v>389903.82600000006</v>
      </c>
      <c r="J35" s="94">
        <f t="shared" si="17"/>
        <v>942571.69499999983</v>
      </c>
      <c r="K35" s="94">
        <f t="shared" si="17"/>
        <v>915628.72700000007</v>
      </c>
      <c r="L35" s="94">
        <f t="shared" si="17"/>
        <v>917034.71600000001</v>
      </c>
      <c r="M35" s="94">
        <f t="shared" si="17"/>
        <v>921860.91399999999</v>
      </c>
      <c r="N35" s="94">
        <f t="shared" si="17"/>
        <v>921860.91399999999</v>
      </c>
      <c r="O35" s="94">
        <f t="shared" si="17"/>
        <v>506190.93200000003</v>
      </c>
      <c r="P35" s="94">
        <f t="shared" si="17"/>
        <v>389903.82600000006</v>
      </c>
      <c r="Q35" s="94">
        <f t="shared" si="17"/>
        <v>864325.59200000006</v>
      </c>
      <c r="R35" s="94">
        <f t="shared" si="17"/>
        <v>857674.701</v>
      </c>
      <c r="S35" s="94">
        <f t="shared" si="17"/>
        <v>860297.15199999989</v>
      </c>
      <c r="T35" s="94">
        <f t="shared" si="17"/>
        <v>858282.93199999991</v>
      </c>
      <c r="U35" s="94">
        <f t="shared" si="17"/>
        <v>862500.89899999998</v>
      </c>
      <c r="V35" s="94">
        <f t="shared" si="17"/>
        <v>506190.93200000003</v>
      </c>
      <c r="W35" s="94">
        <f t="shared" si="17"/>
        <v>389903.82600000006</v>
      </c>
      <c r="X35" s="94">
        <f t="shared" si="17"/>
        <v>809791.77500000002</v>
      </c>
      <c r="Y35" s="94">
        <f t="shared" si="17"/>
        <v>809791.77500000002</v>
      </c>
      <c r="Z35" s="94">
        <f t="shared" si="17"/>
        <v>811197.76400000008</v>
      </c>
      <c r="AA35" s="94">
        <f t="shared" si="17"/>
        <v>809791.77500000002</v>
      </c>
      <c r="AB35" s="94">
        <f t="shared" si="17"/>
        <v>540814.89800000004</v>
      </c>
      <c r="AC35" s="94">
        <f>AC30*79.3</f>
        <v>437786.75200000004</v>
      </c>
      <c r="AD35" s="94">
        <f t="shared" si="17"/>
        <v>389903.82599999994</v>
      </c>
      <c r="AE35" s="94">
        <f t="shared" ref="AE35:AF35" si="18">AE30*79.3</f>
        <v>804965.57699999993</v>
      </c>
      <c r="AF35" s="94">
        <f t="shared" si="18"/>
        <v>802951.35699999996</v>
      </c>
      <c r="AG35" s="94">
        <f t="shared" ref="AG35" si="19">AG30*79.3</f>
        <v>907153.14300000004</v>
      </c>
    </row>
    <row r="36" spans="1:34" x14ac:dyDescent="0.25"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94"/>
      <c r="O36" s="8"/>
    </row>
    <row r="37" spans="1:34" x14ac:dyDescent="0.25"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</row>
    <row r="39" spans="1:34" x14ac:dyDescent="0.25"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  <c r="AA39" s="180"/>
      <c r="AB39" s="180"/>
      <c r="AC39" s="180"/>
      <c r="AD39" s="180"/>
      <c r="AE39" s="180"/>
      <c r="AF39" s="180"/>
      <c r="AG39" s="180"/>
    </row>
    <row r="40" spans="1:34" x14ac:dyDescent="0.25">
      <c r="E40" s="44"/>
      <c r="F40" s="139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39"/>
      <c r="Y40" s="44"/>
      <c r="AB40" s="8"/>
    </row>
    <row r="41" spans="1:34" x14ac:dyDescent="0.25">
      <c r="E41" s="44"/>
      <c r="F41" s="44"/>
      <c r="G41" s="44"/>
      <c r="H41" s="130"/>
      <c r="I41" s="44"/>
      <c r="J41" s="44"/>
      <c r="K41" s="130"/>
      <c r="L41" s="44"/>
      <c r="M41" s="44"/>
      <c r="N41" s="44"/>
      <c r="O41" s="130"/>
      <c r="P41" s="44"/>
      <c r="Q41" s="44"/>
      <c r="R41" s="44"/>
      <c r="S41" s="130"/>
      <c r="T41" s="44"/>
      <c r="U41" s="44"/>
      <c r="V41" s="44"/>
      <c r="W41" s="130"/>
      <c r="X41" s="44"/>
      <c r="Y41" s="44"/>
      <c r="Z41" s="44"/>
      <c r="AA41" s="130"/>
      <c r="AB41" s="44"/>
      <c r="AD41" s="44"/>
      <c r="AE41" s="44"/>
      <c r="AF41" s="130"/>
      <c r="AG41" s="44"/>
    </row>
    <row r="42" spans="1:34" x14ac:dyDescent="0.25">
      <c r="P42" s="87"/>
      <c r="R42" s="180"/>
      <c r="AB42" s="8"/>
    </row>
    <row r="43" spans="1:34" x14ac:dyDescent="0.25">
      <c r="P43" s="87"/>
      <c r="R43" s="180"/>
      <c r="AB43" s="8"/>
    </row>
    <row r="44" spans="1:34" x14ac:dyDescent="0.25"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80"/>
      <c r="S44" s="130"/>
      <c r="T44" s="130"/>
      <c r="U44" s="130"/>
      <c r="V44" s="130"/>
      <c r="W44" s="130"/>
      <c r="X44" s="130"/>
      <c r="Y44" s="130"/>
      <c r="Z44" s="130"/>
      <c r="AA44" s="130"/>
      <c r="AB44" s="8"/>
      <c r="AD44" s="130"/>
      <c r="AE44" s="130"/>
      <c r="AF44" s="130"/>
      <c r="AG44" s="130"/>
      <c r="AH44" s="130"/>
    </row>
    <row r="45" spans="1:34" x14ac:dyDescent="0.25">
      <c r="P45" s="87"/>
      <c r="R45" s="180"/>
      <c r="AB45" s="8"/>
    </row>
    <row r="46" spans="1:34" x14ac:dyDescent="0.25">
      <c r="P46" s="87"/>
      <c r="R46" s="180"/>
      <c r="AB46" s="8"/>
    </row>
    <row r="47" spans="1:34" x14ac:dyDescent="0.25"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80"/>
      <c r="S47" s="130"/>
      <c r="T47" s="130"/>
      <c r="U47" s="130"/>
      <c r="V47" s="130"/>
      <c r="W47" s="130"/>
      <c r="X47" s="130"/>
      <c r="Y47" s="130"/>
      <c r="Z47" s="130"/>
      <c r="AA47" s="130"/>
      <c r="AB47" s="8"/>
      <c r="AD47" s="130"/>
      <c r="AE47" s="130"/>
      <c r="AF47" s="130"/>
      <c r="AG47" s="130"/>
      <c r="AH47" s="130"/>
    </row>
    <row r="48" spans="1:34" x14ac:dyDescent="0.25">
      <c r="Q48" s="87"/>
      <c r="R48" s="180"/>
      <c r="AB48" s="8"/>
    </row>
    <row r="49" spans="17:18" x14ac:dyDescent="0.25">
      <c r="Q49" s="87"/>
      <c r="R49" s="180"/>
    </row>
    <row r="50" spans="17:18" x14ac:dyDescent="0.25">
      <c r="Q50" s="87"/>
      <c r="R50" s="180"/>
    </row>
    <row r="51" spans="17:18" x14ac:dyDescent="0.25">
      <c r="Q51" s="87"/>
      <c r="R51" s="180"/>
    </row>
    <row r="52" spans="17:18" x14ac:dyDescent="0.25">
      <c r="Q52" s="8"/>
      <c r="R52" s="180"/>
    </row>
    <row r="53" spans="17:18" x14ac:dyDescent="0.25">
      <c r="Q53" s="8"/>
      <c r="R53" s="180"/>
    </row>
    <row r="54" spans="17:18" x14ac:dyDescent="0.25">
      <c r="R54" s="180"/>
    </row>
    <row r="55" spans="17:18" x14ac:dyDescent="0.25">
      <c r="R55" s="180"/>
    </row>
    <row r="56" spans="17:18" x14ac:dyDescent="0.25">
      <c r="R56" s="180"/>
    </row>
    <row r="57" spans="17:18" x14ac:dyDescent="0.25">
      <c r="R57" s="180"/>
    </row>
    <row r="58" spans="17:18" x14ac:dyDescent="0.25">
      <c r="R58" s="180"/>
    </row>
    <row r="59" spans="17:18" x14ac:dyDescent="0.25">
      <c r="R59" s="180"/>
    </row>
    <row r="60" spans="17:18" x14ac:dyDescent="0.25">
      <c r="R60" s="180"/>
    </row>
    <row r="61" spans="17:18" x14ac:dyDescent="0.25">
      <c r="R61" s="180"/>
    </row>
    <row r="62" spans="17:18" x14ac:dyDescent="0.25">
      <c r="R62" s="180"/>
    </row>
    <row r="63" spans="17:18" x14ac:dyDescent="0.25">
      <c r="R63" s="130"/>
    </row>
    <row r="64" spans="17:18" x14ac:dyDescent="0.25">
      <c r="R64" s="130"/>
    </row>
    <row r="65" spans="18:18" x14ac:dyDescent="0.25">
      <c r="R65" s="130"/>
    </row>
    <row r="66" spans="18:18" x14ac:dyDescent="0.25">
      <c r="R66" s="130"/>
    </row>
    <row r="67" spans="18:18" x14ac:dyDescent="0.25">
      <c r="R67" s="130"/>
    </row>
    <row r="68" spans="18:18" x14ac:dyDescent="0.25">
      <c r="R68" s="130"/>
    </row>
    <row r="69" spans="18:18" x14ac:dyDescent="0.25">
      <c r="R69" s="130"/>
    </row>
    <row r="70" spans="18:18" x14ac:dyDescent="0.25">
      <c r="R70" s="130"/>
    </row>
    <row r="71" spans="18:18" x14ac:dyDescent="0.25">
      <c r="R71" s="130"/>
    </row>
    <row r="72" spans="18:18" x14ac:dyDescent="0.25">
      <c r="R72" s="13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CM78"/>
  <sheetViews>
    <sheetView zoomScaleNormal="100" workbookViewId="0">
      <selection activeCell="BP27" sqref="BP27"/>
    </sheetView>
  </sheetViews>
  <sheetFormatPr baseColWidth="10" defaultColWidth="5.140625" defaultRowHeight="15" x14ac:dyDescent="0.25"/>
  <cols>
    <col min="2" max="2" width="10.140625" customWidth="1"/>
    <col min="3" max="3" width="2.5703125" customWidth="1"/>
    <col min="20" max="20" width="5.28515625" customWidth="1"/>
    <col min="34" max="34" width="5.42578125" customWidth="1"/>
    <col min="54" max="54" width="5.42578125" customWidth="1"/>
    <col min="55" max="55" width="4.85546875" customWidth="1"/>
    <col min="58" max="59" width="5.5703125" customWidth="1"/>
  </cols>
  <sheetData>
    <row r="1" spans="1:65" x14ac:dyDescent="0.25">
      <c r="C1" s="8"/>
      <c r="D1" s="356">
        <v>45292</v>
      </c>
      <c r="E1" s="356"/>
      <c r="F1" s="356">
        <v>45293</v>
      </c>
      <c r="G1" s="356"/>
      <c r="H1" s="356">
        <v>45294</v>
      </c>
      <c r="I1" s="356"/>
      <c r="J1" s="356">
        <v>45295</v>
      </c>
      <c r="K1" s="356"/>
      <c r="L1" s="356">
        <v>45296</v>
      </c>
      <c r="M1" s="356"/>
      <c r="N1" s="356">
        <v>45297</v>
      </c>
      <c r="O1" s="356"/>
      <c r="P1" s="356">
        <v>45298</v>
      </c>
      <c r="Q1" s="356"/>
      <c r="R1" s="356">
        <v>45299</v>
      </c>
      <c r="S1" s="356"/>
      <c r="T1" s="356">
        <v>45300</v>
      </c>
      <c r="U1" s="356"/>
      <c r="V1" s="356">
        <v>45301</v>
      </c>
      <c r="W1" s="356"/>
      <c r="X1" s="356">
        <v>45302</v>
      </c>
      <c r="Y1" s="356"/>
      <c r="Z1" s="356">
        <v>45303</v>
      </c>
      <c r="AA1" s="356"/>
      <c r="AB1" s="356">
        <v>45304</v>
      </c>
      <c r="AC1" s="356"/>
      <c r="AD1" s="356">
        <v>45305</v>
      </c>
      <c r="AE1" s="356"/>
      <c r="AF1" s="356">
        <v>45306</v>
      </c>
      <c r="AG1" s="356"/>
      <c r="AH1" s="356">
        <v>45307</v>
      </c>
      <c r="AI1" s="356"/>
      <c r="AJ1" s="356">
        <v>45308</v>
      </c>
      <c r="AK1" s="356"/>
      <c r="AL1" s="356">
        <v>45309</v>
      </c>
      <c r="AM1" s="356"/>
      <c r="AN1" s="356">
        <v>45310</v>
      </c>
      <c r="AO1" s="356"/>
      <c r="AP1" s="356">
        <v>45311</v>
      </c>
      <c r="AQ1" s="356"/>
      <c r="AR1" s="356">
        <v>45312</v>
      </c>
      <c r="AS1" s="356"/>
      <c r="AT1" s="356">
        <v>45313</v>
      </c>
      <c r="AU1" s="356"/>
      <c r="AV1" s="356">
        <v>45314</v>
      </c>
      <c r="AW1" s="356"/>
      <c r="AX1" s="356">
        <v>45315</v>
      </c>
      <c r="AY1" s="356"/>
      <c r="AZ1" s="356">
        <v>45316</v>
      </c>
      <c r="BA1" s="356"/>
      <c r="BB1" s="356">
        <v>45317</v>
      </c>
      <c r="BC1" s="356"/>
      <c r="BD1" s="356">
        <v>45318</v>
      </c>
      <c r="BE1" s="356"/>
      <c r="BF1" s="356">
        <v>45319</v>
      </c>
      <c r="BG1" s="356"/>
      <c r="BH1" s="356">
        <v>45320</v>
      </c>
      <c r="BI1" s="356"/>
      <c r="BJ1" s="356">
        <v>45321</v>
      </c>
      <c r="BK1" s="356"/>
      <c r="BL1" s="356">
        <v>45322</v>
      </c>
      <c r="BM1" s="356"/>
    </row>
    <row r="2" spans="1:65" ht="15.75" thickBot="1" x14ac:dyDescent="0.3">
      <c r="C2" s="8"/>
      <c r="D2" s="45" t="s">
        <v>71</v>
      </c>
      <c r="E2" s="46" t="s">
        <v>72</v>
      </c>
      <c r="F2" s="45" t="s">
        <v>71</v>
      </c>
      <c r="G2" s="46" t="s">
        <v>72</v>
      </c>
      <c r="H2" s="47" t="s">
        <v>71</v>
      </c>
      <c r="I2" s="48" t="s">
        <v>72</v>
      </c>
      <c r="J2" s="47" t="s">
        <v>71</v>
      </c>
      <c r="K2" s="48" t="s">
        <v>72</v>
      </c>
      <c r="L2" s="47" t="s">
        <v>71</v>
      </c>
      <c r="M2" s="48" t="s">
        <v>72</v>
      </c>
      <c r="N2" s="47" t="s">
        <v>71</v>
      </c>
      <c r="O2" s="49" t="s">
        <v>72</v>
      </c>
      <c r="P2" s="50" t="s">
        <v>71</v>
      </c>
      <c r="Q2" s="51" t="s">
        <v>72</v>
      </c>
      <c r="R2" s="52" t="s">
        <v>71</v>
      </c>
      <c r="S2" s="48" t="s">
        <v>72</v>
      </c>
      <c r="T2" s="47" t="s">
        <v>71</v>
      </c>
      <c r="U2" s="48" t="s">
        <v>72</v>
      </c>
      <c r="V2" s="47" t="s">
        <v>71</v>
      </c>
      <c r="W2" s="48" t="s">
        <v>72</v>
      </c>
      <c r="X2" s="47" t="s">
        <v>71</v>
      </c>
      <c r="Y2" s="48" t="s">
        <v>72</v>
      </c>
      <c r="Z2" s="47" t="s">
        <v>71</v>
      </c>
      <c r="AA2" s="48" t="s">
        <v>72</v>
      </c>
      <c r="AB2" s="47" t="s">
        <v>71</v>
      </c>
      <c r="AC2" s="48" t="s">
        <v>72</v>
      </c>
      <c r="AD2" s="47" t="s">
        <v>71</v>
      </c>
      <c r="AE2" s="48" t="s">
        <v>72</v>
      </c>
      <c r="AF2" s="47" t="s">
        <v>71</v>
      </c>
      <c r="AG2" s="48" t="s">
        <v>72</v>
      </c>
      <c r="AH2" s="47" t="s">
        <v>71</v>
      </c>
      <c r="AI2" s="48" t="s">
        <v>72</v>
      </c>
      <c r="AJ2" s="47" t="s">
        <v>71</v>
      </c>
      <c r="AK2" s="48" t="s">
        <v>72</v>
      </c>
      <c r="AL2" s="47" t="s">
        <v>71</v>
      </c>
      <c r="AM2" s="48" t="s">
        <v>72</v>
      </c>
      <c r="AN2" s="47" t="s">
        <v>71</v>
      </c>
      <c r="AO2" s="48" t="s">
        <v>72</v>
      </c>
      <c r="AP2" s="47" t="s">
        <v>71</v>
      </c>
      <c r="AQ2" s="48" t="s">
        <v>72</v>
      </c>
      <c r="AR2" s="47" t="s">
        <v>71</v>
      </c>
      <c r="AS2" s="48" t="s">
        <v>72</v>
      </c>
      <c r="AT2" s="47" t="s">
        <v>71</v>
      </c>
      <c r="AU2" s="48" t="s">
        <v>72</v>
      </c>
      <c r="AV2" s="47" t="s">
        <v>71</v>
      </c>
      <c r="AW2" s="48" t="s">
        <v>72</v>
      </c>
      <c r="AX2" s="52" t="s">
        <v>71</v>
      </c>
      <c r="AY2" s="53" t="s">
        <v>72</v>
      </c>
      <c r="AZ2" s="53" t="s">
        <v>71</v>
      </c>
      <c r="BA2" s="53" t="s">
        <v>72</v>
      </c>
      <c r="BB2" s="53" t="s">
        <v>71</v>
      </c>
      <c r="BC2" s="53" t="s">
        <v>72</v>
      </c>
      <c r="BD2" s="53" t="s">
        <v>71</v>
      </c>
      <c r="BE2" s="53" t="s">
        <v>72</v>
      </c>
      <c r="BF2" s="53" t="s">
        <v>71</v>
      </c>
      <c r="BG2" s="53" t="s">
        <v>72</v>
      </c>
      <c r="BH2" s="47" t="s">
        <v>71</v>
      </c>
      <c r="BI2" s="48" t="s">
        <v>72</v>
      </c>
      <c r="BJ2" s="47" t="s">
        <v>71</v>
      </c>
      <c r="BK2" s="48" t="s">
        <v>72</v>
      </c>
      <c r="BL2" s="47" t="s">
        <v>71</v>
      </c>
      <c r="BM2" s="48" t="s">
        <v>72</v>
      </c>
    </row>
    <row r="3" spans="1:65" ht="15.75" thickBot="1" x14ac:dyDescent="0.3">
      <c r="A3" s="67" t="s">
        <v>73</v>
      </c>
      <c r="B3" s="68"/>
      <c r="C3" s="8"/>
      <c r="D3" s="142">
        <v>0</v>
      </c>
      <c r="E3" s="142">
        <v>0</v>
      </c>
      <c r="F3" s="164">
        <v>0</v>
      </c>
      <c r="G3" s="164">
        <v>0</v>
      </c>
      <c r="H3" s="164">
        <v>0</v>
      </c>
      <c r="I3" s="164">
        <v>0</v>
      </c>
      <c r="J3" s="164">
        <v>0</v>
      </c>
      <c r="K3" s="164">
        <v>0</v>
      </c>
      <c r="L3" s="164">
        <v>0</v>
      </c>
      <c r="M3" s="164">
        <v>0</v>
      </c>
      <c r="N3" s="141">
        <v>0</v>
      </c>
      <c r="O3" s="141">
        <v>0</v>
      </c>
      <c r="P3" s="142">
        <v>0</v>
      </c>
      <c r="Q3" s="142">
        <v>0</v>
      </c>
      <c r="R3" s="164">
        <v>0</v>
      </c>
      <c r="S3" s="164">
        <v>0</v>
      </c>
      <c r="T3" s="164">
        <v>0</v>
      </c>
      <c r="U3" s="164">
        <v>0</v>
      </c>
      <c r="V3" s="164">
        <v>0</v>
      </c>
      <c r="W3" s="164">
        <v>0</v>
      </c>
      <c r="X3" s="164">
        <v>0</v>
      </c>
      <c r="Y3" s="164">
        <v>0</v>
      </c>
      <c r="Z3" s="164">
        <v>0</v>
      </c>
      <c r="AA3" s="164">
        <v>0</v>
      </c>
      <c r="AB3" s="141">
        <v>0</v>
      </c>
      <c r="AC3" s="141">
        <v>0</v>
      </c>
      <c r="AD3" s="142">
        <v>0</v>
      </c>
      <c r="AE3" s="142">
        <v>0</v>
      </c>
      <c r="AF3" s="164">
        <v>0</v>
      </c>
      <c r="AG3" s="164">
        <v>0</v>
      </c>
      <c r="AH3" s="164">
        <v>0</v>
      </c>
      <c r="AI3" s="164">
        <v>0</v>
      </c>
      <c r="AJ3" s="164">
        <v>0</v>
      </c>
      <c r="AK3" s="164">
        <v>0</v>
      </c>
      <c r="AL3" s="164">
        <v>0</v>
      </c>
      <c r="AM3" s="164">
        <v>0</v>
      </c>
      <c r="AN3" s="164">
        <v>0</v>
      </c>
      <c r="AO3" s="164">
        <v>0</v>
      </c>
      <c r="AP3" s="141">
        <v>0</v>
      </c>
      <c r="AQ3" s="141">
        <v>0</v>
      </c>
      <c r="AR3" s="142">
        <v>0</v>
      </c>
      <c r="AS3" s="142">
        <v>0</v>
      </c>
      <c r="AT3" s="164">
        <v>0</v>
      </c>
      <c r="AU3" s="164">
        <v>0</v>
      </c>
      <c r="AV3" s="164">
        <v>0</v>
      </c>
      <c r="AW3" s="164">
        <v>0</v>
      </c>
      <c r="AX3" s="164">
        <v>0</v>
      </c>
      <c r="AY3" s="164">
        <v>0</v>
      </c>
      <c r="AZ3" s="164">
        <v>0</v>
      </c>
      <c r="BA3" s="164">
        <v>0</v>
      </c>
      <c r="BB3" s="164">
        <v>0</v>
      </c>
      <c r="BC3" s="164">
        <v>0</v>
      </c>
      <c r="BD3" s="141">
        <v>0</v>
      </c>
      <c r="BE3" s="141">
        <v>0</v>
      </c>
      <c r="BF3" s="142">
        <v>0</v>
      </c>
      <c r="BG3" s="142">
        <v>0</v>
      </c>
      <c r="BH3" s="164">
        <v>0</v>
      </c>
      <c r="BI3" s="164">
        <v>0</v>
      </c>
      <c r="BJ3" s="164">
        <v>0</v>
      </c>
      <c r="BK3" s="164">
        <v>0</v>
      </c>
      <c r="BL3" s="164">
        <v>0</v>
      </c>
      <c r="BM3" s="164">
        <v>0</v>
      </c>
    </row>
    <row r="4" spans="1:65" s="130" customFormat="1" x14ac:dyDescent="0.25">
      <c r="A4" s="67" t="s">
        <v>123</v>
      </c>
      <c r="B4" s="163"/>
      <c r="C4" s="8"/>
      <c r="D4" s="142">
        <v>0</v>
      </c>
      <c r="E4" s="142">
        <v>0</v>
      </c>
      <c r="F4" s="164">
        <v>0</v>
      </c>
      <c r="G4" s="164">
        <v>0</v>
      </c>
      <c r="H4" s="164">
        <v>0</v>
      </c>
      <c r="I4" s="164">
        <v>0</v>
      </c>
      <c r="J4" s="164">
        <v>0</v>
      </c>
      <c r="K4" s="164">
        <v>0</v>
      </c>
      <c r="L4" s="164">
        <v>0</v>
      </c>
      <c r="M4" s="164">
        <v>0</v>
      </c>
      <c r="N4" s="141">
        <v>0</v>
      </c>
      <c r="O4" s="141">
        <v>0</v>
      </c>
      <c r="P4" s="142">
        <v>0</v>
      </c>
      <c r="Q4" s="142">
        <v>0</v>
      </c>
      <c r="R4" s="164">
        <v>0</v>
      </c>
      <c r="S4" s="164">
        <v>0</v>
      </c>
      <c r="T4" s="164">
        <v>0</v>
      </c>
      <c r="U4" s="164">
        <v>0</v>
      </c>
      <c r="V4" s="164">
        <v>0</v>
      </c>
      <c r="W4" s="164">
        <v>0</v>
      </c>
      <c r="X4" s="164">
        <v>0</v>
      </c>
      <c r="Y4" s="164">
        <v>0</v>
      </c>
      <c r="Z4" s="164">
        <v>0</v>
      </c>
      <c r="AA4" s="164">
        <v>0</v>
      </c>
      <c r="AB4" s="141">
        <v>0</v>
      </c>
      <c r="AC4" s="141">
        <v>0</v>
      </c>
      <c r="AD4" s="142">
        <v>0</v>
      </c>
      <c r="AE4" s="142">
        <v>0</v>
      </c>
      <c r="AF4" s="164">
        <v>0</v>
      </c>
      <c r="AG4" s="164">
        <v>0</v>
      </c>
      <c r="AH4" s="164">
        <v>0</v>
      </c>
      <c r="AI4" s="164">
        <v>0</v>
      </c>
      <c r="AJ4" s="164">
        <v>0</v>
      </c>
      <c r="AK4" s="164">
        <v>0</v>
      </c>
      <c r="AL4" s="164">
        <v>0</v>
      </c>
      <c r="AM4" s="164">
        <v>0</v>
      </c>
      <c r="AN4" s="164">
        <v>0</v>
      </c>
      <c r="AO4" s="164">
        <v>0</v>
      </c>
      <c r="AP4" s="141">
        <v>0</v>
      </c>
      <c r="AQ4" s="141">
        <v>0</v>
      </c>
      <c r="AR4" s="142">
        <v>0</v>
      </c>
      <c r="AS4" s="142">
        <v>0</v>
      </c>
      <c r="AT4" s="164">
        <v>0</v>
      </c>
      <c r="AU4" s="164">
        <v>0</v>
      </c>
      <c r="AV4" s="164">
        <v>0</v>
      </c>
      <c r="AW4" s="164">
        <v>0</v>
      </c>
      <c r="AX4" s="164">
        <v>0</v>
      </c>
      <c r="AY4" s="164">
        <v>0</v>
      </c>
      <c r="AZ4" s="164">
        <v>0</v>
      </c>
      <c r="BA4" s="164">
        <v>0</v>
      </c>
      <c r="BB4" s="164">
        <v>0</v>
      </c>
      <c r="BC4" s="164">
        <v>0</v>
      </c>
      <c r="BD4" s="141">
        <v>0</v>
      </c>
      <c r="BE4" s="141">
        <v>0</v>
      </c>
      <c r="BF4" s="142">
        <v>0</v>
      </c>
      <c r="BG4" s="142">
        <v>0</v>
      </c>
      <c r="BH4" s="164">
        <v>0</v>
      </c>
      <c r="BI4" s="164">
        <v>0</v>
      </c>
      <c r="BJ4" s="164">
        <v>0</v>
      </c>
      <c r="BK4" s="164">
        <v>0</v>
      </c>
      <c r="BL4" s="164">
        <v>0</v>
      </c>
      <c r="BM4" s="164">
        <v>0</v>
      </c>
    </row>
    <row r="5" spans="1:65" x14ac:dyDescent="0.25">
      <c r="A5" s="69" t="s">
        <v>74</v>
      </c>
      <c r="B5" s="70"/>
      <c r="C5" s="8"/>
      <c r="D5" s="142">
        <v>0</v>
      </c>
      <c r="E5" s="142">
        <v>0</v>
      </c>
      <c r="F5" s="164">
        <v>0</v>
      </c>
      <c r="G5" s="164">
        <v>11</v>
      </c>
      <c r="H5" s="164">
        <v>0</v>
      </c>
      <c r="I5" s="164">
        <v>11</v>
      </c>
      <c r="J5" s="164">
        <v>0</v>
      </c>
      <c r="K5" s="164">
        <v>11</v>
      </c>
      <c r="L5" s="164">
        <v>0</v>
      </c>
      <c r="M5" s="164">
        <v>11</v>
      </c>
      <c r="N5" s="141">
        <v>0</v>
      </c>
      <c r="O5" s="141">
        <v>0</v>
      </c>
      <c r="P5" s="142">
        <v>0</v>
      </c>
      <c r="Q5" s="142">
        <v>0</v>
      </c>
      <c r="R5" s="164">
        <v>0</v>
      </c>
      <c r="S5" s="164">
        <v>11</v>
      </c>
      <c r="T5" s="164">
        <v>0</v>
      </c>
      <c r="U5" s="164">
        <v>11</v>
      </c>
      <c r="V5" s="164">
        <v>0</v>
      </c>
      <c r="W5" s="164">
        <v>11</v>
      </c>
      <c r="X5" s="164">
        <v>0</v>
      </c>
      <c r="Y5" s="164">
        <v>11</v>
      </c>
      <c r="Z5" s="164">
        <v>0</v>
      </c>
      <c r="AA5" s="164">
        <v>11</v>
      </c>
      <c r="AB5" s="141">
        <v>0</v>
      </c>
      <c r="AC5" s="141">
        <v>0</v>
      </c>
      <c r="AD5" s="142">
        <v>0</v>
      </c>
      <c r="AE5" s="142">
        <v>0</v>
      </c>
      <c r="AF5" s="164">
        <v>0</v>
      </c>
      <c r="AG5" s="164">
        <v>11</v>
      </c>
      <c r="AH5" s="164">
        <v>0</v>
      </c>
      <c r="AI5" s="164">
        <v>11</v>
      </c>
      <c r="AJ5" s="164">
        <v>0</v>
      </c>
      <c r="AK5" s="164">
        <v>11</v>
      </c>
      <c r="AL5" s="164">
        <v>0</v>
      </c>
      <c r="AM5" s="164">
        <v>11</v>
      </c>
      <c r="AN5" s="164">
        <v>0</v>
      </c>
      <c r="AO5" s="164">
        <v>11</v>
      </c>
      <c r="AP5" s="141">
        <v>0</v>
      </c>
      <c r="AQ5" s="141">
        <v>0</v>
      </c>
      <c r="AR5" s="142">
        <v>0</v>
      </c>
      <c r="AS5" s="142">
        <v>0</v>
      </c>
      <c r="AT5" s="164">
        <v>0</v>
      </c>
      <c r="AU5" s="164">
        <v>11</v>
      </c>
      <c r="AV5" s="164">
        <v>0</v>
      </c>
      <c r="AW5" s="164">
        <v>11</v>
      </c>
      <c r="AX5" s="164">
        <v>0</v>
      </c>
      <c r="AY5" s="164">
        <v>11</v>
      </c>
      <c r="AZ5" s="164">
        <v>0</v>
      </c>
      <c r="BA5" s="164">
        <v>11</v>
      </c>
      <c r="BB5" s="164">
        <v>0</v>
      </c>
      <c r="BC5" s="164">
        <v>6</v>
      </c>
      <c r="BD5" s="141">
        <v>0</v>
      </c>
      <c r="BE5" s="141">
        <v>0</v>
      </c>
      <c r="BF5" s="142">
        <v>0</v>
      </c>
      <c r="BG5" s="142">
        <v>0</v>
      </c>
      <c r="BH5" s="164">
        <v>0</v>
      </c>
      <c r="BI5" s="164">
        <v>11</v>
      </c>
      <c r="BJ5" s="164">
        <v>0</v>
      </c>
      <c r="BK5" s="164">
        <v>11</v>
      </c>
      <c r="BL5" s="164">
        <v>2</v>
      </c>
      <c r="BM5" s="164">
        <v>13</v>
      </c>
    </row>
    <row r="6" spans="1:65" x14ac:dyDescent="0.25">
      <c r="A6" s="69" t="s">
        <v>75</v>
      </c>
      <c r="B6" s="70"/>
      <c r="C6" s="8"/>
      <c r="D6" s="142">
        <v>0</v>
      </c>
      <c r="E6" s="142">
        <v>0</v>
      </c>
      <c r="F6" s="164">
        <v>0</v>
      </c>
      <c r="G6" s="164">
        <v>0</v>
      </c>
      <c r="H6" s="164">
        <v>0</v>
      </c>
      <c r="I6" s="164">
        <v>0</v>
      </c>
      <c r="J6" s="164">
        <v>0</v>
      </c>
      <c r="K6" s="164">
        <v>0</v>
      </c>
      <c r="L6" s="164">
        <v>0</v>
      </c>
      <c r="M6" s="164">
        <v>0</v>
      </c>
      <c r="N6" s="141">
        <v>0</v>
      </c>
      <c r="O6" s="141">
        <v>0</v>
      </c>
      <c r="P6" s="142">
        <v>0</v>
      </c>
      <c r="Q6" s="142">
        <v>0</v>
      </c>
      <c r="R6" s="164">
        <v>0</v>
      </c>
      <c r="S6" s="164">
        <v>0</v>
      </c>
      <c r="T6" s="164">
        <v>0</v>
      </c>
      <c r="U6" s="164">
        <v>0</v>
      </c>
      <c r="V6" s="164">
        <v>0</v>
      </c>
      <c r="W6" s="164">
        <v>0</v>
      </c>
      <c r="X6" s="164">
        <v>0</v>
      </c>
      <c r="Y6" s="164">
        <v>0</v>
      </c>
      <c r="Z6" s="164">
        <v>0</v>
      </c>
      <c r="AA6" s="164">
        <v>0</v>
      </c>
      <c r="AB6" s="141">
        <v>0</v>
      </c>
      <c r="AC6" s="141">
        <v>0</v>
      </c>
      <c r="AD6" s="142">
        <v>0</v>
      </c>
      <c r="AE6" s="142">
        <v>0</v>
      </c>
      <c r="AF6" s="164">
        <v>0</v>
      </c>
      <c r="AG6" s="164">
        <v>0</v>
      </c>
      <c r="AH6" s="164">
        <v>0</v>
      </c>
      <c r="AI6" s="164">
        <v>0</v>
      </c>
      <c r="AJ6" s="164">
        <v>0</v>
      </c>
      <c r="AK6" s="164">
        <v>0</v>
      </c>
      <c r="AL6" s="164">
        <v>0</v>
      </c>
      <c r="AM6" s="164">
        <v>0</v>
      </c>
      <c r="AN6" s="164">
        <v>0</v>
      </c>
      <c r="AO6" s="164">
        <v>0</v>
      </c>
      <c r="AP6" s="141">
        <v>0</v>
      </c>
      <c r="AQ6" s="141">
        <v>0</v>
      </c>
      <c r="AR6" s="142">
        <v>0</v>
      </c>
      <c r="AS6" s="142">
        <v>0</v>
      </c>
      <c r="AT6" s="164">
        <v>0</v>
      </c>
      <c r="AU6" s="164">
        <v>0</v>
      </c>
      <c r="AV6" s="164">
        <v>0</v>
      </c>
      <c r="AW6" s="164">
        <v>0</v>
      </c>
      <c r="AX6" s="164">
        <v>0</v>
      </c>
      <c r="AY6" s="164">
        <v>0</v>
      </c>
      <c r="AZ6" s="164">
        <v>0</v>
      </c>
      <c r="BA6" s="164">
        <v>0</v>
      </c>
      <c r="BB6" s="164">
        <v>0</v>
      </c>
      <c r="BC6" s="164">
        <v>0</v>
      </c>
      <c r="BD6" s="141">
        <v>0</v>
      </c>
      <c r="BE6" s="141">
        <v>0</v>
      </c>
      <c r="BF6" s="142">
        <v>0</v>
      </c>
      <c r="BG6" s="142">
        <v>0</v>
      </c>
      <c r="BH6" s="164">
        <v>0</v>
      </c>
      <c r="BI6" s="164">
        <v>0</v>
      </c>
      <c r="BJ6" s="164">
        <v>0</v>
      </c>
      <c r="BK6" s="164">
        <v>0</v>
      </c>
      <c r="BL6" s="164">
        <v>0</v>
      </c>
      <c r="BM6" s="164">
        <v>0</v>
      </c>
    </row>
    <row r="7" spans="1:65" x14ac:dyDescent="0.25">
      <c r="A7" s="69" t="s">
        <v>76</v>
      </c>
      <c r="B7" s="70"/>
      <c r="C7" s="8"/>
      <c r="D7" s="142">
        <v>0</v>
      </c>
      <c r="E7" s="142">
        <v>0</v>
      </c>
      <c r="F7" s="164">
        <v>0</v>
      </c>
      <c r="G7" s="164">
        <v>0</v>
      </c>
      <c r="H7" s="164">
        <v>0</v>
      </c>
      <c r="I7" s="164">
        <v>0</v>
      </c>
      <c r="J7" s="164">
        <v>0</v>
      </c>
      <c r="K7" s="164">
        <v>0</v>
      </c>
      <c r="L7" s="164">
        <v>0</v>
      </c>
      <c r="M7" s="164">
        <v>0</v>
      </c>
      <c r="N7" s="141">
        <v>0</v>
      </c>
      <c r="O7" s="141">
        <v>0</v>
      </c>
      <c r="P7" s="142">
        <v>0</v>
      </c>
      <c r="Q7" s="142">
        <v>0</v>
      </c>
      <c r="R7" s="164">
        <v>0</v>
      </c>
      <c r="S7" s="164">
        <v>0</v>
      </c>
      <c r="T7" s="164">
        <v>0</v>
      </c>
      <c r="U7" s="164">
        <v>0</v>
      </c>
      <c r="V7" s="164">
        <v>0</v>
      </c>
      <c r="W7" s="164">
        <v>0</v>
      </c>
      <c r="X7" s="164">
        <v>0</v>
      </c>
      <c r="Y7" s="164">
        <v>0</v>
      </c>
      <c r="Z7" s="164">
        <v>0</v>
      </c>
      <c r="AA7" s="164">
        <v>0</v>
      </c>
      <c r="AB7" s="141">
        <v>0</v>
      </c>
      <c r="AC7" s="141">
        <v>0</v>
      </c>
      <c r="AD7" s="142">
        <v>0</v>
      </c>
      <c r="AE7" s="142">
        <v>0</v>
      </c>
      <c r="AF7" s="164">
        <v>0</v>
      </c>
      <c r="AG7" s="164">
        <v>0</v>
      </c>
      <c r="AH7" s="164">
        <v>0</v>
      </c>
      <c r="AI7" s="164">
        <v>0</v>
      </c>
      <c r="AJ7" s="164">
        <v>0</v>
      </c>
      <c r="AK7" s="164">
        <v>0</v>
      </c>
      <c r="AL7" s="164">
        <v>0</v>
      </c>
      <c r="AM7" s="164">
        <v>0</v>
      </c>
      <c r="AN7" s="164">
        <v>0</v>
      </c>
      <c r="AO7" s="164">
        <v>0</v>
      </c>
      <c r="AP7" s="141">
        <v>0</v>
      </c>
      <c r="AQ7" s="141">
        <v>0</v>
      </c>
      <c r="AR7" s="142">
        <v>0</v>
      </c>
      <c r="AS7" s="142">
        <v>0</v>
      </c>
      <c r="AT7" s="164">
        <v>0</v>
      </c>
      <c r="AU7" s="164">
        <v>0</v>
      </c>
      <c r="AV7" s="164">
        <v>0</v>
      </c>
      <c r="AW7" s="164">
        <v>0</v>
      </c>
      <c r="AX7" s="164">
        <v>0</v>
      </c>
      <c r="AY7" s="164">
        <v>0</v>
      </c>
      <c r="AZ7" s="164">
        <v>0</v>
      </c>
      <c r="BA7" s="164">
        <v>0</v>
      </c>
      <c r="BB7" s="164">
        <v>0</v>
      </c>
      <c r="BC7" s="164">
        <v>0</v>
      </c>
      <c r="BD7" s="141">
        <v>0</v>
      </c>
      <c r="BE7" s="141">
        <v>0</v>
      </c>
      <c r="BF7" s="142">
        <v>0</v>
      </c>
      <c r="BG7" s="142">
        <v>0</v>
      </c>
      <c r="BH7" s="164">
        <v>0</v>
      </c>
      <c r="BI7" s="164">
        <v>0</v>
      </c>
      <c r="BJ7" s="164">
        <v>0</v>
      </c>
      <c r="BK7" s="164">
        <v>0</v>
      </c>
      <c r="BL7" s="164">
        <v>0</v>
      </c>
      <c r="BM7" s="164">
        <v>0</v>
      </c>
    </row>
    <row r="8" spans="1:65" ht="15.75" thickBot="1" x14ac:dyDescent="0.3">
      <c r="A8" s="69" t="s">
        <v>77</v>
      </c>
      <c r="B8" s="71"/>
      <c r="C8" s="8"/>
      <c r="D8" s="142">
        <v>0</v>
      </c>
      <c r="E8" s="142">
        <v>0</v>
      </c>
      <c r="F8" s="164">
        <v>0</v>
      </c>
      <c r="G8" s="164">
        <v>11</v>
      </c>
      <c r="H8" s="164">
        <v>0</v>
      </c>
      <c r="I8" s="164">
        <v>11</v>
      </c>
      <c r="J8" s="164">
        <v>0</v>
      </c>
      <c r="K8" s="164">
        <v>11</v>
      </c>
      <c r="L8" s="164">
        <v>0</v>
      </c>
      <c r="M8" s="164">
        <v>11</v>
      </c>
      <c r="N8" s="141">
        <v>0</v>
      </c>
      <c r="O8" s="141">
        <v>0</v>
      </c>
      <c r="P8" s="142">
        <v>0</v>
      </c>
      <c r="Q8" s="142">
        <v>0</v>
      </c>
      <c r="R8" s="164">
        <v>0</v>
      </c>
      <c r="S8" s="164">
        <v>11</v>
      </c>
      <c r="T8" s="164">
        <v>0</v>
      </c>
      <c r="U8" s="164">
        <v>11</v>
      </c>
      <c r="V8" s="164">
        <v>0</v>
      </c>
      <c r="W8" s="164">
        <v>11</v>
      </c>
      <c r="X8" s="164">
        <v>0</v>
      </c>
      <c r="Y8" s="164">
        <v>11</v>
      </c>
      <c r="Z8" s="164">
        <v>0</v>
      </c>
      <c r="AA8" s="164">
        <v>11</v>
      </c>
      <c r="AB8" s="141">
        <v>0</v>
      </c>
      <c r="AC8" s="141">
        <v>0</v>
      </c>
      <c r="AD8" s="142">
        <v>0</v>
      </c>
      <c r="AE8" s="142">
        <v>0</v>
      </c>
      <c r="AF8" s="164">
        <v>1</v>
      </c>
      <c r="AG8" s="164">
        <v>10</v>
      </c>
      <c r="AH8" s="164">
        <v>1</v>
      </c>
      <c r="AI8" s="164">
        <v>10</v>
      </c>
      <c r="AJ8" s="164">
        <v>1</v>
      </c>
      <c r="AK8" s="164">
        <v>10</v>
      </c>
      <c r="AL8" s="164">
        <v>1</v>
      </c>
      <c r="AM8" s="164">
        <v>10</v>
      </c>
      <c r="AN8" s="164">
        <v>1</v>
      </c>
      <c r="AO8" s="164">
        <v>10</v>
      </c>
      <c r="AP8" s="141">
        <v>0</v>
      </c>
      <c r="AQ8" s="141">
        <v>0</v>
      </c>
      <c r="AR8" s="142">
        <v>0</v>
      </c>
      <c r="AS8" s="142">
        <v>0</v>
      </c>
      <c r="AT8" s="164">
        <v>3</v>
      </c>
      <c r="AU8" s="164">
        <v>8</v>
      </c>
      <c r="AV8" s="164">
        <v>3</v>
      </c>
      <c r="AW8" s="164">
        <v>8</v>
      </c>
      <c r="AX8" s="164">
        <v>3</v>
      </c>
      <c r="AY8" s="164">
        <v>8</v>
      </c>
      <c r="AZ8" s="164">
        <v>3</v>
      </c>
      <c r="BA8" s="164">
        <v>8</v>
      </c>
      <c r="BB8" s="164">
        <v>0</v>
      </c>
      <c r="BC8" s="164">
        <v>5</v>
      </c>
      <c r="BD8" s="141">
        <v>0</v>
      </c>
      <c r="BE8" s="141">
        <v>0</v>
      </c>
      <c r="BF8" s="142">
        <v>0</v>
      </c>
      <c r="BG8" s="142">
        <v>0</v>
      </c>
      <c r="BH8" s="164">
        <v>3</v>
      </c>
      <c r="BI8" s="164">
        <v>8</v>
      </c>
      <c r="BJ8" s="164">
        <v>3</v>
      </c>
      <c r="BK8" s="164">
        <v>8</v>
      </c>
      <c r="BL8" s="164">
        <v>10</v>
      </c>
      <c r="BM8" s="164">
        <v>4</v>
      </c>
    </row>
    <row r="9" spans="1:65" x14ac:dyDescent="0.25">
      <c r="A9" s="55"/>
      <c r="B9" s="55"/>
      <c r="C9" s="8"/>
      <c r="D9" s="272"/>
      <c r="E9" s="272"/>
      <c r="F9" s="272"/>
      <c r="G9" s="272"/>
      <c r="H9" s="272"/>
      <c r="I9" s="272"/>
      <c r="J9" s="272"/>
      <c r="K9" s="272"/>
      <c r="L9" s="272"/>
      <c r="M9" s="272"/>
      <c r="N9" s="272"/>
      <c r="O9" s="272"/>
      <c r="P9" s="272"/>
      <c r="Q9" s="272"/>
      <c r="R9" s="272"/>
      <c r="S9" s="272"/>
      <c r="T9" s="272"/>
      <c r="U9" s="272"/>
      <c r="V9" s="272"/>
      <c r="W9" s="272"/>
      <c r="X9" s="272"/>
      <c r="Y9" s="272"/>
      <c r="Z9" s="272"/>
      <c r="AA9" s="272"/>
      <c r="AB9" s="272"/>
      <c r="AC9" s="272"/>
      <c r="AD9" s="272"/>
      <c r="AE9" s="272"/>
      <c r="AF9" s="272" t="s">
        <v>147</v>
      </c>
      <c r="AG9" s="272" t="s">
        <v>147</v>
      </c>
      <c r="AH9" s="272"/>
      <c r="AI9" s="272"/>
      <c r="AJ9" s="272"/>
      <c r="AK9" s="272"/>
      <c r="AL9" s="272"/>
      <c r="AM9" s="272"/>
      <c r="AN9" s="272"/>
      <c r="AO9" s="272"/>
      <c r="AP9" s="272" t="s">
        <v>147</v>
      </c>
      <c r="AQ9" s="272" t="s">
        <v>147</v>
      </c>
      <c r="AR9" s="272" t="s">
        <v>147</v>
      </c>
      <c r="AS9" s="272" t="s">
        <v>147</v>
      </c>
      <c r="AT9" s="272" t="s">
        <v>147</v>
      </c>
      <c r="AU9" s="272" t="s">
        <v>147</v>
      </c>
      <c r="AV9" s="272"/>
      <c r="AW9" s="272"/>
      <c r="AX9" s="272"/>
      <c r="AY9" s="272"/>
      <c r="AZ9" s="272"/>
      <c r="BA9" s="272"/>
      <c r="BB9" s="272"/>
      <c r="BC9" s="272"/>
      <c r="BD9" s="272"/>
      <c r="BE9" s="272"/>
      <c r="BF9" s="272"/>
      <c r="BG9" s="272"/>
      <c r="BH9" s="272"/>
      <c r="BI9" s="272"/>
      <c r="BJ9" s="272"/>
      <c r="BK9" s="272"/>
      <c r="BL9" s="272"/>
      <c r="BM9" s="272"/>
    </row>
    <row r="10" spans="1:65" x14ac:dyDescent="0.25">
      <c r="A10" s="72" t="s">
        <v>73</v>
      </c>
      <c r="B10" s="73"/>
      <c r="C10" s="8"/>
      <c r="D10" s="142">
        <v>0</v>
      </c>
      <c r="E10" s="142">
        <v>0</v>
      </c>
      <c r="F10" s="164">
        <v>0</v>
      </c>
      <c r="G10" s="164">
        <v>0</v>
      </c>
      <c r="H10" s="164">
        <v>0</v>
      </c>
      <c r="I10" s="164">
        <v>0</v>
      </c>
      <c r="J10" s="164">
        <v>0</v>
      </c>
      <c r="K10" s="164">
        <v>0</v>
      </c>
      <c r="L10" s="164">
        <v>0</v>
      </c>
      <c r="M10" s="164">
        <v>0</v>
      </c>
      <c r="N10" s="141">
        <v>0</v>
      </c>
      <c r="O10" s="141">
        <v>0</v>
      </c>
      <c r="P10" s="142">
        <v>0</v>
      </c>
      <c r="Q10" s="142">
        <v>0</v>
      </c>
      <c r="R10" s="164">
        <v>0</v>
      </c>
      <c r="S10" s="164">
        <v>0</v>
      </c>
      <c r="T10" s="164">
        <v>0</v>
      </c>
      <c r="U10" s="164">
        <v>0</v>
      </c>
      <c r="V10" s="164">
        <v>0</v>
      </c>
      <c r="W10" s="164">
        <v>0</v>
      </c>
      <c r="X10" s="164">
        <v>0</v>
      </c>
      <c r="Y10" s="164">
        <v>0</v>
      </c>
      <c r="Z10" s="164">
        <v>0</v>
      </c>
      <c r="AA10" s="164">
        <v>0</v>
      </c>
      <c r="AB10" s="141">
        <v>0</v>
      </c>
      <c r="AC10" s="141">
        <v>0</v>
      </c>
      <c r="AD10" s="142">
        <v>0</v>
      </c>
      <c r="AE10" s="142">
        <v>0</v>
      </c>
      <c r="AF10" s="164">
        <v>0</v>
      </c>
      <c r="AG10" s="164">
        <v>0</v>
      </c>
      <c r="AH10" s="164">
        <v>0</v>
      </c>
      <c r="AI10" s="164">
        <v>0</v>
      </c>
      <c r="AJ10" s="164">
        <v>0</v>
      </c>
      <c r="AK10" s="164">
        <v>0</v>
      </c>
      <c r="AL10" s="164">
        <v>0</v>
      </c>
      <c r="AM10" s="164">
        <v>0</v>
      </c>
      <c r="AN10" s="164">
        <v>0</v>
      </c>
      <c r="AO10" s="164">
        <v>0</v>
      </c>
      <c r="AP10" s="141">
        <v>0</v>
      </c>
      <c r="AQ10" s="141">
        <v>0</v>
      </c>
      <c r="AR10" s="142">
        <v>0</v>
      </c>
      <c r="AS10" s="142">
        <v>0</v>
      </c>
      <c r="AT10" s="164">
        <v>0</v>
      </c>
      <c r="AU10" s="164">
        <v>0</v>
      </c>
      <c r="AV10" s="164">
        <v>0</v>
      </c>
      <c r="AW10" s="164">
        <v>0</v>
      </c>
      <c r="AX10" s="164">
        <v>0</v>
      </c>
      <c r="AY10" s="164">
        <v>0</v>
      </c>
      <c r="AZ10" s="164">
        <v>0</v>
      </c>
      <c r="BA10" s="164">
        <v>0</v>
      </c>
      <c r="BB10" s="164">
        <v>0</v>
      </c>
      <c r="BC10" s="164">
        <v>0</v>
      </c>
      <c r="BD10" s="141">
        <v>0</v>
      </c>
      <c r="BE10" s="141">
        <v>0</v>
      </c>
      <c r="BF10" s="142">
        <v>0</v>
      </c>
      <c r="BG10" s="142">
        <v>0</v>
      </c>
      <c r="BH10" s="164">
        <v>0</v>
      </c>
      <c r="BI10" s="164">
        <v>0</v>
      </c>
      <c r="BJ10" s="164">
        <v>0</v>
      </c>
      <c r="BK10" s="164">
        <v>0</v>
      </c>
      <c r="BL10" s="164">
        <v>0</v>
      </c>
      <c r="BM10" s="164">
        <v>0</v>
      </c>
    </row>
    <row r="11" spans="1:65" s="130" customFormat="1" x14ac:dyDescent="0.25">
      <c r="A11" s="72" t="s">
        <v>123</v>
      </c>
      <c r="B11" s="73"/>
      <c r="C11" s="8"/>
      <c r="D11" s="142">
        <v>0</v>
      </c>
      <c r="E11" s="142">
        <v>0</v>
      </c>
      <c r="F11" s="164">
        <v>0</v>
      </c>
      <c r="G11" s="164">
        <v>0</v>
      </c>
      <c r="H11" s="164">
        <v>0</v>
      </c>
      <c r="I11" s="164">
        <v>0</v>
      </c>
      <c r="J11" s="164">
        <v>0</v>
      </c>
      <c r="K11" s="164">
        <v>0</v>
      </c>
      <c r="L11" s="164">
        <v>0</v>
      </c>
      <c r="M11" s="164">
        <v>0</v>
      </c>
      <c r="N11" s="141">
        <v>0</v>
      </c>
      <c r="O11" s="141">
        <v>0</v>
      </c>
      <c r="P11" s="142">
        <v>0</v>
      </c>
      <c r="Q11" s="142">
        <v>0</v>
      </c>
      <c r="R11" s="164">
        <v>0</v>
      </c>
      <c r="S11" s="164">
        <v>0</v>
      </c>
      <c r="T11" s="164">
        <v>0</v>
      </c>
      <c r="U11" s="164">
        <v>0</v>
      </c>
      <c r="V11" s="164">
        <v>0</v>
      </c>
      <c r="W11" s="164">
        <v>0</v>
      </c>
      <c r="X11" s="164">
        <v>0</v>
      </c>
      <c r="Y11" s="164">
        <v>0</v>
      </c>
      <c r="Z11" s="164">
        <v>0</v>
      </c>
      <c r="AA11" s="164">
        <v>0</v>
      </c>
      <c r="AB11" s="141">
        <v>0</v>
      </c>
      <c r="AC11" s="141">
        <v>0</v>
      </c>
      <c r="AD11" s="142">
        <v>0</v>
      </c>
      <c r="AE11" s="142">
        <v>0</v>
      </c>
      <c r="AF11" s="164">
        <v>0</v>
      </c>
      <c r="AG11" s="164">
        <v>0</v>
      </c>
      <c r="AH11" s="164">
        <v>0</v>
      </c>
      <c r="AI11" s="164">
        <v>0</v>
      </c>
      <c r="AJ11" s="164">
        <v>0</v>
      </c>
      <c r="AK11" s="164">
        <v>0</v>
      </c>
      <c r="AL11" s="164">
        <v>0</v>
      </c>
      <c r="AM11" s="164">
        <v>0</v>
      </c>
      <c r="AN11" s="164">
        <v>0</v>
      </c>
      <c r="AO11" s="164">
        <v>0</v>
      </c>
      <c r="AP11" s="141">
        <v>0</v>
      </c>
      <c r="AQ11" s="141">
        <v>0</v>
      </c>
      <c r="AR11" s="142">
        <v>0</v>
      </c>
      <c r="AS11" s="142">
        <v>0</v>
      </c>
      <c r="AT11" s="164">
        <v>0</v>
      </c>
      <c r="AU11" s="164">
        <v>0</v>
      </c>
      <c r="AV11" s="164">
        <v>0</v>
      </c>
      <c r="AW11" s="164">
        <v>0</v>
      </c>
      <c r="AX11" s="164">
        <v>0</v>
      </c>
      <c r="AY11" s="164">
        <v>0</v>
      </c>
      <c r="AZ11" s="164">
        <v>0</v>
      </c>
      <c r="BA11" s="164">
        <v>0</v>
      </c>
      <c r="BB11" s="164">
        <v>0</v>
      </c>
      <c r="BC11" s="164">
        <v>0</v>
      </c>
      <c r="BD11" s="141">
        <v>0</v>
      </c>
      <c r="BE11" s="141">
        <v>0</v>
      </c>
      <c r="BF11" s="142">
        <v>0</v>
      </c>
      <c r="BG11" s="142">
        <v>0</v>
      </c>
      <c r="BH11" s="164">
        <v>0</v>
      </c>
      <c r="BI11" s="164">
        <v>0</v>
      </c>
      <c r="BJ11" s="164">
        <v>0</v>
      </c>
      <c r="BK11" s="164">
        <v>0</v>
      </c>
      <c r="BL11" s="164">
        <v>0</v>
      </c>
      <c r="BM11" s="164">
        <v>0</v>
      </c>
    </row>
    <row r="12" spans="1:65" x14ac:dyDescent="0.25">
      <c r="A12" s="74" t="s">
        <v>74</v>
      </c>
      <c r="B12" s="75"/>
      <c r="C12" s="8"/>
      <c r="D12" s="142">
        <v>51</v>
      </c>
      <c r="E12" s="142">
        <v>3</v>
      </c>
      <c r="F12" s="164">
        <v>12</v>
      </c>
      <c r="G12" s="164">
        <v>50</v>
      </c>
      <c r="H12" s="164">
        <v>22</v>
      </c>
      <c r="I12" s="164">
        <v>40</v>
      </c>
      <c r="J12" s="164">
        <v>18</v>
      </c>
      <c r="K12" s="164">
        <v>44</v>
      </c>
      <c r="L12" s="164">
        <v>18</v>
      </c>
      <c r="M12" s="164">
        <v>44</v>
      </c>
      <c r="N12" s="141">
        <v>67</v>
      </c>
      <c r="O12" s="141">
        <v>3</v>
      </c>
      <c r="P12" s="142">
        <v>51</v>
      </c>
      <c r="Q12" s="142">
        <v>3</v>
      </c>
      <c r="R12" s="164">
        <v>20</v>
      </c>
      <c r="S12" s="164">
        <v>42</v>
      </c>
      <c r="T12" s="164">
        <v>28</v>
      </c>
      <c r="U12" s="164">
        <v>34</v>
      </c>
      <c r="V12" s="164">
        <v>28</v>
      </c>
      <c r="W12" s="164">
        <v>34</v>
      </c>
      <c r="X12" s="164">
        <v>28</v>
      </c>
      <c r="Y12" s="164">
        <v>34</v>
      </c>
      <c r="Z12" s="164">
        <v>28</v>
      </c>
      <c r="AA12" s="164">
        <v>34</v>
      </c>
      <c r="AB12" s="141">
        <v>66</v>
      </c>
      <c r="AC12" s="141">
        <v>4</v>
      </c>
      <c r="AD12" s="142">
        <v>51</v>
      </c>
      <c r="AE12" s="142">
        <v>3</v>
      </c>
      <c r="AF12" s="164">
        <v>36</v>
      </c>
      <c r="AG12" s="164">
        <v>26</v>
      </c>
      <c r="AH12" s="164">
        <v>38</v>
      </c>
      <c r="AI12" s="164">
        <v>24</v>
      </c>
      <c r="AJ12" s="164">
        <v>37</v>
      </c>
      <c r="AK12" s="164">
        <v>25</v>
      </c>
      <c r="AL12" s="164">
        <v>37</v>
      </c>
      <c r="AM12" s="164">
        <v>25</v>
      </c>
      <c r="AN12" s="164">
        <v>36</v>
      </c>
      <c r="AO12" s="164">
        <v>26</v>
      </c>
      <c r="AP12" s="141">
        <v>68</v>
      </c>
      <c r="AQ12" s="141">
        <v>3</v>
      </c>
      <c r="AR12" s="142">
        <v>51</v>
      </c>
      <c r="AS12" s="142">
        <v>3</v>
      </c>
      <c r="AT12" s="164">
        <v>45</v>
      </c>
      <c r="AU12" s="164">
        <v>17</v>
      </c>
      <c r="AV12" s="164">
        <v>45</v>
      </c>
      <c r="AW12" s="164">
        <v>17</v>
      </c>
      <c r="AX12" s="164">
        <v>44</v>
      </c>
      <c r="AY12" s="164">
        <v>18</v>
      </c>
      <c r="AZ12" s="164">
        <v>45</v>
      </c>
      <c r="BA12" s="164">
        <v>17</v>
      </c>
      <c r="BB12" s="164">
        <v>5</v>
      </c>
      <c r="BC12" s="164">
        <v>30</v>
      </c>
      <c r="BD12" s="141">
        <v>0</v>
      </c>
      <c r="BE12" s="141">
        <v>32</v>
      </c>
      <c r="BF12" s="142">
        <v>0</v>
      </c>
      <c r="BG12" s="142">
        <v>28</v>
      </c>
      <c r="BH12" s="164">
        <v>45</v>
      </c>
      <c r="BI12" s="164">
        <v>17</v>
      </c>
      <c r="BJ12" s="164">
        <v>46</v>
      </c>
      <c r="BK12" s="164">
        <v>16</v>
      </c>
      <c r="BL12" s="164">
        <v>48</v>
      </c>
      <c r="BM12" s="164">
        <v>20</v>
      </c>
    </row>
    <row r="13" spans="1:65" x14ac:dyDescent="0.25">
      <c r="A13" s="74" t="s">
        <v>75</v>
      </c>
      <c r="B13" s="75"/>
      <c r="C13" s="8"/>
      <c r="D13" s="142">
        <v>0</v>
      </c>
      <c r="E13" s="142">
        <v>0</v>
      </c>
      <c r="F13" s="164">
        <v>0</v>
      </c>
      <c r="G13" s="164">
        <v>0</v>
      </c>
      <c r="H13" s="164">
        <v>0</v>
      </c>
      <c r="I13" s="164">
        <v>0</v>
      </c>
      <c r="J13" s="164">
        <v>0</v>
      </c>
      <c r="K13" s="164">
        <v>0</v>
      </c>
      <c r="L13" s="164">
        <v>0</v>
      </c>
      <c r="M13" s="164">
        <v>0</v>
      </c>
      <c r="N13" s="141">
        <v>0</v>
      </c>
      <c r="O13" s="141">
        <v>0</v>
      </c>
      <c r="P13" s="142">
        <v>0</v>
      </c>
      <c r="Q13" s="142">
        <v>0</v>
      </c>
      <c r="R13" s="164">
        <v>0</v>
      </c>
      <c r="S13" s="164">
        <v>0</v>
      </c>
      <c r="T13" s="164">
        <v>0</v>
      </c>
      <c r="U13" s="164">
        <v>0</v>
      </c>
      <c r="V13" s="164">
        <v>0</v>
      </c>
      <c r="W13" s="164">
        <v>0</v>
      </c>
      <c r="X13" s="164">
        <v>0</v>
      </c>
      <c r="Y13" s="164">
        <v>0</v>
      </c>
      <c r="Z13" s="164">
        <v>0</v>
      </c>
      <c r="AA13" s="164">
        <v>0</v>
      </c>
      <c r="AB13" s="141">
        <v>0</v>
      </c>
      <c r="AC13" s="141">
        <v>0</v>
      </c>
      <c r="AD13" s="142">
        <v>0</v>
      </c>
      <c r="AE13" s="142">
        <v>0</v>
      </c>
      <c r="AF13" s="164">
        <v>0</v>
      </c>
      <c r="AG13" s="164">
        <v>0</v>
      </c>
      <c r="AH13" s="164">
        <v>0</v>
      </c>
      <c r="AI13" s="164">
        <v>0</v>
      </c>
      <c r="AJ13" s="164">
        <v>0</v>
      </c>
      <c r="AK13" s="164">
        <v>0</v>
      </c>
      <c r="AL13" s="164">
        <v>0</v>
      </c>
      <c r="AM13" s="164">
        <v>0</v>
      </c>
      <c r="AN13" s="164">
        <v>0</v>
      </c>
      <c r="AO13" s="164">
        <v>0</v>
      </c>
      <c r="AP13" s="141">
        <v>0</v>
      </c>
      <c r="AQ13" s="141">
        <v>0</v>
      </c>
      <c r="AR13" s="142">
        <v>0</v>
      </c>
      <c r="AS13" s="142">
        <v>0</v>
      </c>
      <c r="AT13" s="164">
        <v>0</v>
      </c>
      <c r="AU13" s="164">
        <v>0</v>
      </c>
      <c r="AV13" s="164">
        <v>0</v>
      </c>
      <c r="AW13" s="164">
        <v>0</v>
      </c>
      <c r="AX13" s="164">
        <v>0</v>
      </c>
      <c r="AY13" s="164">
        <v>0</v>
      </c>
      <c r="AZ13" s="164">
        <v>0</v>
      </c>
      <c r="BA13" s="164">
        <v>0</v>
      </c>
      <c r="BB13" s="164">
        <v>0</v>
      </c>
      <c r="BC13" s="164">
        <v>0</v>
      </c>
      <c r="BD13" s="141">
        <v>0</v>
      </c>
      <c r="BE13" s="141">
        <v>0</v>
      </c>
      <c r="BF13" s="142">
        <v>0</v>
      </c>
      <c r="BG13" s="142">
        <v>0</v>
      </c>
      <c r="BH13" s="164">
        <v>0</v>
      </c>
      <c r="BI13" s="164">
        <v>0</v>
      </c>
      <c r="BJ13" s="164">
        <v>0</v>
      </c>
      <c r="BK13" s="164">
        <v>0</v>
      </c>
      <c r="BL13" s="164">
        <v>0</v>
      </c>
      <c r="BM13" s="164">
        <v>0</v>
      </c>
    </row>
    <row r="14" spans="1:65" ht="15.75" thickBot="1" x14ac:dyDescent="0.3">
      <c r="A14" s="76" t="s">
        <v>76</v>
      </c>
      <c r="B14" s="77"/>
      <c r="C14" s="8"/>
      <c r="D14" s="142">
        <v>0</v>
      </c>
      <c r="E14" s="142">
        <v>0</v>
      </c>
      <c r="F14" s="164">
        <v>0</v>
      </c>
      <c r="G14" s="164">
        <v>1</v>
      </c>
      <c r="H14" s="164">
        <v>0</v>
      </c>
      <c r="I14" s="164">
        <v>1</v>
      </c>
      <c r="J14" s="164">
        <v>0</v>
      </c>
      <c r="K14" s="164">
        <v>1</v>
      </c>
      <c r="L14" s="164">
        <v>0</v>
      </c>
      <c r="M14" s="164">
        <v>1</v>
      </c>
      <c r="N14" s="141">
        <v>0</v>
      </c>
      <c r="O14" s="141">
        <v>0</v>
      </c>
      <c r="P14" s="142">
        <v>0</v>
      </c>
      <c r="Q14" s="142">
        <v>0</v>
      </c>
      <c r="R14" s="164">
        <v>0</v>
      </c>
      <c r="S14" s="164">
        <v>1</v>
      </c>
      <c r="T14" s="164">
        <v>0</v>
      </c>
      <c r="U14" s="164">
        <v>1</v>
      </c>
      <c r="V14" s="164">
        <v>0</v>
      </c>
      <c r="W14" s="164">
        <v>1</v>
      </c>
      <c r="X14" s="164">
        <v>0</v>
      </c>
      <c r="Y14" s="164">
        <v>1</v>
      </c>
      <c r="Z14" s="164">
        <v>0</v>
      </c>
      <c r="AA14" s="164">
        <v>1</v>
      </c>
      <c r="AB14" s="141">
        <v>0</v>
      </c>
      <c r="AC14" s="141">
        <v>0</v>
      </c>
      <c r="AD14" s="142">
        <v>0</v>
      </c>
      <c r="AE14" s="142">
        <v>0</v>
      </c>
      <c r="AF14" s="164">
        <v>1</v>
      </c>
      <c r="AG14" s="164">
        <v>1</v>
      </c>
      <c r="AH14" s="164">
        <v>0</v>
      </c>
      <c r="AI14" s="164">
        <v>1</v>
      </c>
      <c r="AJ14" s="164">
        <v>0</v>
      </c>
      <c r="AK14" s="164">
        <v>1</v>
      </c>
      <c r="AL14" s="164">
        <v>0</v>
      </c>
      <c r="AM14" s="164">
        <v>1</v>
      </c>
      <c r="AN14" s="164">
        <v>0</v>
      </c>
      <c r="AO14" s="164">
        <v>1</v>
      </c>
      <c r="AP14" s="141">
        <v>0</v>
      </c>
      <c r="AQ14" s="141">
        <v>0</v>
      </c>
      <c r="AR14" s="142">
        <v>0</v>
      </c>
      <c r="AS14" s="142">
        <v>0</v>
      </c>
      <c r="AT14" s="164">
        <v>0</v>
      </c>
      <c r="AU14" s="164">
        <v>1</v>
      </c>
      <c r="AV14" s="164">
        <v>0</v>
      </c>
      <c r="AW14" s="164">
        <v>1</v>
      </c>
      <c r="AX14" s="164">
        <v>0</v>
      </c>
      <c r="AY14" s="164">
        <v>1</v>
      </c>
      <c r="AZ14" s="164">
        <v>0</v>
      </c>
      <c r="BA14" s="164">
        <v>1</v>
      </c>
      <c r="BB14" s="164">
        <v>0</v>
      </c>
      <c r="BC14" s="164">
        <v>1</v>
      </c>
      <c r="BD14" s="141">
        <v>0</v>
      </c>
      <c r="BE14" s="141">
        <v>0</v>
      </c>
      <c r="BF14" s="142">
        <v>0</v>
      </c>
      <c r="BG14" s="142">
        <v>0</v>
      </c>
      <c r="BH14" s="164">
        <v>0</v>
      </c>
      <c r="BI14" s="164">
        <v>1</v>
      </c>
      <c r="BJ14" s="164">
        <v>0</v>
      </c>
      <c r="BK14" s="164">
        <v>1</v>
      </c>
      <c r="BL14" s="164">
        <v>0</v>
      </c>
      <c r="BM14" s="164">
        <v>1</v>
      </c>
    </row>
    <row r="15" spans="1:65" ht="15.75" thickBot="1" x14ac:dyDescent="0.3">
      <c r="A15" s="78" t="s">
        <v>77</v>
      </c>
      <c r="B15" s="78"/>
      <c r="C15" s="8"/>
      <c r="D15" s="142">
        <v>55</v>
      </c>
      <c r="E15" s="142">
        <v>2</v>
      </c>
      <c r="F15" s="164">
        <v>12</v>
      </c>
      <c r="G15" s="164">
        <v>51</v>
      </c>
      <c r="H15" s="164">
        <v>21</v>
      </c>
      <c r="I15" s="164">
        <v>42</v>
      </c>
      <c r="J15" s="164">
        <v>18</v>
      </c>
      <c r="K15" s="164">
        <v>45</v>
      </c>
      <c r="L15" s="164">
        <v>18</v>
      </c>
      <c r="M15" s="164">
        <v>45</v>
      </c>
      <c r="N15" s="141">
        <v>73</v>
      </c>
      <c r="O15" s="141">
        <v>0</v>
      </c>
      <c r="P15" s="142">
        <v>57</v>
      </c>
      <c r="Q15" s="142">
        <v>0</v>
      </c>
      <c r="R15" s="164">
        <v>24</v>
      </c>
      <c r="S15" s="164">
        <v>39</v>
      </c>
      <c r="T15" s="164">
        <v>26</v>
      </c>
      <c r="U15" s="164">
        <v>37</v>
      </c>
      <c r="V15" s="164">
        <v>25</v>
      </c>
      <c r="W15" s="164">
        <v>38</v>
      </c>
      <c r="X15" s="164">
        <v>24</v>
      </c>
      <c r="Y15" s="164">
        <v>39</v>
      </c>
      <c r="Z15" s="164">
        <v>24</v>
      </c>
      <c r="AA15" s="164">
        <v>39</v>
      </c>
      <c r="AB15" s="141">
        <v>72</v>
      </c>
      <c r="AC15" s="141">
        <v>1</v>
      </c>
      <c r="AD15" s="142">
        <v>57</v>
      </c>
      <c r="AE15" s="142">
        <v>0</v>
      </c>
      <c r="AF15" s="164">
        <v>32</v>
      </c>
      <c r="AG15" s="164">
        <v>31</v>
      </c>
      <c r="AH15" s="164">
        <v>33</v>
      </c>
      <c r="AI15" s="164">
        <v>30</v>
      </c>
      <c r="AJ15" s="164">
        <v>32</v>
      </c>
      <c r="AK15" s="164">
        <v>31</v>
      </c>
      <c r="AL15" s="164">
        <v>33</v>
      </c>
      <c r="AM15" s="164">
        <v>30</v>
      </c>
      <c r="AN15" s="164">
        <v>33</v>
      </c>
      <c r="AO15" s="164">
        <v>30</v>
      </c>
      <c r="AP15" s="141">
        <v>74</v>
      </c>
      <c r="AQ15" s="141">
        <v>0</v>
      </c>
      <c r="AR15" s="142">
        <v>57</v>
      </c>
      <c r="AS15" s="142">
        <v>0</v>
      </c>
      <c r="AT15" s="164">
        <v>38</v>
      </c>
      <c r="AU15" s="164">
        <v>25</v>
      </c>
      <c r="AV15" s="164">
        <v>38</v>
      </c>
      <c r="AW15" s="164">
        <v>25</v>
      </c>
      <c r="AX15" s="164">
        <v>38</v>
      </c>
      <c r="AY15" s="164">
        <v>25</v>
      </c>
      <c r="AZ15" s="164">
        <v>38</v>
      </c>
      <c r="BA15" s="164">
        <v>25</v>
      </c>
      <c r="BB15" s="164">
        <v>2</v>
      </c>
      <c r="BC15" s="164">
        <v>31</v>
      </c>
      <c r="BD15" s="141">
        <v>2</v>
      </c>
      <c r="BE15" s="141">
        <v>31</v>
      </c>
      <c r="BF15" s="142">
        <v>0</v>
      </c>
      <c r="BG15" s="142">
        <v>29</v>
      </c>
      <c r="BH15" s="164">
        <v>39</v>
      </c>
      <c r="BI15" s="164">
        <v>24</v>
      </c>
      <c r="BJ15" s="164">
        <v>39</v>
      </c>
      <c r="BK15" s="164">
        <v>24</v>
      </c>
      <c r="BL15" s="164">
        <v>43</v>
      </c>
      <c r="BM15" s="164">
        <v>28</v>
      </c>
    </row>
    <row r="16" spans="1:65" s="130" customFormat="1" ht="15.75" thickBot="1" x14ac:dyDescent="0.3">
      <c r="A16" s="78" t="s">
        <v>161</v>
      </c>
      <c r="B16" s="324"/>
      <c r="C16" s="8"/>
      <c r="D16" s="142">
        <v>0</v>
      </c>
      <c r="E16" s="142">
        <v>1</v>
      </c>
      <c r="F16" s="282"/>
      <c r="G16" s="282"/>
      <c r="H16" s="282"/>
      <c r="I16" s="282"/>
      <c r="J16" s="282"/>
      <c r="K16" s="282"/>
      <c r="L16" s="282"/>
      <c r="M16" s="282"/>
      <c r="N16" s="282"/>
      <c r="O16" s="282"/>
      <c r="P16" s="282"/>
      <c r="Q16" s="282"/>
      <c r="R16" s="282"/>
      <c r="S16" s="282"/>
      <c r="T16" s="282"/>
      <c r="U16" s="282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  <c r="AK16" s="282"/>
      <c r="AL16" s="282"/>
      <c r="AM16" s="282"/>
      <c r="AN16" s="282"/>
      <c r="AO16" s="282"/>
      <c r="AP16" s="282"/>
      <c r="AQ16" s="282"/>
      <c r="AR16" s="282"/>
      <c r="AS16" s="282"/>
      <c r="AT16" s="282"/>
      <c r="AU16" s="282"/>
      <c r="AV16" s="282"/>
      <c r="AW16" s="282"/>
      <c r="AX16" s="282"/>
      <c r="AY16" s="282"/>
      <c r="AZ16" s="282"/>
      <c r="BA16" s="282"/>
      <c r="BB16" s="282"/>
      <c r="BC16" s="282"/>
      <c r="BD16" s="282"/>
      <c r="BE16" s="282"/>
      <c r="BF16" s="282"/>
      <c r="BG16" s="282"/>
      <c r="BH16" s="282"/>
      <c r="BI16" s="282"/>
      <c r="BJ16" s="282"/>
      <c r="BK16" s="282"/>
      <c r="BL16" s="282"/>
      <c r="BM16" s="282"/>
    </row>
    <row r="17" spans="1:65 16315:16315" x14ac:dyDescent="0.25">
      <c r="A17" s="55"/>
      <c r="B17" s="55"/>
      <c r="C17" s="8"/>
      <c r="D17" s="272"/>
      <c r="E17" s="272"/>
      <c r="F17" s="272"/>
      <c r="G17" s="272"/>
      <c r="H17" s="272"/>
      <c r="I17" s="272"/>
      <c r="J17" s="272"/>
      <c r="K17" s="272"/>
      <c r="L17" s="272"/>
      <c r="M17" s="272"/>
      <c r="N17" s="272"/>
      <c r="O17" s="272"/>
      <c r="P17" s="272"/>
      <c r="Q17" s="272"/>
      <c r="R17" s="272"/>
      <c r="S17" s="272"/>
      <c r="T17" s="272"/>
      <c r="U17" s="272"/>
      <c r="V17" s="272"/>
      <c r="W17" s="272"/>
      <c r="X17" s="272"/>
      <c r="Y17" s="272"/>
      <c r="Z17" s="282"/>
      <c r="AA17" s="282"/>
      <c r="AB17" s="272"/>
      <c r="AC17" s="272"/>
      <c r="AD17" s="282"/>
      <c r="AE17" s="282"/>
      <c r="AF17" s="282" t="s">
        <v>147</v>
      </c>
      <c r="AG17" s="282" t="s">
        <v>147</v>
      </c>
      <c r="AH17" s="272"/>
      <c r="AI17" s="272"/>
      <c r="AJ17" s="272"/>
      <c r="AK17" s="272"/>
      <c r="AL17" s="282"/>
      <c r="AM17" s="282"/>
      <c r="AN17" s="282"/>
      <c r="AO17" s="282"/>
      <c r="AP17" s="272" t="s">
        <v>147</v>
      </c>
      <c r="AQ17" s="272" t="s">
        <v>147</v>
      </c>
      <c r="AR17" s="272" t="s">
        <v>147</v>
      </c>
      <c r="AS17" s="272" t="s">
        <v>147</v>
      </c>
      <c r="AT17" s="272" t="s">
        <v>147</v>
      </c>
      <c r="AU17" s="272" t="s">
        <v>147</v>
      </c>
      <c r="AV17" s="272"/>
      <c r="AW17" s="272"/>
      <c r="AX17" s="282"/>
      <c r="AY17" s="282"/>
      <c r="AZ17" s="282"/>
      <c r="BA17" s="282"/>
      <c r="BB17" s="282"/>
      <c r="BC17" s="282"/>
      <c r="BD17" s="272"/>
      <c r="BE17" s="272"/>
      <c r="BF17" s="272"/>
      <c r="BG17" s="272"/>
      <c r="BH17" s="272"/>
      <c r="BI17" s="272"/>
      <c r="BJ17" s="272"/>
      <c r="BK17" s="272"/>
      <c r="BL17" s="272"/>
      <c r="BM17" s="272"/>
    </row>
    <row r="18" spans="1:65 16315:16315" x14ac:dyDescent="0.25">
      <c r="A18" s="69" t="s">
        <v>73</v>
      </c>
      <c r="B18" s="70"/>
      <c r="C18" s="8"/>
      <c r="D18" s="142">
        <v>0</v>
      </c>
      <c r="E18" s="142">
        <v>0</v>
      </c>
      <c r="F18" s="164">
        <v>0</v>
      </c>
      <c r="G18" s="164">
        <v>0</v>
      </c>
      <c r="H18" s="164">
        <v>0</v>
      </c>
      <c r="I18" s="164">
        <v>0</v>
      </c>
      <c r="J18" s="164">
        <v>0</v>
      </c>
      <c r="K18" s="164">
        <v>0</v>
      </c>
      <c r="L18" s="164">
        <v>0</v>
      </c>
      <c r="M18" s="164">
        <v>0</v>
      </c>
      <c r="N18" s="141">
        <v>0</v>
      </c>
      <c r="O18" s="141">
        <v>0</v>
      </c>
      <c r="P18" s="142">
        <v>0</v>
      </c>
      <c r="Q18" s="142">
        <v>0</v>
      </c>
      <c r="R18" s="164">
        <v>0</v>
      </c>
      <c r="S18" s="164">
        <v>0</v>
      </c>
      <c r="T18" s="164">
        <v>0</v>
      </c>
      <c r="U18" s="164">
        <v>0</v>
      </c>
      <c r="V18" s="164">
        <v>0</v>
      </c>
      <c r="W18" s="164">
        <v>0</v>
      </c>
      <c r="X18" s="164">
        <v>0</v>
      </c>
      <c r="Y18" s="164">
        <v>0</v>
      </c>
      <c r="Z18" s="164">
        <v>0</v>
      </c>
      <c r="AA18" s="164">
        <v>0</v>
      </c>
      <c r="AB18" s="141">
        <v>0</v>
      </c>
      <c r="AC18" s="141">
        <v>0</v>
      </c>
      <c r="AD18" s="142">
        <v>0</v>
      </c>
      <c r="AE18" s="142">
        <v>0</v>
      </c>
      <c r="AF18" s="164">
        <v>0</v>
      </c>
      <c r="AG18" s="164">
        <v>0</v>
      </c>
      <c r="AH18" s="164">
        <v>0</v>
      </c>
      <c r="AI18" s="164">
        <v>0</v>
      </c>
      <c r="AJ18" s="164">
        <v>0</v>
      </c>
      <c r="AK18" s="164">
        <v>0</v>
      </c>
      <c r="AL18" s="164">
        <v>0</v>
      </c>
      <c r="AM18" s="164">
        <v>0</v>
      </c>
      <c r="AN18" s="164">
        <v>0</v>
      </c>
      <c r="AO18" s="164">
        <v>0</v>
      </c>
      <c r="AP18" s="141">
        <v>0</v>
      </c>
      <c r="AQ18" s="141">
        <v>0</v>
      </c>
      <c r="AR18" s="142">
        <v>0</v>
      </c>
      <c r="AS18" s="142">
        <v>0</v>
      </c>
      <c r="AT18" s="164">
        <v>0</v>
      </c>
      <c r="AU18" s="164">
        <v>0</v>
      </c>
      <c r="AV18" s="164">
        <v>0</v>
      </c>
      <c r="AW18" s="164">
        <v>0</v>
      </c>
      <c r="AX18" s="164">
        <v>0</v>
      </c>
      <c r="AY18" s="164">
        <v>0</v>
      </c>
      <c r="AZ18" s="164">
        <v>0</v>
      </c>
      <c r="BA18" s="164">
        <v>0</v>
      </c>
      <c r="BB18" s="164">
        <v>0</v>
      </c>
      <c r="BC18" s="164">
        <v>0</v>
      </c>
      <c r="BD18" s="141">
        <v>0</v>
      </c>
      <c r="BE18" s="141">
        <v>0</v>
      </c>
      <c r="BF18" s="142">
        <v>0</v>
      </c>
      <c r="BG18" s="142">
        <v>0</v>
      </c>
      <c r="BH18" s="164">
        <v>0</v>
      </c>
      <c r="BI18" s="164">
        <v>0</v>
      </c>
      <c r="BJ18" s="164">
        <v>0</v>
      </c>
      <c r="BK18" s="164">
        <v>0</v>
      </c>
      <c r="BL18" s="164">
        <v>0</v>
      </c>
      <c r="BM18" s="164">
        <v>0</v>
      </c>
    </row>
    <row r="19" spans="1:65 16315:16315" s="130" customFormat="1" x14ac:dyDescent="0.25">
      <c r="A19" s="69" t="s">
        <v>123</v>
      </c>
      <c r="B19" s="70"/>
      <c r="C19" s="8"/>
      <c r="D19" s="142">
        <v>0</v>
      </c>
      <c r="E19" s="142">
        <v>0</v>
      </c>
      <c r="F19" s="164">
        <v>0</v>
      </c>
      <c r="G19" s="164">
        <v>0</v>
      </c>
      <c r="H19" s="164">
        <v>0</v>
      </c>
      <c r="I19" s="164">
        <v>0</v>
      </c>
      <c r="J19" s="164">
        <v>0</v>
      </c>
      <c r="K19" s="164">
        <v>0</v>
      </c>
      <c r="L19" s="164">
        <v>0</v>
      </c>
      <c r="M19" s="164">
        <v>0</v>
      </c>
      <c r="N19" s="141">
        <v>0</v>
      </c>
      <c r="O19" s="141">
        <v>0</v>
      </c>
      <c r="P19" s="142">
        <v>0</v>
      </c>
      <c r="Q19" s="142">
        <v>0</v>
      </c>
      <c r="R19" s="164">
        <v>0</v>
      </c>
      <c r="S19" s="164">
        <v>0</v>
      </c>
      <c r="T19" s="164">
        <v>0</v>
      </c>
      <c r="U19" s="164">
        <v>0</v>
      </c>
      <c r="V19" s="164">
        <v>0</v>
      </c>
      <c r="W19" s="164">
        <v>0</v>
      </c>
      <c r="X19" s="164">
        <v>0</v>
      </c>
      <c r="Y19" s="164">
        <v>0</v>
      </c>
      <c r="Z19" s="284">
        <v>0</v>
      </c>
      <c r="AA19" s="284">
        <v>0</v>
      </c>
      <c r="AB19" s="141">
        <v>0</v>
      </c>
      <c r="AC19" s="141">
        <v>0</v>
      </c>
      <c r="AD19" s="290">
        <v>0</v>
      </c>
      <c r="AE19" s="290">
        <v>0</v>
      </c>
      <c r="AF19" s="284">
        <v>0</v>
      </c>
      <c r="AG19" s="284">
        <v>0</v>
      </c>
      <c r="AH19" s="164">
        <v>0</v>
      </c>
      <c r="AI19" s="164">
        <v>0</v>
      </c>
      <c r="AJ19" s="164">
        <v>0</v>
      </c>
      <c r="AK19" s="164">
        <v>0</v>
      </c>
      <c r="AL19" s="284">
        <v>0</v>
      </c>
      <c r="AM19" s="284">
        <v>0</v>
      </c>
      <c r="AN19" s="284">
        <v>0</v>
      </c>
      <c r="AO19" s="284">
        <v>0</v>
      </c>
      <c r="AP19" s="141">
        <v>0</v>
      </c>
      <c r="AQ19" s="141">
        <v>0</v>
      </c>
      <c r="AR19" s="142">
        <v>0</v>
      </c>
      <c r="AS19" s="142">
        <v>0</v>
      </c>
      <c r="AT19" s="164">
        <v>0</v>
      </c>
      <c r="AU19" s="164">
        <v>0</v>
      </c>
      <c r="AV19" s="164">
        <v>0</v>
      </c>
      <c r="AW19" s="164">
        <v>0</v>
      </c>
      <c r="AX19" s="284">
        <v>0</v>
      </c>
      <c r="AY19" s="284">
        <v>0</v>
      </c>
      <c r="AZ19" s="284">
        <v>0</v>
      </c>
      <c r="BA19" s="284">
        <v>0</v>
      </c>
      <c r="BB19" s="284">
        <v>0</v>
      </c>
      <c r="BC19" s="284">
        <v>0</v>
      </c>
      <c r="BD19" s="308">
        <v>0</v>
      </c>
      <c r="BE19" s="308">
        <v>0</v>
      </c>
      <c r="BF19" s="142">
        <v>0</v>
      </c>
      <c r="BG19" s="142">
        <v>0</v>
      </c>
      <c r="BH19" s="164">
        <v>0</v>
      </c>
      <c r="BI19" s="164">
        <v>0</v>
      </c>
      <c r="BJ19" s="164">
        <v>0</v>
      </c>
      <c r="BK19" s="164">
        <v>0</v>
      </c>
      <c r="BL19" s="164">
        <v>0</v>
      </c>
      <c r="BM19" s="164">
        <v>0</v>
      </c>
    </row>
    <row r="20" spans="1:65 16315:16315" x14ac:dyDescent="0.25">
      <c r="A20" s="69" t="s">
        <v>74</v>
      </c>
      <c r="B20" s="70"/>
      <c r="C20" s="8"/>
      <c r="D20" s="142">
        <v>0</v>
      </c>
      <c r="E20" s="142">
        <v>0</v>
      </c>
      <c r="F20" s="164">
        <v>0</v>
      </c>
      <c r="G20" s="164">
        <v>9</v>
      </c>
      <c r="H20" s="164">
        <v>0</v>
      </c>
      <c r="I20" s="164">
        <v>9</v>
      </c>
      <c r="J20" s="164">
        <v>0</v>
      </c>
      <c r="K20" s="164">
        <v>9</v>
      </c>
      <c r="L20" s="164">
        <v>0</v>
      </c>
      <c r="M20" s="164">
        <v>9</v>
      </c>
      <c r="N20" s="141">
        <v>0</v>
      </c>
      <c r="O20" s="141">
        <v>0</v>
      </c>
      <c r="P20" s="142">
        <v>0</v>
      </c>
      <c r="Q20" s="142">
        <v>0</v>
      </c>
      <c r="R20" s="164">
        <v>0</v>
      </c>
      <c r="S20" s="164">
        <v>8</v>
      </c>
      <c r="T20" s="164">
        <v>0</v>
      </c>
      <c r="U20" s="164">
        <v>9</v>
      </c>
      <c r="V20" s="164">
        <v>0</v>
      </c>
      <c r="W20" s="164">
        <v>9</v>
      </c>
      <c r="X20" s="164">
        <v>0</v>
      </c>
      <c r="Y20" s="164">
        <v>9</v>
      </c>
      <c r="Z20" s="164">
        <v>0</v>
      </c>
      <c r="AA20" s="164">
        <v>9</v>
      </c>
      <c r="AB20" s="141">
        <v>0</v>
      </c>
      <c r="AC20" s="141">
        <v>0</v>
      </c>
      <c r="AD20" s="142">
        <v>0</v>
      </c>
      <c r="AE20" s="142">
        <v>0</v>
      </c>
      <c r="AF20" s="164">
        <v>0</v>
      </c>
      <c r="AG20" s="164">
        <v>9</v>
      </c>
      <c r="AH20" s="164">
        <v>0</v>
      </c>
      <c r="AI20" s="164">
        <v>9</v>
      </c>
      <c r="AJ20" s="164">
        <v>0</v>
      </c>
      <c r="AK20" s="164">
        <v>9</v>
      </c>
      <c r="AL20" s="164">
        <v>0</v>
      </c>
      <c r="AM20" s="164">
        <v>9</v>
      </c>
      <c r="AN20" s="164">
        <v>0</v>
      </c>
      <c r="AO20" s="164">
        <v>9</v>
      </c>
      <c r="AP20" s="141">
        <v>0</v>
      </c>
      <c r="AQ20" s="141">
        <v>0</v>
      </c>
      <c r="AR20" s="142">
        <v>0</v>
      </c>
      <c r="AS20" s="142">
        <v>0</v>
      </c>
      <c r="AT20" s="164">
        <v>0</v>
      </c>
      <c r="AU20" s="164">
        <v>9</v>
      </c>
      <c r="AV20" s="164">
        <v>0</v>
      </c>
      <c r="AW20" s="164">
        <v>9</v>
      </c>
      <c r="AX20" s="164">
        <v>0</v>
      </c>
      <c r="AY20" s="164">
        <v>9</v>
      </c>
      <c r="AZ20" s="164">
        <v>0</v>
      </c>
      <c r="BA20" s="164">
        <v>9</v>
      </c>
      <c r="BB20" s="164">
        <v>0</v>
      </c>
      <c r="BC20" s="164">
        <v>3</v>
      </c>
      <c r="BD20" s="141">
        <v>0</v>
      </c>
      <c r="BE20" s="141">
        <v>0</v>
      </c>
      <c r="BF20" s="142">
        <v>0</v>
      </c>
      <c r="BG20" s="142">
        <v>0</v>
      </c>
      <c r="BH20" s="164">
        <v>0</v>
      </c>
      <c r="BI20" s="164">
        <v>9</v>
      </c>
      <c r="BJ20" s="164">
        <v>0</v>
      </c>
      <c r="BK20" s="164">
        <v>9</v>
      </c>
      <c r="BL20" s="164">
        <v>3</v>
      </c>
      <c r="BM20" s="164">
        <v>9</v>
      </c>
    </row>
    <row r="21" spans="1:65 16315:16315" x14ac:dyDescent="0.25">
      <c r="A21" s="69" t="s">
        <v>75</v>
      </c>
      <c r="B21" s="70"/>
      <c r="C21" s="8"/>
      <c r="D21" s="142">
        <v>0</v>
      </c>
      <c r="E21" s="142">
        <v>0</v>
      </c>
      <c r="F21" s="164">
        <v>0</v>
      </c>
      <c r="G21" s="164">
        <v>0</v>
      </c>
      <c r="H21" s="164">
        <v>0</v>
      </c>
      <c r="I21" s="164">
        <v>0</v>
      </c>
      <c r="J21" s="164">
        <v>0</v>
      </c>
      <c r="K21" s="164">
        <v>0</v>
      </c>
      <c r="L21" s="164">
        <v>0</v>
      </c>
      <c r="M21" s="164">
        <v>0</v>
      </c>
      <c r="N21" s="141">
        <v>0</v>
      </c>
      <c r="O21" s="141">
        <v>0</v>
      </c>
      <c r="P21" s="142">
        <v>0</v>
      </c>
      <c r="Q21" s="142">
        <v>0</v>
      </c>
      <c r="R21" s="164">
        <v>0</v>
      </c>
      <c r="S21" s="164">
        <v>0</v>
      </c>
      <c r="T21" s="164">
        <v>0</v>
      </c>
      <c r="U21" s="164">
        <v>0</v>
      </c>
      <c r="V21" s="164">
        <v>0</v>
      </c>
      <c r="W21" s="164">
        <v>0</v>
      </c>
      <c r="X21" s="164">
        <v>0</v>
      </c>
      <c r="Y21" s="164">
        <v>0</v>
      </c>
      <c r="Z21" s="164">
        <v>0</v>
      </c>
      <c r="AA21" s="164">
        <v>0</v>
      </c>
      <c r="AB21" s="141">
        <v>0</v>
      </c>
      <c r="AC21" s="141">
        <v>0</v>
      </c>
      <c r="AD21" s="142">
        <v>0</v>
      </c>
      <c r="AE21" s="142">
        <v>0</v>
      </c>
      <c r="AF21" s="164">
        <v>0</v>
      </c>
      <c r="AG21" s="164">
        <v>0</v>
      </c>
      <c r="AH21" s="164">
        <v>0</v>
      </c>
      <c r="AI21" s="164">
        <v>0</v>
      </c>
      <c r="AJ21" s="164">
        <v>0</v>
      </c>
      <c r="AK21" s="164">
        <v>0</v>
      </c>
      <c r="AL21" s="164">
        <v>0</v>
      </c>
      <c r="AM21" s="164">
        <v>0</v>
      </c>
      <c r="AN21" s="164">
        <v>0</v>
      </c>
      <c r="AO21" s="164">
        <v>0</v>
      </c>
      <c r="AP21" s="141">
        <v>0</v>
      </c>
      <c r="AQ21" s="141">
        <v>0</v>
      </c>
      <c r="AR21" s="142">
        <v>0</v>
      </c>
      <c r="AS21" s="142">
        <v>0</v>
      </c>
      <c r="AT21" s="164">
        <v>0</v>
      </c>
      <c r="AU21" s="164">
        <v>0</v>
      </c>
      <c r="AV21" s="164">
        <v>0</v>
      </c>
      <c r="AW21" s="164">
        <v>0</v>
      </c>
      <c r="AX21" s="164">
        <v>0</v>
      </c>
      <c r="AY21" s="164">
        <v>0</v>
      </c>
      <c r="AZ21" s="164">
        <v>0</v>
      </c>
      <c r="BA21" s="164">
        <v>0</v>
      </c>
      <c r="BB21" s="164">
        <v>0</v>
      </c>
      <c r="BC21" s="164">
        <v>0</v>
      </c>
      <c r="BD21" s="141">
        <v>0</v>
      </c>
      <c r="BE21" s="141">
        <v>0</v>
      </c>
      <c r="BF21" s="142">
        <v>0</v>
      </c>
      <c r="BG21" s="142">
        <v>0</v>
      </c>
      <c r="BH21" s="164">
        <v>0</v>
      </c>
      <c r="BI21" s="164">
        <v>0</v>
      </c>
      <c r="BJ21" s="164">
        <v>0</v>
      </c>
      <c r="BK21" s="164">
        <v>0</v>
      </c>
      <c r="BL21" s="164">
        <v>0</v>
      </c>
      <c r="BM21" s="164">
        <v>0</v>
      </c>
    </row>
    <row r="22" spans="1:65 16315:16315" x14ac:dyDescent="0.25">
      <c r="A22" s="69" t="s">
        <v>76</v>
      </c>
      <c r="B22" s="70"/>
      <c r="C22" s="8"/>
      <c r="D22" s="142">
        <v>0</v>
      </c>
      <c r="E22" s="142">
        <v>0</v>
      </c>
      <c r="F22" s="164">
        <v>0</v>
      </c>
      <c r="G22" s="164">
        <v>0</v>
      </c>
      <c r="H22" s="164">
        <v>0</v>
      </c>
      <c r="I22" s="164">
        <v>0</v>
      </c>
      <c r="J22" s="164">
        <v>0</v>
      </c>
      <c r="K22" s="164">
        <v>0</v>
      </c>
      <c r="L22" s="164">
        <v>0</v>
      </c>
      <c r="M22" s="164">
        <v>0</v>
      </c>
      <c r="N22" s="141">
        <v>0</v>
      </c>
      <c r="O22" s="141">
        <v>0</v>
      </c>
      <c r="P22" s="142">
        <v>0</v>
      </c>
      <c r="Q22" s="142">
        <v>0</v>
      </c>
      <c r="R22" s="164">
        <v>0</v>
      </c>
      <c r="S22" s="164">
        <v>0</v>
      </c>
      <c r="T22" s="164">
        <v>0</v>
      </c>
      <c r="U22" s="164">
        <v>0</v>
      </c>
      <c r="V22" s="164">
        <v>0</v>
      </c>
      <c r="W22" s="164">
        <v>0</v>
      </c>
      <c r="X22" s="164">
        <v>0</v>
      </c>
      <c r="Y22" s="164">
        <v>0</v>
      </c>
      <c r="Z22" s="164">
        <v>0</v>
      </c>
      <c r="AA22" s="164">
        <v>0</v>
      </c>
      <c r="AB22" s="141">
        <v>0</v>
      </c>
      <c r="AC22" s="141">
        <v>0</v>
      </c>
      <c r="AD22" s="142">
        <v>0</v>
      </c>
      <c r="AE22" s="142">
        <v>0</v>
      </c>
      <c r="AF22" s="164">
        <v>0</v>
      </c>
      <c r="AG22" s="164">
        <v>0</v>
      </c>
      <c r="AH22" s="164">
        <v>0</v>
      </c>
      <c r="AI22" s="164">
        <v>0</v>
      </c>
      <c r="AJ22" s="164">
        <v>0</v>
      </c>
      <c r="AK22" s="164">
        <v>0</v>
      </c>
      <c r="AL22" s="164">
        <v>0</v>
      </c>
      <c r="AM22" s="164">
        <v>0</v>
      </c>
      <c r="AN22" s="164">
        <v>0</v>
      </c>
      <c r="AO22" s="164">
        <v>0</v>
      </c>
      <c r="AP22" s="141">
        <v>0</v>
      </c>
      <c r="AQ22" s="141">
        <v>0</v>
      </c>
      <c r="AR22" s="142">
        <v>0</v>
      </c>
      <c r="AS22" s="142">
        <v>0</v>
      </c>
      <c r="AT22" s="164">
        <v>0</v>
      </c>
      <c r="AU22" s="164">
        <v>0</v>
      </c>
      <c r="AV22" s="164">
        <v>0</v>
      </c>
      <c r="AW22" s="164">
        <v>0</v>
      </c>
      <c r="AX22" s="164">
        <v>0</v>
      </c>
      <c r="AY22" s="164">
        <v>0</v>
      </c>
      <c r="AZ22" s="164">
        <v>0</v>
      </c>
      <c r="BA22" s="164">
        <v>0</v>
      </c>
      <c r="BB22" s="164">
        <v>0</v>
      </c>
      <c r="BC22" s="164">
        <v>0</v>
      </c>
      <c r="BD22" s="141">
        <v>0</v>
      </c>
      <c r="BE22" s="141">
        <v>0</v>
      </c>
      <c r="BF22" s="142">
        <v>0</v>
      </c>
      <c r="BG22" s="142">
        <v>0</v>
      </c>
      <c r="BH22" s="164">
        <v>0</v>
      </c>
      <c r="BI22" s="164">
        <v>0</v>
      </c>
      <c r="BJ22" s="164">
        <v>0</v>
      </c>
      <c r="BK22" s="164">
        <v>0</v>
      </c>
      <c r="BL22" s="164">
        <v>0</v>
      </c>
      <c r="BM22" s="164">
        <v>0</v>
      </c>
    </row>
    <row r="23" spans="1:65 16315:16315" ht="15.75" thickBot="1" x14ac:dyDescent="0.3">
      <c r="A23" s="69" t="s">
        <v>77</v>
      </c>
      <c r="B23" s="79"/>
      <c r="C23" s="8"/>
      <c r="D23" s="142">
        <v>0</v>
      </c>
      <c r="E23" s="142">
        <v>0</v>
      </c>
      <c r="F23" s="164">
        <v>0</v>
      </c>
      <c r="G23" s="164">
        <v>7</v>
      </c>
      <c r="H23" s="164">
        <v>0</v>
      </c>
      <c r="I23" s="164">
        <v>7</v>
      </c>
      <c r="J23" s="164">
        <v>0</v>
      </c>
      <c r="K23" s="164">
        <v>7</v>
      </c>
      <c r="L23" s="164">
        <v>0</v>
      </c>
      <c r="M23" s="164">
        <v>7</v>
      </c>
      <c r="N23" s="141">
        <v>0</v>
      </c>
      <c r="O23" s="141">
        <v>0</v>
      </c>
      <c r="P23" s="142">
        <v>0</v>
      </c>
      <c r="Q23" s="142">
        <v>0</v>
      </c>
      <c r="R23" s="164">
        <v>2</v>
      </c>
      <c r="S23" s="164">
        <v>5</v>
      </c>
      <c r="T23" s="164">
        <v>3</v>
      </c>
      <c r="U23" s="164">
        <v>4</v>
      </c>
      <c r="V23" s="164">
        <v>4</v>
      </c>
      <c r="W23" s="164">
        <v>3</v>
      </c>
      <c r="X23" s="164">
        <v>4</v>
      </c>
      <c r="Y23" s="164">
        <v>3</v>
      </c>
      <c r="Z23" s="164">
        <v>4</v>
      </c>
      <c r="AA23" s="164">
        <v>3</v>
      </c>
      <c r="AB23" s="141">
        <v>0</v>
      </c>
      <c r="AC23" s="141">
        <v>0</v>
      </c>
      <c r="AD23" s="142">
        <v>0</v>
      </c>
      <c r="AE23" s="142">
        <v>0</v>
      </c>
      <c r="AF23" s="164">
        <v>4</v>
      </c>
      <c r="AG23" s="164">
        <v>3</v>
      </c>
      <c r="AH23" s="164">
        <v>4</v>
      </c>
      <c r="AI23" s="164">
        <v>3</v>
      </c>
      <c r="AJ23" s="164">
        <v>4</v>
      </c>
      <c r="AK23" s="164">
        <v>3</v>
      </c>
      <c r="AL23" s="164">
        <v>4</v>
      </c>
      <c r="AM23" s="164">
        <v>3</v>
      </c>
      <c r="AN23" s="164">
        <v>4</v>
      </c>
      <c r="AO23" s="164">
        <v>3</v>
      </c>
      <c r="AP23" s="141">
        <v>0</v>
      </c>
      <c r="AQ23" s="141">
        <v>0</v>
      </c>
      <c r="AR23" s="142">
        <v>0</v>
      </c>
      <c r="AS23" s="142">
        <v>0</v>
      </c>
      <c r="AT23" s="164">
        <v>4</v>
      </c>
      <c r="AU23" s="164">
        <v>3</v>
      </c>
      <c r="AV23" s="164">
        <v>4</v>
      </c>
      <c r="AW23" s="164">
        <v>3</v>
      </c>
      <c r="AX23" s="164">
        <v>4</v>
      </c>
      <c r="AY23" s="164">
        <v>3</v>
      </c>
      <c r="AZ23" s="164">
        <v>4</v>
      </c>
      <c r="BA23" s="164">
        <v>3</v>
      </c>
      <c r="BB23" s="164">
        <v>0</v>
      </c>
      <c r="BC23" s="164">
        <v>3</v>
      </c>
      <c r="BD23" s="141">
        <v>0</v>
      </c>
      <c r="BE23" s="141">
        <v>0</v>
      </c>
      <c r="BF23" s="142">
        <v>0</v>
      </c>
      <c r="BG23" s="142">
        <v>0</v>
      </c>
      <c r="BH23" s="164">
        <v>4</v>
      </c>
      <c r="BI23" s="164">
        <v>3</v>
      </c>
      <c r="BJ23" s="164">
        <v>4</v>
      </c>
      <c r="BK23" s="164">
        <v>3</v>
      </c>
      <c r="BL23" s="164">
        <v>7</v>
      </c>
      <c r="BM23" s="164">
        <v>3</v>
      </c>
    </row>
    <row r="24" spans="1:65 16315:16315" x14ac:dyDescent="0.25">
      <c r="A24" s="55"/>
      <c r="B24" s="55"/>
      <c r="C24" s="8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</row>
    <row r="25" spans="1:65 16315:16315" ht="15.75" thickBot="1" x14ac:dyDescent="0.3">
      <c r="C25" s="8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  <c r="AL25" s="130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</row>
    <row r="26" spans="1:65 16315:16315" ht="15.75" thickBot="1" x14ac:dyDescent="0.3">
      <c r="C26" s="8"/>
      <c r="D26" s="65">
        <f>SUM(D3:D23)</f>
        <v>106</v>
      </c>
      <c r="E26" s="65">
        <f>SUM(E3:E23)</f>
        <v>6</v>
      </c>
      <c r="F26" s="143">
        <f>SUM(F3:F23)</f>
        <v>24</v>
      </c>
      <c r="G26" s="143">
        <f>SUM(G3:G23)</f>
        <v>140</v>
      </c>
      <c r="H26" s="143">
        <f>SUM(H3:H23)</f>
        <v>43</v>
      </c>
      <c r="I26" s="143">
        <f>SUM(I3:I23)</f>
        <v>121</v>
      </c>
      <c r="J26" s="143">
        <f>SUM(J3:J23)</f>
        <v>36</v>
      </c>
      <c r="K26" s="143">
        <f>SUM(K3:K23)</f>
        <v>128</v>
      </c>
      <c r="L26" s="143">
        <f>SUM(L3:L23)</f>
        <v>36</v>
      </c>
      <c r="M26" s="143">
        <f>SUM(M3:M23)</f>
        <v>128</v>
      </c>
      <c r="N26" s="181">
        <f>SUM(N3:N23)</f>
        <v>140</v>
      </c>
      <c r="O26" s="181">
        <f>SUM(O3:O23)</f>
        <v>3</v>
      </c>
      <c r="P26" s="65">
        <f>SUM(P3:P23)</f>
        <v>108</v>
      </c>
      <c r="Q26" s="65">
        <f>SUM(Q3:Q23)</f>
        <v>3</v>
      </c>
      <c r="R26" s="143">
        <f>SUM(R3:R23)</f>
        <v>46</v>
      </c>
      <c r="S26" s="143">
        <f>SUM(S3:S23)</f>
        <v>117</v>
      </c>
      <c r="T26" s="143">
        <f>SUM(T3:T23)</f>
        <v>57</v>
      </c>
      <c r="U26" s="143">
        <f>SUM(U3:U23)</f>
        <v>107</v>
      </c>
      <c r="V26" s="143">
        <f>SUM(V3:V23)</f>
        <v>57</v>
      </c>
      <c r="W26" s="143">
        <f>SUM(W3:W23)</f>
        <v>107</v>
      </c>
      <c r="X26" s="143">
        <f>SUM(X3:X23)</f>
        <v>56</v>
      </c>
      <c r="Y26" s="143">
        <f>SUM(Y3:Y23)</f>
        <v>108</v>
      </c>
      <c r="Z26" s="143">
        <f>SUM(Z3:Z23)</f>
        <v>56</v>
      </c>
      <c r="AA26" s="143">
        <f>SUM(AA3:AA23)</f>
        <v>108</v>
      </c>
      <c r="AB26" s="181">
        <f>SUM(AB3:AB23)</f>
        <v>138</v>
      </c>
      <c r="AC26" s="181">
        <f>SUM(AC3:AC23)</f>
        <v>5</v>
      </c>
      <c r="AD26" s="65">
        <f>SUM(AD3:AD23)</f>
        <v>108</v>
      </c>
      <c r="AE26" s="65">
        <f>SUM(AE3:AE23)</f>
        <v>3</v>
      </c>
      <c r="AF26" s="143">
        <f>SUM(AF3:AF23)</f>
        <v>74</v>
      </c>
      <c r="AG26" s="143">
        <f>SUM(AG3:AG23)</f>
        <v>91</v>
      </c>
      <c r="AH26" s="143">
        <f>SUM(AH3:AH23)</f>
        <v>76</v>
      </c>
      <c r="AI26" s="143">
        <f>SUM(AI3:AI23)</f>
        <v>88</v>
      </c>
      <c r="AJ26" s="143">
        <f>SUM(AJ3:AJ23)</f>
        <v>74</v>
      </c>
      <c r="AK26" s="143">
        <f>SUM(AK3:AK23)</f>
        <v>90</v>
      </c>
      <c r="AL26" s="143">
        <f>SUM(AL3:AL23)</f>
        <v>75</v>
      </c>
      <c r="AM26" s="143">
        <f>SUM(AM3:AM23)</f>
        <v>89</v>
      </c>
      <c r="AN26" s="143">
        <f>SUM(AN3:AN23)</f>
        <v>74</v>
      </c>
      <c r="AO26" s="143">
        <f>SUM(AO3:AO23)</f>
        <v>90</v>
      </c>
      <c r="AP26" s="181">
        <f>SUM(AP3:AP23)</f>
        <v>142</v>
      </c>
      <c r="AQ26" s="181">
        <f>SUM(AQ3:AQ23)</f>
        <v>3</v>
      </c>
      <c r="AR26" s="65">
        <f>SUM(AR3:AR23)</f>
        <v>108</v>
      </c>
      <c r="AS26" s="65">
        <f>SUM(AS3:AS23)</f>
        <v>3</v>
      </c>
      <c r="AT26" s="143">
        <f>SUM(AT3:AT23)</f>
        <v>90</v>
      </c>
      <c r="AU26" s="143">
        <f>SUM(AU3:AU23)</f>
        <v>74</v>
      </c>
      <c r="AV26" s="143">
        <f>SUM(AV3:AV23)</f>
        <v>90</v>
      </c>
      <c r="AW26" s="143">
        <f>SUM(AW3:AW23)</f>
        <v>74</v>
      </c>
      <c r="AX26" s="143">
        <f>SUM(AX3:AX23)</f>
        <v>89</v>
      </c>
      <c r="AY26" s="143">
        <f>SUM(AY3:AY23)</f>
        <v>75</v>
      </c>
      <c r="AZ26" s="143">
        <f>SUM(AZ3:AZ23)</f>
        <v>90</v>
      </c>
      <c r="BA26" s="143">
        <f>SUM(BA3:BA23)</f>
        <v>74</v>
      </c>
      <c r="BB26" s="143">
        <f>SUM(BB3:BB23)</f>
        <v>7</v>
      </c>
      <c r="BC26" s="143">
        <f>SUM(BC3:BC23)</f>
        <v>79</v>
      </c>
      <c r="BD26" s="181">
        <f>SUM(BD3:BD23)</f>
        <v>2</v>
      </c>
      <c r="BE26" s="181">
        <f>SUM(BE3:BE23)</f>
        <v>63</v>
      </c>
      <c r="BF26" s="65">
        <f>SUM(BF3:BF23)</f>
        <v>0</v>
      </c>
      <c r="BG26" s="65">
        <f>SUM(BG3:BG23)</f>
        <v>57</v>
      </c>
      <c r="BH26" s="143">
        <f>SUM(BH3:BH23)</f>
        <v>91</v>
      </c>
      <c r="BI26" s="143">
        <f>SUM(BI3:BI23)</f>
        <v>73</v>
      </c>
      <c r="BJ26" s="143">
        <f>SUM(BJ3:BJ23)</f>
        <v>92</v>
      </c>
      <c r="BK26" s="143">
        <f>SUM(BK3:BK23)</f>
        <v>72</v>
      </c>
      <c r="BL26" s="143">
        <f>SUM(BL3:BL23)</f>
        <v>113</v>
      </c>
      <c r="BM26" s="143">
        <f>SUM(BM3:BM23)</f>
        <v>78</v>
      </c>
      <c r="XCM26" s="66"/>
    </row>
    <row r="27" spans="1:65 16315:16315" x14ac:dyDescent="0.25">
      <c r="C27" s="8"/>
      <c r="L27" s="130"/>
      <c r="Z27" s="130"/>
      <c r="AA27" s="130"/>
      <c r="AB27" s="130"/>
      <c r="AC27" s="130"/>
      <c r="AG27" s="130"/>
      <c r="AH27" s="130"/>
      <c r="AI27" s="130"/>
      <c r="AR27" s="56"/>
      <c r="AS27" s="56"/>
      <c r="AT27" s="56"/>
      <c r="AU27" s="56"/>
      <c r="AV27" s="56"/>
      <c r="AW27" s="56"/>
      <c r="AX27" s="56"/>
      <c r="AY27" s="56"/>
      <c r="AZ27" s="56"/>
      <c r="BH27" s="56"/>
      <c r="BI27" s="56"/>
      <c r="BJ27" s="56"/>
      <c r="BK27" s="56"/>
      <c r="BL27" s="56"/>
      <c r="BM27" s="56"/>
    </row>
    <row r="28" spans="1:65 16315:16315" ht="18" x14ac:dyDescent="0.25">
      <c r="C28" s="8"/>
      <c r="L28" s="130"/>
      <c r="Z28" s="57"/>
      <c r="AR28" s="56"/>
      <c r="AS28" s="56"/>
      <c r="AT28" s="56"/>
      <c r="AU28" s="56"/>
      <c r="AV28" s="56"/>
      <c r="AW28" s="56"/>
      <c r="AX28" s="56"/>
      <c r="AY28" s="56"/>
      <c r="AZ28" s="56"/>
      <c r="BH28" s="56"/>
      <c r="BI28" s="56"/>
      <c r="BJ28" s="56"/>
      <c r="BK28" s="56"/>
      <c r="BL28" s="56"/>
      <c r="BM28" s="56"/>
    </row>
    <row r="29" spans="1:65 16315:16315" x14ac:dyDescent="0.25">
      <c r="C29" s="8"/>
      <c r="F29" s="130"/>
      <c r="G29" s="130"/>
      <c r="H29" s="130"/>
      <c r="I29" s="130"/>
      <c r="J29" s="8"/>
      <c r="K29" s="8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</row>
    <row r="30" spans="1:65 16315:16315" x14ac:dyDescent="0.25">
      <c r="C30" s="8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</row>
    <row r="31" spans="1:65 16315:16315" x14ac:dyDescent="0.25">
      <c r="C31" s="8"/>
      <c r="L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</row>
    <row r="32" spans="1:65 16315:16315" x14ac:dyDescent="0.25">
      <c r="A32" s="58" t="s">
        <v>78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</row>
    <row r="33" spans="1:65" x14ac:dyDescent="0.25">
      <c r="A33" t="s">
        <v>79</v>
      </c>
      <c r="C33" s="8"/>
      <c r="D33" s="59">
        <f t="shared" ref="D33:AG33" si="0">D5+D12+D20</f>
        <v>51</v>
      </c>
      <c r="E33" s="59">
        <f t="shared" si="0"/>
        <v>3</v>
      </c>
      <c r="F33" s="59">
        <f t="shared" si="0"/>
        <v>12</v>
      </c>
      <c r="G33" s="59">
        <f t="shared" si="0"/>
        <v>70</v>
      </c>
      <c r="H33" s="59">
        <f t="shared" si="0"/>
        <v>22</v>
      </c>
      <c r="I33" s="59">
        <f t="shared" si="0"/>
        <v>60</v>
      </c>
      <c r="J33" s="59">
        <f t="shared" si="0"/>
        <v>18</v>
      </c>
      <c r="K33" s="59">
        <f t="shared" si="0"/>
        <v>64</v>
      </c>
      <c r="L33" s="158">
        <f t="shared" si="0"/>
        <v>18</v>
      </c>
      <c r="M33" s="59">
        <f t="shared" si="0"/>
        <v>64</v>
      </c>
      <c r="N33" s="59">
        <f t="shared" si="0"/>
        <v>67</v>
      </c>
      <c r="O33" s="59">
        <f t="shared" si="0"/>
        <v>3</v>
      </c>
      <c r="P33" s="59">
        <f t="shared" si="0"/>
        <v>51</v>
      </c>
      <c r="Q33" s="59">
        <f t="shared" si="0"/>
        <v>3</v>
      </c>
      <c r="R33" s="233">
        <f t="shared" si="0"/>
        <v>20</v>
      </c>
      <c r="S33" s="59">
        <f t="shared" si="0"/>
        <v>61</v>
      </c>
      <c r="T33" s="59">
        <f t="shared" si="0"/>
        <v>28</v>
      </c>
      <c r="U33" s="59">
        <f t="shared" si="0"/>
        <v>54</v>
      </c>
      <c r="V33" s="59">
        <f t="shared" si="0"/>
        <v>28</v>
      </c>
      <c r="W33" s="59">
        <f t="shared" si="0"/>
        <v>54</v>
      </c>
      <c r="X33" s="59">
        <f t="shared" si="0"/>
        <v>28</v>
      </c>
      <c r="Y33" s="59">
        <f t="shared" si="0"/>
        <v>54</v>
      </c>
      <c r="Z33" s="120">
        <f t="shared" si="0"/>
        <v>28</v>
      </c>
      <c r="AA33" s="120">
        <f t="shared" si="0"/>
        <v>54</v>
      </c>
      <c r="AB33" s="121">
        <f t="shared" si="0"/>
        <v>66</v>
      </c>
      <c r="AC33" s="121">
        <f t="shared" si="0"/>
        <v>4</v>
      </c>
      <c r="AD33" s="59">
        <f t="shared" si="0"/>
        <v>51</v>
      </c>
      <c r="AE33" s="59">
        <f t="shared" si="0"/>
        <v>3</v>
      </c>
      <c r="AF33" s="59">
        <f t="shared" si="0"/>
        <v>36</v>
      </c>
      <c r="AG33" s="285">
        <f t="shared" si="0"/>
        <v>46</v>
      </c>
      <c r="AH33" s="59">
        <f>AH5+AH12+AH20</f>
        <v>38</v>
      </c>
      <c r="AI33" s="59">
        <f>AI5+AI12+AI20</f>
        <v>44</v>
      </c>
      <c r="AJ33" s="59">
        <f t="shared" ref="AJ33:BA33" si="1">AJ5+AJ12+AJ20</f>
        <v>37</v>
      </c>
      <c r="AK33" s="59">
        <f t="shared" si="1"/>
        <v>45</v>
      </c>
      <c r="AL33" s="59">
        <f t="shared" si="1"/>
        <v>37</v>
      </c>
      <c r="AM33" s="59">
        <f t="shared" si="1"/>
        <v>45</v>
      </c>
      <c r="AN33" s="59">
        <f t="shared" si="1"/>
        <v>36</v>
      </c>
      <c r="AO33" s="289">
        <f t="shared" si="1"/>
        <v>46</v>
      </c>
      <c r="AP33" s="59">
        <f t="shared" si="1"/>
        <v>68</v>
      </c>
      <c r="AQ33" s="59">
        <f t="shared" si="1"/>
        <v>3</v>
      </c>
      <c r="AR33" s="59">
        <f t="shared" si="1"/>
        <v>51</v>
      </c>
      <c r="AS33" s="59">
        <f t="shared" si="1"/>
        <v>3</v>
      </c>
      <c r="AT33" s="259">
        <f t="shared" si="1"/>
        <v>45</v>
      </c>
      <c r="AU33" s="59">
        <f t="shared" si="1"/>
        <v>37</v>
      </c>
      <c r="AV33" s="154">
        <f t="shared" si="1"/>
        <v>45</v>
      </c>
      <c r="AW33" s="59">
        <f t="shared" si="1"/>
        <v>37</v>
      </c>
      <c r="AX33" s="59">
        <f t="shared" si="1"/>
        <v>44</v>
      </c>
      <c r="AY33" s="291">
        <f t="shared" si="1"/>
        <v>38</v>
      </c>
      <c r="AZ33" s="59">
        <f t="shared" si="1"/>
        <v>45</v>
      </c>
      <c r="BA33" s="292">
        <f t="shared" si="1"/>
        <v>37</v>
      </c>
      <c r="BB33" s="118">
        <f t="shared" ref="BB33:BM33" si="2">BB5+BB12+BB20</f>
        <v>5</v>
      </c>
      <c r="BC33" s="293">
        <f t="shared" si="2"/>
        <v>39</v>
      </c>
      <c r="BD33" s="118">
        <f t="shared" si="2"/>
        <v>0</v>
      </c>
      <c r="BE33" s="294">
        <f t="shared" si="2"/>
        <v>32</v>
      </c>
      <c r="BF33" s="182">
        <f t="shared" si="2"/>
        <v>0</v>
      </c>
      <c r="BG33" s="182">
        <f t="shared" si="2"/>
        <v>28</v>
      </c>
      <c r="BH33" s="254">
        <f t="shared" si="2"/>
        <v>45</v>
      </c>
      <c r="BI33" s="254">
        <f t="shared" si="2"/>
        <v>37</v>
      </c>
      <c r="BJ33" s="295">
        <f t="shared" si="2"/>
        <v>46</v>
      </c>
      <c r="BK33" s="295">
        <f t="shared" si="2"/>
        <v>36</v>
      </c>
      <c r="BL33" s="307">
        <f t="shared" si="2"/>
        <v>53</v>
      </c>
      <c r="BM33" s="307">
        <f t="shared" si="2"/>
        <v>42</v>
      </c>
    </row>
    <row r="34" spans="1:65" x14ac:dyDescent="0.25">
      <c r="A34" t="s">
        <v>80</v>
      </c>
      <c r="C34" s="8"/>
      <c r="D34" s="59">
        <f t="shared" ref="D34:AG34" si="3">D8+D15+D23</f>
        <v>55</v>
      </c>
      <c r="E34" s="59">
        <f t="shared" si="3"/>
        <v>2</v>
      </c>
      <c r="F34" s="59">
        <f t="shared" si="3"/>
        <v>12</v>
      </c>
      <c r="G34" s="59">
        <f t="shared" si="3"/>
        <v>69</v>
      </c>
      <c r="H34" s="59">
        <f t="shared" si="3"/>
        <v>21</v>
      </c>
      <c r="I34" s="59">
        <f t="shared" si="3"/>
        <v>60</v>
      </c>
      <c r="J34" s="59">
        <f t="shared" si="3"/>
        <v>18</v>
      </c>
      <c r="K34" s="59">
        <f t="shared" si="3"/>
        <v>63</v>
      </c>
      <c r="L34" s="158">
        <f t="shared" si="3"/>
        <v>18</v>
      </c>
      <c r="M34" s="59">
        <f t="shared" si="3"/>
        <v>63</v>
      </c>
      <c r="N34" s="59">
        <f t="shared" si="3"/>
        <v>73</v>
      </c>
      <c r="O34" s="59">
        <f t="shared" si="3"/>
        <v>0</v>
      </c>
      <c r="P34" s="59">
        <f t="shared" si="3"/>
        <v>57</v>
      </c>
      <c r="Q34" s="59">
        <f t="shared" si="3"/>
        <v>0</v>
      </c>
      <c r="R34" s="233">
        <f t="shared" si="3"/>
        <v>26</v>
      </c>
      <c r="S34" s="59">
        <f t="shared" si="3"/>
        <v>55</v>
      </c>
      <c r="T34" s="59">
        <f t="shared" si="3"/>
        <v>29</v>
      </c>
      <c r="U34" s="59">
        <f t="shared" si="3"/>
        <v>52</v>
      </c>
      <c r="V34" s="59">
        <f t="shared" si="3"/>
        <v>29</v>
      </c>
      <c r="W34" s="59">
        <f t="shared" si="3"/>
        <v>52</v>
      </c>
      <c r="X34" s="59">
        <f t="shared" si="3"/>
        <v>28</v>
      </c>
      <c r="Y34" s="59">
        <f t="shared" si="3"/>
        <v>53</v>
      </c>
      <c r="Z34" s="120">
        <f t="shared" si="3"/>
        <v>28</v>
      </c>
      <c r="AA34" s="120">
        <f t="shared" si="3"/>
        <v>53</v>
      </c>
      <c r="AB34" s="121">
        <f t="shared" si="3"/>
        <v>72</v>
      </c>
      <c r="AC34" s="121">
        <f t="shared" si="3"/>
        <v>1</v>
      </c>
      <c r="AD34" s="59">
        <f t="shared" si="3"/>
        <v>57</v>
      </c>
      <c r="AE34" s="283">
        <f t="shared" si="3"/>
        <v>0</v>
      </c>
      <c r="AF34" s="285">
        <f t="shared" si="3"/>
        <v>37</v>
      </c>
      <c r="AG34" s="285">
        <f t="shared" si="3"/>
        <v>44</v>
      </c>
      <c r="AH34" s="59">
        <f>AH8+AH15+AH23</f>
        <v>38</v>
      </c>
      <c r="AI34" s="59">
        <f>AI8+AI15+AI23</f>
        <v>43</v>
      </c>
      <c r="AJ34" s="59">
        <f t="shared" ref="AJ34:BK34" si="4">AJ8+AJ15+AJ23</f>
        <v>37</v>
      </c>
      <c r="AK34" s="59">
        <f t="shared" si="4"/>
        <v>44</v>
      </c>
      <c r="AL34" s="288">
        <f t="shared" si="4"/>
        <v>38</v>
      </c>
      <c r="AM34" s="288">
        <f t="shared" si="4"/>
        <v>43</v>
      </c>
      <c r="AN34" s="289">
        <f t="shared" si="4"/>
        <v>38</v>
      </c>
      <c r="AO34" s="289">
        <f t="shared" si="4"/>
        <v>43</v>
      </c>
      <c r="AP34" s="59">
        <f t="shared" si="4"/>
        <v>74</v>
      </c>
      <c r="AQ34" s="59">
        <f t="shared" si="4"/>
        <v>0</v>
      </c>
      <c r="AR34" s="59">
        <f t="shared" si="4"/>
        <v>57</v>
      </c>
      <c r="AS34" s="59">
        <f t="shared" si="4"/>
        <v>0</v>
      </c>
      <c r="AT34" s="259">
        <f t="shared" si="4"/>
        <v>45</v>
      </c>
      <c r="AU34" s="59">
        <f t="shared" si="4"/>
        <v>36</v>
      </c>
      <c r="AV34" s="59">
        <f t="shared" si="4"/>
        <v>45</v>
      </c>
      <c r="AW34" s="59">
        <f t="shared" si="4"/>
        <v>36</v>
      </c>
      <c r="AX34" s="291">
        <f t="shared" si="4"/>
        <v>45</v>
      </c>
      <c r="AY34" s="291">
        <f t="shared" si="4"/>
        <v>36</v>
      </c>
      <c r="AZ34" s="292">
        <f t="shared" si="4"/>
        <v>45</v>
      </c>
      <c r="BA34" s="292">
        <f t="shared" si="4"/>
        <v>36</v>
      </c>
      <c r="BB34" s="293">
        <f t="shared" si="4"/>
        <v>2</v>
      </c>
      <c r="BC34" s="293">
        <f t="shared" si="4"/>
        <v>39</v>
      </c>
      <c r="BD34" s="294">
        <f t="shared" si="4"/>
        <v>2</v>
      </c>
      <c r="BE34" s="294">
        <f t="shared" si="4"/>
        <v>31</v>
      </c>
      <c r="BF34" s="182">
        <f t="shared" si="4"/>
        <v>0</v>
      </c>
      <c r="BG34" s="182">
        <f t="shared" si="4"/>
        <v>29</v>
      </c>
      <c r="BH34" s="254">
        <f t="shared" si="4"/>
        <v>46</v>
      </c>
      <c r="BI34" s="254">
        <f t="shared" si="4"/>
        <v>35</v>
      </c>
      <c r="BJ34" s="295">
        <f t="shared" si="4"/>
        <v>46</v>
      </c>
      <c r="BK34" s="295">
        <f t="shared" si="4"/>
        <v>35</v>
      </c>
      <c r="BL34" s="307">
        <f t="shared" ref="BL34:BM34" si="5">BL8+BL15+BL23</f>
        <v>60</v>
      </c>
      <c r="BM34" s="307">
        <f t="shared" si="5"/>
        <v>35</v>
      </c>
    </row>
    <row r="35" spans="1:65" x14ac:dyDescent="0.25">
      <c r="A35" t="s">
        <v>81</v>
      </c>
      <c r="C35" s="8"/>
      <c r="D35" s="59">
        <f t="shared" ref="D35:AG35" si="6">D3+D10+D18</f>
        <v>0</v>
      </c>
      <c r="E35" s="59">
        <f t="shared" si="6"/>
        <v>0</v>
      </c>
      <c r="F35" s="59">
        <f t="shared" si="6"/>
        <v>0</v>
      </c>
      <c r="G35" s="59">
        <f t="shared" si="6"/>
        <v>0</v>
      </c>
      <c r="H35" s="59">
        <f t="shared" si="6"/>
        <v>0</v>
      </c>
      <c r="I35" s="59">
        <f t="shared" si="6"/>
        <v>0</v>
      </c>
      <c r="J35" s="59">
        <f t="shared" si="6"/>
        <v>0</v>
      </c>
      <c r="K35" s="59">
        <f t="shared" si="6"/>
        <v>0</v>
      </c>
      <c r="L35" s="158">
        <f t="shared" si="6"/>
        <v>0</v>
      </c>
      <c r="M35" s="59">
        <f t="shared" si="6"/>
        <v>0</v>
      </c>
      <c r="N35" s="59">
        <f t="shared" si="6"/>
        <v>0</v>
      </c>
      <c r="O35" s="59">
        <f t="shared" si="6"/>
        <v>0</v>
      </c>
      <c r="P35" s="59">
        <f t="shared" si="6"/>
        <v>0</v>
      </c>
      <c r="Q35" s="59">
        <f t="shared" si="6"/>
        <v>0</v>
      </c>
      <c r="R35" s="233">
        <f t="shared" si="6"/>
        <v>0</v>
      </c>
      <c r="S35" s="59">
        <f t="shared" si="6"/>
        <v>0</v>
      </c>
      <c r="T35" s="59">
        <f t="shared" si="6"/>
        <v>0</v>
      </c>
      <c r="U35" s="59">
        <f t="shared" si="6"/>
        <v>0</v>
      </c>
      <c r="V35" s="59">
        <f t="shared" si="6"/>
        <v>0</v>
      </c>
      <c r="W35" s="59">
        <f t="shared" si="6"/>
        <v>0</v>
      </c>
      <c r="X35" s="59">
        <f t="shared" si="6"/>
        <v>0</v>
      </c>
      <c r="Y35" s="59">
        <f t="shared" si="6"/>
        <v>0</v>
      </c>
      <c r="Z35" s="120">
        <f t="shared" si="6"/>
        <v>0</v>
      </c>
      <c r="AA35" s="120">
        <f t="shared" si="6"/>
        <v>0</v>
      </c>
      <c r="AB35" s="121">
        <f t="shared" si="6"/>
        <v>0</v>
      </c>
      <c r="AC35" s="121">
        <f t="shared" si="6"/>
        <v>0</v>
      </c>
      <c r="AD35" s="59">
        <f t="shared" si="6"/>
        <v>0</v>
      </c>
      <c r="AE35" s="283">
        <f t="shared" si="6"/>
        <v>0</v>
      </c>
      <c r="AF35" s="59">
        <f t="shared" si="6"/>
        <v>0</v>
      </c>
      <c r="AG35" s="285">
        <f t="shared" si="6"/>
        <v>0</v>
      </c>
      <c r="AH35" s="59">
        <f>AH3+AH10+AH18</f>
        <v>0</v>
      </c>
      <c r="AI35" s="59">
        <f>AI3+AI10+AI18</f>
        <v>0</v>
      </c>
      <c r="AJ35" s="59">
        <f t="shared" ref="AJ35:BK35" si="7">AJ3+AJ10+AJ18</f>
        <v>0</v>
      </c>
      <c r="AK35" s="59">
        <f t="shared" si="7"/>
        <v>0</v>
      </c>
      <c r="AL35" s="59">
        <f t="shared" si="7"/>
        <v>0</v>
      </c>
      <c r="AM35" s="59">
        <f t="shared" si="7"/>
        <v>0</v>
      </c>
      <c r="AN35" s="59">
        <f t="shared" si="7"/>
        <v>0</v>
      </c>
      <c r="AO35" s="289">
        <f t="shared" si="7"/>
        <v>0</v>
      </c>
      <c r="AP35" s="59">
        <f t="shared" si="7"/>
        <v>0</v>
      </c>
      <c r="AQ35" s="59">
        <f t="shared" si="7"/>
        <v>0</v>
      </c>
      <c r="AR35" s="59">
        <f t="shared" si="7"/>
        <v>0</v>
      </c>
      <c r="AS35" s="59">
        <f t="shared" si="7"/>
        <v>0</v>
      </c>
      <c r="AT35" s="59">
        <f t="shared" si="7"/>
        <v>0</v>
      </c>
      <c r="AU35" s="59">
        <f t="shared" si="7"/>
        <v>0</v>
      </c>
      <c r="AV35" s="59">
        <f t="shared" si="7"/>
        <v>0</v>
      </c>
      <c r="AW35" s="59">
        <f t="shared" si="7"/>
        <v>0</v>
      </c>
      <c r="AX35" s="291">
        <f t="shared" si="7"/>
        <v>0</v>
      </c>
      <c r="AY35" s="291">
        <f t="shared" si="7"/>
        <v>0</v>
      </c>
      <c r="AZ35" s="59">
        <f t="shared" si="7"/>
        <v>0</v>
      </c>
      <c r="BA35" s="292">
        <f t="shared" si="7"/>
        <v>0</v>
      </c>
      <c r="BB35" s="293">
        <f t="shared" si="7"/>
        <v>0</v>
      </c>
      <c r="BC35" s="293">
        <f t="shared" si="7"/>
        <v>0</v>
      </c>
      <c r="BD35" s="118">
        <f t="shared" si="7"/>
        <v>0</v>
      </c>
      <c r="BE35" s="294">
        <f t="shared" si="7"/>
        <v>0</v>
      </c>
      <c r="BF35" s="294">
        <f t="shared" si="7"/>
        <v>0</v>
      </c>
      <c r="BG35" s="182">
        <f t="shared" si="7"/>
        <v>0</v>
      </c>
      <c r="BH35" s="254">
        <f t="shared" si="7"/>
        <v>0</v>
      </c>
      <c r="BI35" s="254">
        <f t="shared" si="7"/>
        <v>0</v>
      </c>
      <c r="BJ35" s="295">
        <f t="shared" si="7"/>
        <v>0</v>
      </c>
      <c r="BK35" s="295">
        <f t="shared" si="7"/>
        <v>0</v>
      </c>
      <c r="BL35" s="307">
        <f t="shared" ref="BL35:BM35" si="8">BL3+BL10+BL18</f>
        <v>0</v>
      </c>
      <c r="BM35" s="307">
        <f t="shared" si="8"/>
        <v>0</v>
      </c>
    </row>
    <row r="36" spans="1:65" x14ac:dyDescent="0.25">
      <c r="A36" t="s">
        <v>82</v>
      </c>
      <c r="C36" s="8"/>
      <c r="D36" s="59">
        <f t="shared" ref="D36:AG36" si="9">D6+D13+D21</f>
        <v>0</v>
      </c>
      <c r="E36" s="59">
        <f t="shared" si="9"/>
        <v>0</v>
      </c>
      <c r="F36" s="59">
        <f t="shared" si="9"/>
        <v>0</v>
      </c>
      <c r="G36" s="59">
        <f t="shared" si="9"/>
        <v>0</v>
      </c>
      <c r="H36" s="59">
        <f t="shared" si="9"/>
        <v>0</v>
      </c>
      <c r="I36" s="59">
        <f t="shared" si="9"/>
        <v>0</v>
      </c>
      <c r="J36" s="59">
        <f t="shared" si="9"/>
        <v>0</v>
      </c>
      <c r="K36" s="59">
        <f t="shared" si="9"/>
        <v>0</v>
      </c>
      <c r="L36" s="158">
        <f t="shared" si="9"/>
        <v>0</v>
      </c>
      <c r="M36" s="59">
        <f t="shared" si="9"/>
        <v>0</v>
      </c>
      <c r="N36" s="59">
        <f t="shared" si="9"/>
        <v>0</v>
      </c>
      <c r="O36" s="59">
        <f t="shared" si="9"/>
        <v>0</v>
      </c>
      <c r="P36" s="59">
        <f t="shared" si="9"/>
        <v>0</v>
      </c>
      <c r="Q36" s="59">
        <f t="shared" si="9"/>
        <v>0</v>
      </c>
      <c r="R36" s="233">
        <f t="shared" si="9"/>
        <v>0</v>
      </c>
      <c r="S36" s="59">
        <f t="shared" si="9"/>
        <v>0</v>
      </c>
      <c r="T36" s="59">
        <f t="shared" si="9"/>
        <v>0</v>
      </c>
      <c r="U36" s="59">
        <f t="shared" si="9"/>
        <v>0</v>
      </c>
      <c r="V36" s="59">
        <f t="shared" si="9"/>
        <v>0</v>
      </c>
      <c r="W36" s="59">
        <f t="shared" si="9"/>
        <v>0</v>
      </c>
      <c r="X36" s="59">
        <f t="shared" si="9"/>
        <v>0</v>
      </c>
      <c r="Y36" s="59">
        <f t="shared" si="9"/>
        <v>0</v>
      </c>
      <c r="Z36" s="120">
        <f t="shared" si="9"/>
        <v>0</v>
      </c>
      <c r="AA36" s="120">
        <f t="shared" si="9"/>
        <v>0</v>
      </c>
      <c r="AB36" s="121">
        <f t="shared" si="9"/>
        <v>0</v>
      </c>
      <c r="AC36" s="121">
        <f t="shared" si="9"/>
        <v>0</v>
      </c>
      <c r="AD36" s="59">
        <f t="shared" si="9"/>
        <v>0</v>
      </c>
      <c r="AE36" s="283">
        <f t="shared" si="9"/>
        <v>0</v>
      </c>
      <c r="AF36" s="59">
        <f t="shared" si="9"/>
        <v>0</v>
      </c>
      <c r="AG36" s="285">
        <f t="shared" si="9"/>
        <v>0</v>
      </c>
      <c r="AH36" s="59">
        <f>AH6+AH13+AH21</f>
        <v>0</v>
      </c>
      <c r="AI36" s="59">
        <f>AI6+AI13+AI21</f>
        <v>0</v>
      </c>
      <c r="AJ36" s="59">
        <f t="shared" ref="AJ36:BD36" si="10">AJ6+AJ13+AJ21</f>
        <v>0</v>
      </c>
      <c r="AK36" s="59">
        <f t="shared" si="10"/>
        <v>0</v>
      </c>
      <c r="AL36" s="59">
        <f t="shared" si="10"/>
        <v>0</v>
      </c>
      <c r="AM36" s="59">
        <f t="shared" si="10"/>
        <v>0</v>
      </c>
      <c r="AN36" s="59">
        <f t="shared" si="10"/>
        <v>0</v>
      </c>
      <c r="AO36" s="289">
        <f t="shared" si="10"/>
        <v>0</v>
      </c>
      <c r="AP36" s="59">
        <f t="shared" si="10"/>
        <v>0</v>
      </c>
      <c r="AQ36" s="59">
        <f t="shared" si="10"/>
        <v>0</v>
      </c>
      <c r="AR36" s="59">
        <f t="shared" si="10"/>
        <v>0</v>
      </c>
      <c r="AS36" s="59">
        <f t="shared" si="10"/>
        <v>0</v>
      </c>
      <c r="AT36" s="59">
        <f t="shared" si="10"/>
        <v>0</v>
      </c>
      <c r="AU36" s="59">
        <f t="shared" si="10"/>
        <v>0</v>
      </c>
      <c r="AV36" s="59">
        <f t="shared" si="10"/>
        <v>0</v>
      </c>
      <c r="AW36" s="59">
        <f t="shared" si="10"/>
        <v>0</v>
      </c>
      <c r="AX36" s="59">
        <f t="shared" si="10"/>
        <v>0</v>
      </c>
      <c r="AY36" s="291">
        <f t="shared" si="10"/>
        <v>0</v>
      </c>
      <c r="AZ36" s="59">
        <f t="shared" si="10"/>
        <v>0</v>
      </c>
      <c r="BA36" s="292">
        <f t="shared" si="10"/>
        <v>0</v>
      </c>
      <c r="BB36" s="118">
        <f t="shared" si="10"/>
        <v>0</v>
      </c>
      <c r="BC36" s="293">
        <f t="shared" si="10"/>
        <v>0</v>
      </c>
      <c r="BD36" s="118">
        <f t="shared" si="10"/>
        <v>0</v>
      </c>
      <c r="BE36" s="294">
        <f>BE4+BE11+BE19</f>
        <v>0</v>
      </c>
      <c r="BF36" s="182">
        <f t="shared" ref="BF36:BK36" si="11">BF6+BF13+BF21</f>
        <v>0</v>
      </c>
      <c r="BG36" s="182">
        <f t="shared" si="11"/>
        <v>0</v>
      </c>
      <c r="BH36" s="254">
        <f t="shared" si="11"/>
        <v>0</v>
      </c>
      <c r="BI36" s="254">
        <f t="shared" si="11"/>
        <v>0</v>
      </c>
      <c r="BJ36" s="295">
        <f t="shared" si="11"/>
        <v>0</v>
      </c>
      <c r="BK36" s="295">
        <f t="shared" si="11"/>
        <v>0</v>
      </c>
      <c r="BL36" s="307">
        <f t="shared" ref="BL36:BM36" si="12">BL6+BL13+BL21</f>
        <v>0</v>
      </c>
      <c r="BM36" s="307">
        <f t="shared" si="12"/>
        <v>0</v>
      </c>
    </row>
    <row r="37" spans="1:65" s="130" customFormat="1" x14ac:dyDescent="0.25">
      <c r="A37" s="130" t="s">
        <v>122</v>
      </c>
      <c r="C37" s="8"/>
      <c r="D37" s="162">
        <f t="shared" ref="D37:AG37" si="13">D4+D11+D19</f>
        <v>0</v>
      </c>
      <c r="E37" s="162">
        <f t="shared" si="13"/>
        <v>0</v>
      </c>
      <c r="F37" s="162">
        <f t="shared" si="13"/>
        <v>0</v>
      </c>
      <c r="G37" s="162">
        <f t="shared" si="13"/>
        <v>0</v>
      </c>
      <c r="H37" s="162">
        <f t="shared" si="13"/>
        <v>0</v>
      </c>
      <c r="I37" s="162">
        <f t="shared" si="13"/>
        <v>0</v>
      </c>
      <c r="J37" s="162">
        <f t="shared" si="13"/>
        <v>0</v>
      </c>
      <c r="K37" s="162">
        <f t="shared" si="13"/>
        <v>0</v>
      </c>
      <c r="L37" s="162">
        <f t="shared" si="13"/>
        <v>0</v>
      </c>
      <c r="M37" s="162">
        <f t="shared" si="13"/>
        <v>0</v>
      </c>
      <c r="N37" s="162">
        <f t="shared" si="13"/>
        <v>0</v>
      </c>
      <c r="O37" s="162">
        <f t="shared" si="13"/>
        <v>0</v>
      </c>
      <c r="P37" s="162">
        <f t="shared" si="13"/>
        <v>0</v>
      </c>
      <c r="Q37" s="162">
        <f t="shared" si="13"/>
        <v>0</v>
      </c>
      <c r="R37" s="233">
        <f t="shared" si="13"/>
        <v>0</v>
      </c>
      <c r="S37" s="162">
        <f t="shared" si="13"/>
        <v>0</v>
      </c>
      <c r="T37" s="162">
        <f t="shared" si="13"/>
        <v>0</v>
      </c>
      <c r="U37" s="162">
        <f t="shared" si="13"/>
        <v>0</v>
      </c>
      <c r="V37" s="162">
        <f t="shared" si="13"/>
        <v>0</v>
      </c>
      <c r="W37" s="162">
        <f t="shared" si="13"/>
        <v>0</v>
      </c>
      <c r="X37" s="162">
        <f t="shared" si="13"/>
        <v>0</v>
      </c>
      <c r="Y37" s="162">
        <f t="shared" si="13"/>
        <v>0</v>
      </c>
      <c r="Z37" s="162">
        <f t="shared" si="13"/>
        <v>0</v>
      </c>
      <c r="AA37" s="162">
        <f t="shared" si="13"/>
        <v>0</v>
      </c>
      <c r="AB37" s="162">
        <f t="shared" si="13"/>
        <v>0</v>
      </c>
      <c r="AC37" s="162">
        <f t="shared" si="13"/>
        <v>0</v>
      </c>
      <c r="AD37" s="162">
        <f t="shared" si="13"/>
        <v>0</v>
      </c>
      <c r="AE37" s="283">
        <f t="shared" si="13"/>
        <v>0</v>
      </c>
      <c r="AF37" s="162">
        <f t="shared" si="13"/>
        <v>0</v>
      </c>
      <c r="AG37" s="285">
        <f t="shared" si="13"/>
        <v>0</v>
      </c>
      <c r="AH37" s="162">
        <f>AH4+AH11+AH19</f>
        <v>0</v>
      </c>
      <c r="AI37" s="162">
        <f>AI4+AI11+AI19</f>
        <v>0</v>
      </c>
      <c r="AJ37" s="162">
        <f t="shared" ref="AJ37:BK37" si="14">AJ4+AJ11+AJ19</f>
        <v>0</v>
      </c>
      <c r="AK37" s="162">
        <f t="shared" si="14"/>
        <v>0</v>
      </c>
      <c r="AL37" s="162">
        <f t="shared" si="14"/>
        <v>0</v>
      </c>
      <c r="AM37" s="288">
        <f t="shared" si="14"/>
        <v>0</v>
      </c>
      <c r="AN37" s="162">
        <f t="shared" si="14"/>
        <v>0</v>
      </c>
      <c r="AO37" s="289">
        <f t="shared" si="14"/>
        <v>0</v>
      </c>
      <c r="AP37" s="162">
        <f t="shared" si="14"/>
        <v>0</v>
      </c>
      <c r="AQ37" s="162">
        <f t="shared" si="14"/>
        <v>0</v>
      </c>
      <c r="AR37" s="162">
        <f t="shared" si="14"/>
        <v>0</v>
      </c>
      <c r="AS37" s="162">
        <f t="shared" si="14"/>
        <v>0</v>
      </c>
      <c r="AT37" s="162">
        <f t="shared" si="14"/>
        <v>0</v>
      </c>
      <c r="AU37" s="162">
        <f t="shared" si="14"/>
        <v>0</v>
      </c>
      <c r="AV37" s="162">
        <f t="shared" si="14"/>
        <v>0</v>
      </c>
      <c r="AW37" s="162">
        <f t="shared" si="14"/>
        <v>0</v>
      </c>
      <c r="AX37" s="291">
        <f t="shared" si="14"/>
        <v>0</v>
      </c>
      <c r="AY37" s="291">
        <f t="shared" si="14"/>
        <v>0</v>
      </c>
      <c r="AZ37" s="162">
        <f t="shared" si="14"/>
        <v>0</v>
      </c>
      <c r="BA37" s="292">
        <f t="shared" si="14"/>
        <v>0</v>
      </c>
      <c r="BB37" s="162">
        <f t="shared" si="14"/>
        <v>0</v>
      </c>
      <c r="BC37" s="293">
        <f t="shared" si="14"/>
        <v>0</v>
      </c>
      <c r="BD37" s="293">
        <f t="shared" si="14"/>
        <v>0</v>
      </c>
      <c r="BE37" s="294">
        <f t="shared" si="14"/>
        <v>0</v>
      </c>
      <c r="BF37" s="182">
        <f t="shared" si="14"/>
        <v>0</v>
      </c>
      <c r="BG37" s="182">
        <f t="shared" si="14"/>
        <v>0</v>
      </c>
      <c r="BH37" s="254">
        <f t="shared" si="14"/>
        <v>0</v>
      </c>
      <c r="BI37" s="254">
        <f t="shared" si="14"/>
        <v>0</v>
      </c>
      <c r="BJ37" s="295">
        <f t="shared" si="14"/>
        <v>0</v>
      </c>
      <c r="BK37" s="295">
        <f t="shared" si="14"/>
        <v>0</v>
      </c>
      <c r="BL37" s="307">
        <f t="shared" ref="BL37:BM37" si="15">BL4+BL11+BL19</f>
        <v>0</v>
      </c>
      <c r="BM37" s="307">
        <f t="shared" si="15"/>
        <v>0</v>
      </c>
    </row>
    <row r="38" spans="1:65" x14ac:dyDescent="0.25">
      <c r="A38" t="s">
        <v>35</v>
      </c>
      <c r="C38" s="8"/>
      <c r="D38" s="59">
        <f t="shared" ref="D38:AG38" si="16">D7+D14+D22</f>
        <v>0</v>
      </c>
      <c r="E38" s="59">
        <f t="shared" si="16"/>
        <v>0</v>
      </c>
      <c r="F38" s="59">
        <f t="shared" si="16"/>
        <v>0</v>
      </c>
      <c r="G38" s="59">
        <f t="shared" si="16"/>
        <v>1</v>
      </c>
      <c r="H38" s="59">
        <f t="shared" si="16"/>
        <v>0</v>
      </c>
      <c r="I38" s="59">
        <f t="shared" si="16"/>
        <v>1</v>
      </c>
      <c r="J38" s="59">
        <f t="shared" si="16"/>
        <v>0</v>
      </c>
      <c r="K38" s="59">
        <f t="shared" si="16"/>
        <v>1</v>
      </c>
      <c r="L38" s="158">
        <f t="shared" si="16"/>
        <v>0</v>
      </c>
      <c r="M38" s="59">
        <f t="shared" si="16"/>
        <v>1</v>
      </c>
      <c r="N38" s="59">
        <f t="shared" si="16"/>
        <v>0</v>
      </c>
      <c r="O38" s="59">
        <f t="shared" si="16"/>
        <v>0</v>
      </c>
      <c r="P38" s="59">
        <f t="shared" si="16"/>
        <v>0</v>
      </c>
      <c r="Q38" s="59">
        <f t="shared" si="16"/>
        <v>0</v>
      </c>
      <c r="R38" s="233">
        <f t="shared" si="16"/>
        <v>0</v>
      </c>
      <c r="S38" s="59">
        <f t="shared" si="16"/>
        <v>1</v>
      </c>
      <c r="T38" s="59">
        <f t="shared" si="16"/>
        <v>0</v>
      </c>
      <c r="U38" s="59">
        <f t="shared" si="16"/>
        <v>1</v>
      </c>
      <c r="V38" s="59">
        <f t="shared" si="16"/>
        <v>0</v>
      </c>
      <c r="W38" s="59">
        <f t="shared" si="16"/>
        <v>1</v>
      </c>
      <c r="X38" s="59">
        <f t="shared" si="16"/>
        <v>0</v>
      </c>
      <c r="Y38" s="59">
        <f t="shared" si="16"/>
        <v>1</v>
      </c>
      <c r="Z38" s="120">
        <f t="shared" si="16"/>
        <v>0</v>
      </c>
      <c r="AA38" s="120">
        <f t="shared" si="16"/>
        <v>1</v>
      </c>
      <c r="AB38" s="121">
        <f t="shared" si="16"/>
        <v>0</v>
      </c>
      <c r="AC38" s="121">
        <f t="shared" si="16"/>
        <v>0</v>
      </c>
      <c r="AD38" s="59">
        <f t="shared" si="16"/>
        <v>0</v>
      </c>
      <c r="AE38" s="283">
        <f t="shared" si="16"/>
        <v>0</v>
      </c>
      <c r="AF38" s="285">
        <f t="shared" si="16"/>
        <v>1</v>
      </c>
      <c r="AG38" s="285">
        <f t="shared" si="16"/>
        <v>1</v>
      </c>
      <c r="AH38" s="59">
        <f>AH7+AH14+AH22</f>
        <v>0</v>
      </c>
      <c r="AI38" s="59">
        <f>AI7+AI14+AI22</f>
        <v>1</v>
      </c>
      <c r="AJ38" s="59">
        <f t="shared" ref="AJ38:BK38" si="17">AJ7+AJ14+AJ22</f>
        <v>0</v>
      </c>
      <c r="AK38" s="59">
        <f t="shared" si="17"/>
        <v>1</v>
      </c>
      <c r="AL38" s="288">
        <f t="shared" si="17"/>
        <v>0</v>
      </c>
      <c r="AM38" s="288">
        <f t="shared" si="17"/>
        <v>1</v>
      </c>
      <c r="AN38" s="289">
        <f t="shared" si="17"/>
        <v>0</v>
      </c>
      <c r="AO38" s="289">
        <f t="shared" si="17"/>
        <v>1</v>
      </c>
      <c r="AP38" s="59">
        <f t="shared" si="17"/>
        <v>0</v>
      </c>
      <c r="AQ38" s="59">
        <f t="shared" si="17"/>
        <v>0</v>
      </c>
      <c r="AR38" s="59">
        <f t="shared" si="17"/>
        <v>0</v>
      </c>
      <c r="AS38" s="59">
        <f t="shared" si="17"/>
        <v>0</v>
      </c>
      <c r="AT38" s="59">
        <f t="shared" si="17"/>
        <v>0</v>
      </c>
      <c r="AU38" s="59">
        <f t="shared" si="17"/>
        <v>1</v>
      </c>
      <c r="AV38" s="59">
        <f t="shared" si="17"/>
        <v>0</v>
      </c>
      <c r="AW38" s="59">
        <f t="shared" si="17"/>
        <v>1</v>
      </c>
      <c r="AX38" s="291">
        <f t="shared" si="17"/>
        <v>0</v>
      </c>
      <c r="AY38" s="291">
        <f t="shared" si="17"/>
        <v>1</v>
      </c>
      <c r="AZ38" s="292">
        <f t="shared" si="17"/>
        <v>0</v>
      </c>
      <c r="BA38" s="292">
        <f t="shared" si="17"/>
        <v>1</v>
      </c>
      <c r="BB38" s="293">
        <f t="shared" si="17"/>
        <v>0</v>
      </c>
      <c r="BC38" s="293">
        <f t="shared" si="17"/>
        <v>1</v>
      </c>
      <c r="BD38" s="294">
        <f t="shared" si="17"/>
        <v>0</v>
      </c>
      <c r="BE38" s="294">
        <f t="shared" si="17"/>
        <v>0</v>
      </c>
      <c r="BF38" s="182">
        <f t="shared" si="17"/>
        <v>0</v>
      </c>
      <c r="BG38" s="182">
        <f t="shared" si="17"/>
        <v>0</v>
      </c>
      <c r="BH38" s="254">
        <f t="shared" si="17"/>
        <v>0</v>
      </c>
      <c r="BI38" s="254">
        <f t="shared" si="17"/>
        <v>1</v>
      </c>
      <c r="BJ38" s="295">
        <f t="shared" si="17"/>
        <v>0</v>
      </c>
      <c r="BK38" s="295">
        <f t="shared" si="17"/>
        <v>1</v>
      </c>
      <c r="BL38" s="307">
        <f t="shared" ref="BL38:BM38" si="18">BL7+BL14+BL22</f>
        <v>0</v>
      </c>
      <c r="BM38" s="307">
        <f t="shared" si="18"/>
        <v>1</v>
      </c>
    </row>
    <row r="39" spans="1:65" s="130" customFormat="1" x14ac:dyDescent="0.25">
      <c r="A39" s="130" t="s">
        <v>157</v>
      </c>
      <c r="C39" s="8"/>
      <c r="D39" s="318">
        <f>D16</f>
        <v>0</v>
      </c>
      <c r="E39" s="318">
        <f>E16</f>
        <v>1</v>
      </c>
      <c r="F39" s="263"/>
      <c r="G39" s="263"/>
      <c r="H39" s="263"/>
      <c r="I39" s="263"/>
      <c r="J39" s="263"/>
      <c r="K39" s="263"/>
      <c r="L39" s="263"/>
      <c r="M39" s="263"/>
      <c r="N39" s="263"/>
      <c r="O39" s="263"/>
      <c r="P39" s="263"/>
      <c r="Q39" s="263"/>
      <c r="R39" s="263"/>
      <c r="S39" s="263"/>
      <c r="T39" s="263"/>
      <c r="U39" s="263"/>
      <c r="W39" s="263"/>
      <c r="X39" s="263"/>
      <c r="Y39" s="263"/>
      <c r="Z39" s="263"/>
      <c r="AA39" s="263"/>
      <c r="AB39" s="263"/>
      <c r="AC39" s="263"/>
      <c r="AD39" s="263"/>
      <c r="AE39" s="263"/>
      <c r="AF39" s="263"/>
      <c r="AG39" s="263"/>
      <c r="AH39" s="263"/>
      <c r="AI39" s="263"/>
      <c r="AJ39" s="263"/>
      <c r="AK39" s="263"/>
      <c r="AL39" s="263"/>
      <c r="AM39" s="263"/>
      <c r="AN39" s="263"/>
      <c r="AO39" s="263"/>
      <c r="AP39" s="263"/>
      <c r="AQ39" s="263"/>
      <c r="AR39" s="263"/>
      <c r="AS39" s="263"/>
      <c r="AT39" s="263"/>
      <c r="AU39" s="263"/>
      <c r="AV39" s="263"/>
      <c r="AW39" s="263"/>
      <c r="AX39" s="263"/>
      <c r="AY39" s="263"/>
      <c r="AZ39" s="263"/>
      <c r="BA39" s="263"/>
      <c r="BB39" s="263"/>
      <c r="BC39" s="263"/>
      <c r="BD39" s="263"/>
      <c r="BE39" s="263"/>
      <c r="BF39" s="263"/>
      <c r="BG39" s="263"/>
      <c r="BH39" s="263"/>
      <c r="BI39" s="263"/>
      <c r="BJ39" s="263"/>
      <c r="BK39" s="263"/>
      <c r="BL39" s="307"/>
      <c r="BM39" s="307"/>
    </row>
    <row r="40" spans="1:65" s="130" customFormat="1" x14ac:dyDescent="0.25">
      <c r="A40" s="130" t="s">
        <v>158</v>
      </c>
      <c r="C40" s="8"/>
      <c r="D40" s="263"/>
      <c r="E40" s="263"/>
      <c r="F40" s="263"/>
      <c r="G40" s="263"/>
      <c r="H40" s="263"/>
      <c r="I40" s="263"/>
      <c r="J40" s="263"/>
      <c r="K40" s="263"/>
      <c r="L40" s="263"/>
      <c r="M40" s="263"/>
      <c r="N40" s="263"/>
      <c r="O40" s="263"/>
      <c r="P40" s="263"/>
      <c r="Q40" s="263"/>
      <c r="R40" s="263"/>
      <c r="S40" s="263"/>
      <c r="T40" s="263"/>
      <c r="U40" s="263"/>
      <c r="W40" s="263"/>
      <c r="X40" s="263"/>
      <c r="Y40" s="263"/>
      <c r="Z40" s="263"/>
      <c r="AA40" s="263"/>
      <c r="AB40" s="263"/>
      <c r="AC40" s="263"/>
      <c r="AD40" s="263"/>
      <c r="AE40" s="263"/>
      <c r="AF40" s="263"/>
      <c r="AG40" s="263"/>
      <c r="AH40" s="263"/>
      <c r="AI40" s="263"/>
      <c r="AJ40" s="263"/>
      <c r="AK40" s="263"/>
      <c r="AL40" s="263"/>
      <c r="AM40" s="263"/>
      <c r="AN40" s="263"/>
      <c r="AO40" s="263"/>
      <c r="AP40" s="263"/>
      <c r="AQ40" s="263"/>
      <c r="AR40" s="263"/>
      <c r="AS40" s="263"/>
      <c r="AT40" s="263"/>
      <c r="AU40" s="263"/>
      <c r="AV40" s="263"/>
      <c r="AW40" s="263"/>
      <c r="AX40" s="263"/>
      <c r="AY40" s="263"/>
      <c r="AZ40" s="263"/>
      <c r="BA40" s="263"/>
      <c r="BB40" s="263"/>
      <c r="BC40" s="263"/>
      <c r="BD40" s="263"/>
      <c r="BE40" s="263"/>
      <c r="BF40" s="263"/>
      <c r="BG40" s="263"/>
      <c r="BH40" s="263"/>
      <c r="BI40" s="263"/>
      <c r="BJ40" s="263"/>
      <c r="BK40" s="263"/>
      <c r="BL40" s="307"/>
      <c r="BM40" s="307"/>
    </row>
    <row r="41" spans="1:65" x14ac:dyDescent="0.25">
      <c r="A41" s="357" t="s">
        <v>83</v>
      </c>
      <c r="B41" s="357"/>
      <c r="C41" s="8"/>
      <c r="D41" s="157">
        <f>SUM(D33:D39)</f>
        <v>106</v>
      </c>
      <c r="E41" s="259">
        <f>SUM(E33:E39)</f>
        <v>6</v>
      </c>
      <c r="F41" s="259">
        <f t="shared" ref="F41:AI41" si="19">SUM(F33:F38)</f>
        <v>24</v>
      </c>
      <c r="G41" s="259">
        <f t="shared" si="19"/>
        <v>140</v>
      </c>
      <c r="H41" s="259">
        <f t="shared" si="19"/>
        <v>43</v>
      </c>
      <c r="I41" s="259">
        <f t="shared" si="19"/>
        <v>121</v>
      </c>
      <c r="J41" s="259">
        <f t="shared" si="19"/>
        <v>36</v>
      </c>
      <c r="K41" s="259">
        <f t="shared" si="19"/>
        <v>128</v>
      </c>
      <c r="L41" s="259">
        <f t="shared" si="19"/>
        <v>36</v>
      </c>
      <c r="M41" s="259">
        <f t="shared" si="19"/>
        <v>128</v>
      </c>
      <c r="N41" s="259">
        <f t="shared" si="19"/>
        <v>140</v>
      </c>
      <c r="O41" s="259">
        <f t="shared" si="19"/>
        <v>3</v>
      </c>
      <c r="P41" s="259">
        <f t="shared" si="19"/>
        <v>108</v>
      </c>
      <c r="Q41" s="259">
        <f t="shared" si="19"/>
        <v>3</v>
      </c>
      <c r="R41" s="259">
        <f t="shared" si="19"/>
        <v>46</v>
      </c>
      <c r="S41" s="259">
        <f t="shared" si="19"/>
        <v>117</v>
      </c>
      <c r="T41" s="259">
        <f t="shared" si="19"/>
        <v>57</v>
      </c>
      <c r="U41" s="259">
        <f t="shared" si="19"/>
        <v>107</v>
      </c>
      <c r="V41" s="259">
        <f t="shared" si="19"/>
        <v>57</v>
      </c>
      <c r="W41" s="259">
        <f t="shared" si="19"/>
        <v>107</v>
      </c>
      <c r="X41" s="259">
        <f t="shared" si="19"/>
        <v>56</v>
      </c>
      <c r="Y41" s="259">
        <f t="shared" si="19"/>
        <v>108</v>
      </c>
      <c r="Z41" s="259">
        <f t="shared" si="19"/>
        <v>56</v>
      </c>
      <c r="AA41" s="259">
        <f t="shared" si="19"/>
        <v>108</v>
      </c>
      <c r="AB41" s="259">
        <f t="shared" si="19"/>
        <v>138</v>
      </c>
      <c r="AC41" s="259">
        <f t="shared" si="19"/>
        <v>5</v>
      </c>
      <c r="AD41" s="259">
        <f t="shared" si="19"/>
        <v>108</v>
      </c>
      <c r="AE41" s="259">
        <f t="shared" si="19"/>
        <v>3</v>
      </c>
      <c r="AF41" s="259">
        <f t="shared" si="19"/>
        <v>74</v>
      </c>
      <c r="AG41" s="259">
        <f t="shared" si="19"/>
        <v>91</v>
      </c>
      <c r="AH41" s="259">
        <f t="shared" si="19"/>
        <v>76</v>
      </c>
      <c r="AI41" s="259">
        <f t="shared" si="19"/>
        <v>88</v>
      </c>
      <c r="AJ41" s="259">
        <f t="shared" ref="AJ41:BK41" si="20">SUM(AJ33:AJ38)</f>
        <v>74</v>
      </c>
      <c r="AK41" s="259">
        <f t="shared" si="20"/>
        <v>90</v>
      </c>
      <c r="AL41" s="259">
        <f t="shared" si="20"/>
        <v>75</v>
      </c>
      <c r="AM41" s="259">
        <f t="shared" si="20"/>
        <v>89</v>
      </c>
      <c r="AN41" s="259">
        <f t="shared" si="20"/>
        <v>74</v>
      </c>
      <c r="AO41" s="259">
        <f t="shared" si="20"/>
        <v>90</v>
      </c>
      <c r="AP41" s="259">
        <f t="shared" si="20"/>
        <v>142</v>
      </c>
      <c r="AQ41" s="259">
        <f t="shared" si="20"/>
        <v>3</v>
      </c>
      <c r="AR41" s="259">
        <f t="shared" si="20"/>
        <v>108</v>
      </c>
      <c r="AS41" s="259">
        <f t="shared" si="20"/>
        <v>3</v>
      </c>
      <c r="AT41" s="259">
        <f t="shared" si="20"/>
        <v>90</v>
      </c>
      <c r="AU41" s="259">
        <f t="shared" si="20"/>
        <v>74</v>
      </c>
      <c r="AV41" s="259">
        <f t="shared" si="20"/>
        <v>90</v>
      </c>
      <c r="AW41" s="259">
        <f t="shared" si="20"/>
        <v>74</v>
      </c>
      <c r="AX41" s="259">
        <f t="shared" si="20"/>
        <v>89</v>
      </c>
      <c r="AY41" s="259">
        <f t="shared" si="20"/>
        <v>75</v>
      </c>
      <c r="AZ41" s="259">
        <f t="shared" si="20"/>
        <v>90</v>
      </c>
      <c r="BA41" s="259">
        <f t="shared" si="20"/>
        <v>74</v>
      </c>
      <c r="BB41" s="259">
        <f t="shared" si="20"/>
        <v>7</v>
      </c>
      <c r="BC41" s="259">
        <f t="shared" si="20"/>
        <v>79</v>
      </c>
      <c r="BD41" s="259">
        <f t="shared" si="20"/>
        <v>2</v>
      </c>
      <c r="BE41" s="259">
        <f t="shared" si="20"/>
        <v>63</v>
      </c>
      <c r="BF41" s="259">
        <f t="shared" si="20"/>
        <v>0</v>
      </c>
      <c r="BG41" s="259">
        <f t="shared" si="20"/>
        <v>57</v>
      </c>
      <c r="BH41" s="259">
        <f t="shared" si="20"/>
        <v>91</v>
      </c>
      <c r="BI41" s="259">
        <f t="shared" si="20"/>
        <v>73</v>
      </c>
      <c r="BJ41" s="259">
        <f t="shared" si="20"/>
        <v>92</v>
      </c>
      <c r="BK41" s="259">
        <f t="shared" si="20"/>
        <v>72</v>
      </c>
      <c r="BL41" s="307">
        <f t="shared" ref="BL41:BM41" si="21">SUM(BL33:BL38)</f>
        <v>113</v>
      </c>
      <c r="BM41" s="307">
        <f t="shared" si="21"/>
        <v>78</v>
      </c>
    </row>
    <row r="42" spans="1:65" x14ac:dyDescent="0.25">
      <c r="C42" s="8"/>
      <c r="L42" s="130"/>
      <c r="AR42" s="56"/>
      <c r="AS42" s="56"/>
      <c r="AT42" s="56"/>
      <c r="AU42" s="56"/>
      <c r="AV42" s="56"/>
      <c r="AW42" s="56"/>
      <c r="AX42" s="56"/>
      <c r="AY42" s="56"/>
      <c r="AZ42" s="56"/>
      <c r="BB42" s="56"/>
      <c r="BD42" s="56"/>
      <c r="BH42" s="56"/>
      <c r="BI42" s="56"/>
      <c r="BJ42" s="56"/>
      <c r="BK42" s="56"/>
      <c r="BL42" s="56"/>
      <c r="BM42" s="56"/>
    </row>
    <row r="43" spans="1:65" x14ac:dyDescent="0.25">
      <c r="A43" s="58" t="s">
        <v>84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60"/>
      <c r="AS43" s="60"/>
      <c r="AT43" s="60"/>
      <c r="AU43" s="60"/>
      <c r="AV43" s="60"/>
      <c r="AW43" s="60"/>
      <c r="AX43" s="60"/>
      <c r="AY43" s="60"/>
      <c r="AZ43" s="60"/>
      <c r="BA43" s="58"/>
      <c r="BB43" s="60"/>
      <c r="BC43" s="58"/>
      <c r="BD43" s="60"/>
      <c r="BE43" s="58"/>
      <c r="BF43" s="58"/>
      <c r="BG43" s="58"/>
      <c r="BH43" s="60"/>
      <c r="BI43" s="60"/>
      <c r="BJ43" s="60"/>
      <c r="BK43" s="60"/>
      <c r="BL43" s="60"/>
      <c r="BM43" s="60"/>
    </row>
    <row r="44" spans="1:65" x14ac:dyDescent="0.25">
      <c r="A44" t="s">
        <v>79</v>
      </c>
      <c r="C44" s="8"/>
      <c r="D44" s="59">
        <f>D5+E5+D12+E12+D20+E20</f>
        <v>54</v>
      </c>
      <c r="E44" s="59"/>
      <c r="F44" s="59">
        <f>F5+G5+F12+G12+F20+G20</f>
        <v>82</v>
      </c>
      <c r="G44" s="59"/>
      <c r="H44" s="59">
        <f>H5+I5+H12+I12+H20+I20</f>
        <v>82</v>
      </c>
      <c r="I44" s="59"/>
      <c r="J44" s="59">
        <f>J5+K5+J12+K12+J20+K20</f>
        <v>82</v>
      </c>
      <c r="K44" s="59"/>
      <c r="L44" s="158">
        <f>L5+M5+L12+M12+L20+M20</f>
        <v>82</v>
      </c>
      <c r="M44" s="59"/>
      <c r="N44" s="59">
        <f>N5+O5+N12+O12+N20+O20</f>
        <v>70</v>
      </c>
      <c r="O44" s="59"/>
      <c r="P44" s="59">
        <f>P5+Q5+P12+Q12+P20+Q20</f>
        <v>54</v>
      </c>
      <c r="Q44" s="59"/>
      <c r="R44" s="59">
        <f>R5+S5+R12+S12+R20+S20</f>
        <v>81</v>
      </c>
      <c r="S44" s="59"/>
      <c r="T44" s="59">
        <f>T5+U5+T12+U12+T20+U20</f>
        <v>82</v>
      </c>
      <c r="U44" s="59"/>
      <c r="V44" s="59">
        <f>V5+W5+V12+W12+V20+W20</f>
        <v>82</v>
      </c>
      <c r="W44" s="59"/>
      <c r="X44" s="59">
        <f>X5+Y5+X12+Y12+X20+Y20</f>
        <v>82</v>
      </c>
      <c r="Y44" s="59"/>
      <c r="Z44" s="122">
        <f>Z5+AA5+Z12+AA12+Z20+AA20</f>
        <v>82</v>
      </c>
      <c r="AA44" s="59"/>
      <c r="AB44" s="59">
        <f>AB5+AC5+AB12+AC12+AB20+AC20</f>
        <v>70</v>
      </c>
      <c r="AC44" s="59"/>
      <c r="AD44" s="59">
        <f>AD5+AE5+AD12+AE12+AD20+AE20</f>
        <v>54</v>
      </c>
      <c r="AE44" s="59"/>
      <c r="AF44" s="59">
        <f>AF5+AG5+AF12+AG12+AF20+AG20</f>
        <v>82</v>
      </c>
      <c r="AG44" s="59"/>
      <c r="AH44" s="59">
        <f>AH5+AI5+AH12+AI12+AH20+AI20</f>
        <v>82</v>
      </c>
      <c r="AI44" s="59"/>
      <c r="AJ44" s="59">
        <f>AJ5+AK5+AJ12+AK12+AJ20+AK20</f>
        <v>82</v>
      </c>
      <c r="AK44" s="59"/>
      <c r="AL44" s="59">
        <f>AL5+AM5+AL12+AM12+AL20+AM20</f>
        <v>82</v>
      </c>
      <c r="AM44" s="59"/>
      <c r="AN44" s="59">
        <f>AN5+AO5+AN12+AO12+AN20+AO20</f>
        <v>82</v>
      </c>
      <c r="AO44" s="59"/>
      <c r="AP44" s="59">
        <f>AP5+AQ5+AP12+AQ12+AP20+AQ20</f>
        <v>71</v>
      </c>
      <c r="AQ44" s="59"/>
      <c r="AR44" s="59">
        <f>AR5+AS5+AR12+AS12+AR20+AS20</f>
        <v>54</v>
      </c>
      <c r="AS44" s="59"/>
      <c r="AT44" s="266">
        <f>AT5+AU5+AT12+AU12+AT20+AU20</f>
        <v>82</v>
      </c>
      <c r="AU44" s="59"/>
      <c r="AV44" s="59">
        <f>AV5+AW5+AV12+AW12+AV20+AW20</f>
        <v>82</v>
      </c>
      <c r="AW44" s="59"/>
      <c r="AX44" s="59">
        <f>AX5+AY5+AX12+AY12+AX20+AY20</f>
        <v>82</v>
      </c>
      <c r="AY44" s="59"/>
      <c r="AZ44" s="59">
        <f>AZ5+BA5+AZ12+BA12+AZ20+BA20</f>
        <v>82</v>
      </c>
      <c r="BA44" s="59"/>
      <c r="BB44" s="118">
        <f>BB5+BC5+BB12+BC12+BB20+BC20</f>
        <v>44</v>
      </c>
      <c r="BC44" s="118"/>
      <c r="BD44" s="118">
        <f>BD5+BE5+BD12+BE12+BD20+BE20</f>
        <v>32</v>
      </c>
      <c r="BE44" s="118"/>
      <c r="BF44" s="59">
        <f>BF5+BG5+BF12+BG12+BF20+BG20</f>
        <v>28</v>
      </c>
      <c r="BG44" s="59"/>
      <c r="BH44" s="254">
        <f>BH5+BI5+BH12+BI12+BH20+BI20</f>
        <v>82</v>
      </c>
      <c r="BI44" s="254"/>
      <c r="BJ44" s="254">
        <f>BJ5+BK5+BJ12+BK12+BJ20+BK20</f>
        <v>82</v>
      </c>
      <c r="BK44" s="254"/>
      <c r="BL44" s="307">
        <f>BL5+BM5+BL12+BM12+BL20+BM20</f>
        <v>95</v>
      </c>
      <c r="BM44" s="307"/>
    </row>
    <row r="45" spans="1:65" x14ac:dyDescent="0.25">
      <c r="A45" t="s">
        <v>80</v>
      </c>
      <c r="C45" s="8"/>
      <c r="D45" s="59">
        <f>D8+E8+D15+E15+D23+E23</f>
        <v>57</v>
      </c>
      <c r="E45" s="59"/>
      <c r="F45" s="59">
        <f>F8+G8+F15+G15+F23+G23</f>
        <v>81</v>
      </c>
      <c r="G45" s="59"/>
      <c r="H45" s="59">
        <f>H8+I8+H15+I15+H23+I23</f>
        <v>81</v>
      </c>
      <c r="I45" s="59"/>
      <c r="J45" s="59">
        <f>J8+K8+J15+K15+J23+K23</f>
        <v>81</v>
      </c>
      <c r="K45" s="59"/>
      <c r="L45" s="59">
        <f>L8+M8+L15+M15+L23+M23</f>
        <v>81</v>
      </c>
      <c r="M45" s="59"/>
      <c r="N45" s="59">
        <f>N8+O8+N15+O15+N23+O23</f>
        <v>73</v>
      </c>
      <c r="O45" s="59"/>
      <c r="P45" s="59">
        <f>P8+Q8+P15+Q15+P23+Q23</f>
        <v>57</v>
      </c>
      <c r="Q45" s="59"/>
      <c r="R45" s="59">
        <f>R8+S8+R15+S15+R23+S23</f>
        <v>81</v>
      </c>
      <c r="S45" s="59"/>
      <c r="T45" s="59">
        <f>T8+U8+T15+U15+T23+U23</f>
        <v>81</v>
      </c>
      <c r="U45" s="59"/>
      <c r="V45" s="59">
        <f>V8+W8+V15+W15+V23+W23</f>
        <v>81</v>
      </c>
      <c r="W45" s="59"/>
      <c r="X45" s="59">
        <f>X8+Y8+X15+Y15+X23+Y23</f>
        <v>81</v>
      </c>
      <c r="Y45" s="59"/>
      <c r="Z45" s="122">
        <f>Z8+AA8+Z15+AA15+Z23+AA23</f>
        <v>81</v>
      </c>
      <c r="AA45" s="59"/>
      <c r="AB45" s="122">
        <f>AB8+AC8+AB15+AC15+AB23+AC23</f>
        <v>73</v>
      </c>
      <c r="AC45" s="59"/>
      <c r="AD45" s="59">
        <f>AD8+AE8+AD15+AE15+AD23+AE23</f>
        <v>57</v>
      </c>
      <c r="AE45" s="59"/>
      <c r="AF45" s="285">
        <f>AF8+AG8+AF15+AG15+AF23+AG23</f>
        <v>81</v>
      </c>
      <c r="AG45" s="59"/>
      <c r="AH45" s="59">
        <f>AH8+AI8+AH15+AI15+AH23+AI23</f>
        <v>81</v>
      </c>
      <c r="AI45" s="59"/>
      <c r="AJ45" s="59">
        <f>AJ8+AK8+AJ15+AK15+AJ23+AK23</f>
        <v>81</v>
      </c>
      <c r="AK45" s="59"/>
      <c r="AL45" s="288">
        <f>AL8+AM8+AL15+AM15+AL23+AM23</f>
        <v>81</v>
      </c>
      <c r="AM45" s="59"/>
      <c r="AN45" s="289">
        <f>AN8+AO8+AN15+AO15+AN23+AO23</f>
        <v>81</v>
      </c>
      <c r="AO45" s="59"/>
      <c r="AP45" s="59">
        <f>AP8+AQ8+AP15+AQ15+AP23+AQ23</f>
        <v>74</v>
      </c>
      <c r="AQ45" s="59"/>
      <c r="AR45" s="59">
        <f>AR8+AS8+AR15+AS15+AR23+AS23</f>
        <v>57</v>
      </c>
      <c r="AS45" s="59"/>
      <c r="AT45" s="266">
        <f>AT8+AU8+AT15+AU15+AT23+AU23</f>
        <v>81</v>
      </c>
      <c r="AU45" s="59"/>
      <c r="AV45" s="59">
        <f>AV8+AW8+AV15+AW15+AV23+AW23</f>
        <v>81</v>
      </c>
      <c r="AW45" s="59"/>
      <c r="AX45" s="291">
        <f>AX8+AY8+AX15+AY15+AX23+AY23</f>
        <v>81</v>
      </c>
      <c r="AY45" s="59"/>
      <c r="AZ45" s="292">
        <f>AZ8+BA8+AZ15+BA15+AZ23+BA23</f>
        <v>81</v>
      </c>
      <c r="BA45" s="59"/>
      <c r="BB45" s="293">
        <f>BB8+BC8+BB15+BC15+BB23+BC23</f>
        <v>41</v>
      </c>
      <c r="BC45" s="118"/>
      <c r="BD45" s="294">
        <f>BD8+BE8+BD15+BE15+BD23+BE23</f>
        <v>33</v>
      </c>
      <c r="BE45" s="118"/>
      <c r="BF45" s="59">
        <f>BF8+BG8+BF15+BG15+BF23+BG23</f>
        <v>29</v>
      </c>
      <c r="BG45" s="59"/>
      <c r="BH45" s="254">
        <f>BH8+BI8+BH15+BI15+BH23+BI23</f>
        <v>81</v>
      </c>
      <c r="BI45" s="254"/>
      <c r="BJ45" s="296">
        <f>BJ8+BK8+BJ15+BK15+BJ23+BK23</f>
        <v>81</v>
      </c>
      <c r="BK45" s="254"/>
      <c r="BL45" s="307">
        <f>BL8+BM8+BL15+BM15+BL23+BM23</f>
        <v>95</v>
      </c>
      <c r="BM45" s="307"/>
    </row>
    <row r="46" spans="1:65" x14ac:dyDescent="0.25">
      <c r="A46" t="s">
        <v>81</v>
      </c>
      <c r="C46" s="8"/>
      <c r="D46" s="59">
        <f>D3+E3+D10+E10+D18+E18</f>
        <v>0</v>
      </c>
      <c r="E46" s="59"/>
      <c r="F46" s="59">
        <f>F3+G3+F10+G10+F18+G18</f>
        <v>0</v>
      </c>
      <c r="G46" s="59"/>
      <c r="H46" s="59">
        <f>H3+I3+H10+I10+H18+I18</f>
        <v>0</v>
      </c>
      <c r="I46" s="59"/>
      <c r="J46" s="59">
        <f>J3+K3+J10+K10+J18+K18</f>
        <v>0</v>
      </c>
      <c r="K46" s="59"/>
      <c r="L46" s="59">
        <f>L3+M3+L10+M10+L18+M18</f>
        <v>0</v>
      </c>
      <c r="M46" s="59"/>
      <c r="N46" s="59">
        <f>N3+O3+N10+O10+N18+O18</f>
        <v>0</v>
      </c>
      <c r="O46" s="59"/>
      <c r="P46" s="59">
        <f>P3+Q3+P10+Q10+P18+Q18</f>
        <v>0</v>
      </c>
      <c r="Q46" s="59"/>
      <c r="R46" s="59">
        <f>R3+S3+R10+S10+R18+S18</f>
        <v>0</v>
      </c>
      <c r="S46" s="59"/>
      <c r="T46" s="59">
        <f>T3+U3+T10+U10+T18+U18</f>
        <v>0</v>
      </c>
      <c r="U46" s="59"/>
      <c r="V46" s="59">
        <f>V3+W3+V10+W10+V18+W18</f>
        <v>0</v>
      </c>
      <c r="W46" s="59"/>
      <c r="X46" s="59">
        <f>X3+Y3+X10+Y10+X18+Y18</f>
        <v>0</v>
      </c>
      <c r="Y46" s="59"/>
      <c r="Z46" s="122">
        <f>Z3+AA3+Z10+AA10+Z18+AA18</f>
        <v>0</v>
      </c>
      <c r="AA46" s="59"/>
      <c r="AB46" s="126">
        <f>AB3+AC3+AB10+AC10+AB18+AC18</f>
        <v>0</v>
      </c>
      <c r="AC46" s="59"/>
      <c r="AD46" s="59">
        <f>AD3+AE3+AD10+AE10+AD18+AE18</f>
        <v>0</v>
      </c>
      <c r="AE46" s="59"/>
      <c r="AF46" s="59">
        <f>AF3+AG3+AF10+AG10+AF18+AG18</f>
        <v>0</v>
      </c>
      <c r="AG46" s="59"/>
      <c r="AH46" s="59">
        <f>AH3+AI3+AH10+AI10+AH18+AI18</f>
        <v>0</v>
      </c>
      <c r="AI46" s="59"/>
      <c r="AJ46" s="59">
        <f>AJ3+AK3+AJ10+AK10+AJ18+AK18</f>
        <v>0</v>
      </c>
      <c r="AK46" s="59"/>
      <c r="AL46" s="59">
        <f>AL3+AM3+AL10+AM10+AL18+AM18</f>
        <v>0</v>
      </c>
      <c r="AM46" s="59"/>
      <c r="AN46" s="59">
        <f>AN3+AO3+AN10+AO10+AN18+AO18</f>
        <v>0</v>
      </c>
      <c r="AO46" s="59"/>
      <c r="AP46" s="59">
        <f>AP3+AQ3+AP10+AQ10+AP18+AQ18</f>
        <v>0</v>
      </c>
      <c r="AQ46" s="59"/>
      <c r="AR46" s="59">
        <f>AR3+AS3+AR10+AS10+AR18+AS18</f>
        <v>0</v>
      </c>
      <c r="AS46" s="59"/>
      <c r="AT46" s="59">
        <f>AT3+AU3+AT10+AU10+AT18+AU18</f>
        <v>0</v>
      </c>
      <c r="AU46" s="59"/>
      <c r="AV46" s="59">
        <f>AV3+AW3+AV10+AW10+AV18+AW18</f>
        <v>0</v>
      </c>
      <c r="AW46" s="59"/>
      <c r="AX46" s="59">
        <f>AX3+AY3+AX10+AY10+AX18+AY18</f>
        <v>0</v>
      </c>
      <c r="AY46" s="59"/>
      <c r="AZ46" s="59">
        <f>AZ3+BA3+AZ10+BA10+AZ18+BA18</f>
        <v>0</v>
      </c>
      <c r="BA46" s="59"/>
      <c r="BB46" s="118">
        <f>BB3+BC3+BB10+BC10+BB18+BC18</f>
        <v>0</v>
      </c>
      <c r="BC46" s="118"/>
      <c r="BD46" s="118">
        <f>BD3+BE3+BD10+BE10+BD18+BE18</f>
        <v>0</v>
      </c>
      <c r="BE46" s="118"/>
      <c r="BF46" s="59">
        <f>BF3+BG3+BF10+BG10+BF18+BG18</f>
        <v>0</v>
      </c>
      <c r="BG46" s="59"/>
      <c r="BH46" s="254">
        <f>BH3+BI3+BH10+BI10+BH18+BI18</f>
        <v>0</v>
      </c>
      <c r="BI46" s="254"/>
      <c r="BJ46" s="254">
        <f>BJ3+BK3+BJ10+BK10+BJ18+BK18</f>
        <v>0</v>
      </c>
      <c r="BK46" s="254"/>
      <c r="BL46" s="307">
        <f>BL3+BM3+BL10+BM10+BL18+BM18</f>
        <v>0</v>
      </c>
      <c r="BM46" s="307"/>
    </row>
    <row r="47" spans="1:65" x14ac:dyDescent="0.25">
      <c r="A47" t="s">
        <v>82</v>
      </c>
      <c r="C47" s="8"/>
      <c r="D47" s="59">
        <f>D6+E6+D13+E13+D21+E21</f>
        <v>0</v>
      </c>
      <c r="E47" s="59"/>
      <c r="F47" s="59">
        <f>F6+G6+F13+G13+F21+G21</f>
        <v>0</v>
      </c>
      <c r="G47" s="59"/>
      <c r="H47" s="59">
        <f>H6+I6+H13+I13+H21+I21</f>
        <v>0</v>
      </c>
      <c r="I47" s="59"/>
      <c r="J47" s="59">
        <f>J6+K6+J13+K13+J21+K21</f>
        <v>0</v>
      </c>
      <c r="K47" s="59"/>
      <c r="L47" s="59">
        <f>L6+M6+L13+M13+L21+M21</f>
        <v>0</v>
      </c>
      <c r="M47" s="59"/>
      <c r="N47" s="59">
        <f>N6+O6+N13+O13+N21+O21</f>
        <v>0</v>
      </c>
      <c r="O47" s="59"/>
      <c r="P47" s="59">
        <f>P6+Q6+P13+Q13+P21+Q21</f>
        <v>0</v>
      </c>
      <c r="Q47" s="59"/>
      <c r="R47" s="59">
        <f>R6+S6+R13+S13+R21+S21</f>
        <v>0</v>
      </c>
      <c r="S47" s="59"/>
      <c r="T47" s="59">
        <f>T6+U6+T13+U13+T21+U21</f>
        <v>0</v>
      </c>
      <c r="U47" s="59"/>
      <c r="V47" s="59">
        <f>V6+W6+V13+W13+V21+W21</f>
        <v>0</v>
      </c>
      <c r="W47" s="59"/>
      <c r="X47" s="59">
        <f>X6+Y6+X13+Y13+X21+Y21</f>
        <v>0</v>
      </c>
      <c r="Y47" s="59"/>
      <c r="Z47" s="122">
        <f>Z6+AA6+Z13+AA13+Z21+AA21</f>
        <v>0</v>
      </c>
      <c r="AA47" s="59"/>
      <c r="AB47" s="126">
        <f>AB6+AC6+AB13+AC13+AB21+AC21</f>
        <v>0</v>
      </c>
      <c r="AC47" s="59"/>
      <c r="AD47" s="59">
        <f>AD6+AE6+AD13+AE13+AD21+AE21</f>
        <v>0</v>
      </c>
      <c r="AE47" s="59"/>
      <c r="AF47" s="59">
        <f>AF6+AG6+AF13+AG13+AF21+AG21</f>
        <v>0</v>
      </c>
      <c r="AG47" s="59"/>
      <c r="AH47" s="59">
        <f>AH6+AI6+AH13+AI13+AH21+AI21</f>
        <v>0</v>
      </c>
      <c r="AI47" s="59"/>
      <c r="AJ47" s="59">
        <f>AJ6+AK6+AJ13+AK13+AJ21+AK21</f>
        <v>0</v>
      </c>
      <c r="AK47" s="59"/>
      <c r="AL47" s="59">
        <f>AL6+AM6+AL13+AM13+AL21+AM21</f>
        <v>0</v>
      </c>
      <c r="AM47" s="59"/>
      <c r="AN47" s="59">
        <f>AN6+AO6+AN13+AO13+AN21+AO21</f>
        <v>0</v>
      </c>
      <c r="AO47" s="59"/>
      <c r="AP47" s="59">
        <f>AP6+AQ6+AP13+AQ13+AP21+AQ21</f>
        <v>0</v>
      </c>
      <c r="AQ47" s="59"/>
      <c r="AR47" s="59">
        <f>AR6+AS6+AR13+AS13+AR21+AS21</f>
        <v>0</v>
      </c>
      <c r="AS47" s="59"/>
      <c r="AT47" s="59">
        <f>AT6+AU6+AT13+AU13+AT21+AU21</f>
        <v>0</v>
      </c>
      <c r="AU47" s="59"/>
      <c r="AV47" s="59">
        <f>AV6+AW6+AV13+AW13+AV21+AW21</f>
        <v>0</v>
      </c>
      <c r="AW47" s="59"/>
      <c r="AX47" s="59">
        <f>AX6+AY6+AX13+AY13+AX21+AY21</f>
        <v>0</v>
      </c>
      <c r="AY47" s="59"/>
      <c r="AZ47" s="59">
        <f>AZ6+BA6+AZ13+BA13+AZ21+BA21</f>
        <v>0</v>
      </c>
      <c r="BA47" s="59"/>
      <c r="BB47" s="118">
        <f>BB6+BC6+BB13+BC13+BB21+BC21</f>
        <v>0</v>
      </c>
      <c r="BC47" s="118"/>
      <c r="BD47" s="118">
        <f>BD6+BE6+BD13+BE13+BD21+BE21</f>
        <v>0</v>
      </c>
      <c r="BE47" s="118"/>
      <c r="BF47" s="59">
        <f>BF6+BG6+BF13+BG13+BF21+BG21</f>
        <v>0</v>
      </c>
      <c r="BG47" s="59"/>
      <c r="BH47" s="254">
        <f>BH6+BI6+BH13+BI13+BH21+BI21</f>
        <v>0</v>
      </c>
      <c r="BI47" s="254"/>
      <c r="BJ47" s="254">
        <f>BJ6+BK6+BJ13+BK13+BJ21+BK21</f>
        <v>0</v>
      </c>
      <c r="BK47" s="254"/>
      <c r="BL47" s="307">
        <f>BL6+BM6+BL13+BM13+BL21+BM21</f>
        <v>0</v>
      </c>
      <c r="BM47" s="307"/>
    </row>
    <row r="48" spans="1:65" s="130" customFormat="1" x14ac:dyDescent="0.25">
      <c r="A48" s="130" t="s">
        <v>122</v>
      </c>
      <c r="C48" s="8"/>
      <c r="D48" s="162">
        <f>D4+E4+D11+E11+D19+E19</f>
        <v>0</v>
      </c>
      <c r="E48" s="162"/>
      <c r="F48" s="162">
        <f>F4+G4+F11+G11+F19+G19</f>
        <v>0</v>
      </c>
      <c r="G48" s="162"/>
      <c r="H48" s="162">
        <f>H4+I4+H11+I11+H19+I19</f>
        <v>0</v>
      </c>
      <c r="I48" s="162"/>
      <c r="J48" s="162">
        <f>J4+K4+J11+K11+J19+K19</f>
        <v>0</v>
      </c>
      <c r="K48" s="162"/>
      <c r="L48" s="162">
        <f>L4+M4+L11+M11+L19+M19</f>
        <v>0</v>
      </c>
      <c r="M48" s="162"/>
      <c r="N48" s="162">
        <f>N4+O4+N11+O11+N19+O19</f>
        <v>0</v>
      </c>
      <c r="O48" s="162"/>
      <c r="P48" s="162">
        <f>P4+Q4+P11+Q11+P19+Q19</f>
        <v>0</v>
      </c>
      <c r="Q48" s="162"/>
      <c r="R48" s="162">
        <f>R4+S4+R11+S11+R19+S19</f>
        <v>0</v>
      </c>
      <c r="S48" s="162"/>
      <c r="T48" s="162">
        <f>T4+U4+T11+U11+T19+U19</f>
        <v>0</v>
      </c>
      <c r="U48" s="162"/>
      <c r="V48" s="162">
        <f>V4+W4+V11+W11+V19+W19</f>
        <v>0</v>
      </c>
      <c r="W48" s="162"/>
      <c r="X48" s="162">
        <f>X4+Y4+X11+Y11+X19+Y19</f>
        <v>0</v>
      </c>
      <c r="Y48" s="162"/>
      <c r="Z48" s="162">
        <f>Z4+AA4+Z11+AA11+Z19+AA19</f>
        <v>0</v>
      </c>
      <c r="AA48" s="162"/>
      <c r="AB48" s="162">
        <f>AB4+AC4+AB11+AC11+AB19+AC19</f>
        <v>0</v>
      </c>
      <c r="AC48" s="162"/>
      <c r="AD48" s="162">
        <f>AD4+AE4+AD11+AE11+AD19+AE19</f>
        <v>0</v>
      </c>
      <c r="AE48" s="162"/>
      <c r="AF48" s="162">
        <f>AF4+AG4+AF11+AG11+AF19+AG19</f>
        <v>0</v>
      </c>
      <c r="AG48" s="162"/>
      <c r="AH48" s="162">
        <f>AH4+AI4+AH11+AI11+AH19+AI19</f>
        <v>0</v>
      </c>
      <c r="AI48" s="162"/>
      <c r="AJ48" s="162">
        <f>AJ4+AK4+AJ11+AK11+AJ19+AK19</f>
        <v>0</v>
      </c>
      <c r="AK48" s="162"/>
      <c r="AL48" s="162">
        <f>AL4+AM4+AL11+AM11+AL19+AM19</f>
        <v>0</v>
      </c>
      <c r="AM48" s="162"/>
      <c r="AN48" s="162">
        <f>AN4+AO4+AN11+AO11+AN19+AO19</f>
        <v>0</v>
      </c>
      <c r="AO48" s="162"/>
      <c r="AP48" s="162">
        <f>AP4+AQ4+AP11+AQ11+AP19+AQ19</f>
        <v>0</v>
      </c>
      <c r="AQ48" s="162"/>
      <c r="AR48" s="162">
        <f>AR4+AS4+AR11+AS11+AR19+AS19</f>
        <v>0</v>
      </c>
      <c r="AS48" s="162"/>
      <c r="AT48" s="162">
        <f>AT4+AU4+AT11+AU11+AT19+AU19</f>
        <v>0</v>
      </c>
      <c r="AU48" s="162"/>
      <c r="AV48" s="162">
        <f>AV4+AW4+AV11+AW11+AV19+AW19</f>
        <v>0</v>
      </c>
      <c r="AW48" s="162"/>
      <c r="AX48" s="162">
        <f>AX4+AY4+AX11+AY11+AX19+AY19</f>
        <v>0</v>
      </c>
      <c r="AY48" s="162"/>
      <c r="AZ48" s="162">
        <f>AZ4+BA4+AZ11+BA11+AZ19+BA19</f>
        <v>0</v>
      </c>
      <c r="BA48" s="162"/>
      <c r="BB48" s="162">
        <f>BB4+BC4+BB11+BC11+BB19+BC19</f>
        <v>0</v>
      </c>
      <c r="BC48" s="162"/>
      <c r="BD48" s="162">
        <f>BD4+BE4+BD11+BE11+BD19+BE19</f>
        <v>0</v>
      </c>
      <c r="BE48" s="162"/>
      <c r="BF48" s="162">
        <f>BF4+BG4+BF11+BG11+BF19+BG19</f>
        <v>0</v>
      </c>
      <c r="BG48" s="162"/>
      <c r="BH48" s="254">
        <f>BH4+BI4+BH11+BI11+BH19+BI19</f>
        <v>0</v>
      </c>
      <c r="BI48" s="254"/>
      <c r="BJ48" s="254">
        <f>BJ4+BK4+BJ11+BK11+BJ19+BK19</f>
        <v>0</v>
      </c>
      <c r="BK48" s="254"/>
      <c r="BL48" s="307">
        <f>BL4+BM4+BL11+BM11+BL19+BM19</f>
        <v>0</v>
      </c>
      <c r="BM48" s="307"/>
    </row>
    <row r="49" spans="1:65" x14ac:dyDescent="0.25">
      <c r="A49" t="s">
        <v>35</v>
      </c>
      <c r="C49" s="8"/>
      <c r="D49" s="59">
        <f>D7+E7+D14+E14+D22+E22</f>
        <v>0</v>
      </c>
      <c r="E49" s="59"/>
      <c r="F49" s="59">
        <f>F7+G7+F14+G14+F22+G22</f>
        <v>1</v>
      </c>
      <c r="G49" s="59"/>
      <c r="H49" s="59">
        <f>H7+I7+H14+I14+H22+I22</f>
        <v>1</v>
      </c>
      <c r="I49" s="59"/>
      <c r="J49" s="59">
        <f>J7+K7+J14+K14+J22+K22</f>
        <v>1</v>
      </c>
      <c r="K49" s="59"/>
      <c r="L49" s="59">
        <f>L7+M7+L14+M14+L22+M22</f>
        <v>1</v>
      </c>
      <c r="M49" s="59"/>
      <c r="N49" s="59">
        <f>N7+O7+N14+O14+N22+O22</f>
        <v>0</v>
      </c>
      <c r="O49" s="59"/>
      <c r="P49" s="59">
        <f>P7+Q7+P14+Q14+P22+Q22</f>
        <v>0</v>
      </c>
      <c r="Q49" s="59"/>
      <c r="R49" s="59">
        <f>R7+S7+R14+S14+R22+S22</f>
        <v>1</v>
      </c>
      <c r="S49" s="59"/>
      <c r="T49" s="59">
        <f>T7+U7+T14+U14+T22+U22</f>
        <v>1</v>
      </c>
      <c r="U49" s="59"/>
      <c r="V49" s="59">
        <f>V7+W7+V14+W14+V22+W22</f>
        <v>1</v>
      </c>
      <c r="W49" s="59"/>
      <c r="X49" s="59">
        <f>X7+Y7+X14+Y14+X22+Y22</f>
        <v>1</v>
      </c>
      <c r="Y49" s="59"/>
      <c r="Z49" s="122">
        <f>Z7+AA7+Z14+AA14+Z22+AA22</f>
        <v>1</v>
      </c>
      <c r="AA49" s="59"/>
      <c r="AB49" s="126">
        <f>AB7+AC7+AB14+AC14+AB22+AC22</f>
        <v>0</v>
      </c>
      <c r="AC49" s="59"/>
      <c r="AD49" s="59">
        <f>AD7+AE7+AD14+AE14+AD22+AE22</f>
        <v>0</v>
      </c>
      <c r="AE49" s="59"/>
      <c r="AF49" s="285">
        <f>AF7+AG7+AF14+AG14+AF22+AG22</f>
        <v>2</v>
      </c>
      <c r="AG49" s="59"/>
      <c r="AH49" s="59">
        <f>AH7+AI7+AH14+AI14+AH22+AI22</f>
        <v>1</v>
      </c>
      <c r="AI49" s="59"/>
      <c r="AJ49" s="59">
        <f>AJ7+AK7+AJ14+AK14+AJ22+AK22</f>
        <v>1</v>
      </c>
      <c r="AK49" s="59"/>
      <c r="AL49" s="288">
        <f>AL7+AM7+AL14+AM14+AL22+AM22</f>
        <v>1</v>
      </c>
      <c r="AM49" s="59"/>
      <c r="AN49" s="289">
        <f>AN7+AO7+AN14+AO14+AN22+AO22</f>
        <v>1</v>
      </c>
      <c r="AO49" s="59"/>
      <c r="AP49" s="59">
        <f>AP7+AQ7+AP14+AQ14+AP22+AQ22</f>
        <v>0</v>
      </c>
      <c r="AQ49" s="59"/>
      <c r="AR49" s="59">
        <f>AR7+AS7+AR14+AS14+AR22+AS22</f>
        <v>0</v>
      </c>
      <c r="AS49" s="59"/>
      <c r="AT49" s="59">
        <f>AT7+AU7+AT14+AU14+AT22+AU22</f>
        <v>1</v>
      </c>
      <c r="AU49" s="59"/>
      <c r="AV49" s="59">
        <f>AV7+AW7+AV14+AW14+AV22+AW22</f>
        <v>1</v>
      </c>
      <c r="AW49" s="59"/>
      <c r="AX49" s="291">
        <f>AX7+AY7+AX14+AY14+AX22+AY22</f>
        <v>1</v>
      </c>
      <c r="AY49" s="59"/>
      <c r="AZ49" s="292">
        <f>AZ7+BA7+AZ14+BA14+AZ22+BA22</f>
        <v>1</v>
      </c>
      <c r="BA49" s="59"/>
      <c r="BB49" s="293">
        <f>BB7+BC7+BB14+BC14+BB22+BC22</f>
        <v>1</v>
      </c>
      <c r="BC49" s="118"/>
      <c r="BD49" s="294">
        <f>BD7+BE7+BD14+BE14+BD22+BE22</f>
        <v>0</v>
      </c>
      <c r="BE49" s="118"/>
      <c r="BF49" s="59">
        <f>BF7+BG7+BF14+BG14+BF22+BG22</f>
        <v>0</v>
      </c>
      <c r="BG49" s="59"/>
      <c r="BH49" s="254">
        <f>BH7+BI7+BH14+BI14+BH22+BI22</f>
        <v>1</v>
      </c>
      <c r="BI49" s="254"/>
      <c r="BJ49" s="296">
        <f>BJ7+BK7+BJ14+BK14+BJ22+BK22</f>
        <v>1</v>
      </c>
      <c r="BK49" s="254"/>
      <c r="BL49" s="307">
        <f>BL7+BM7+BL14+BM14+BL22+BM22</f>
        <v>1</v>
      </c>
      <c r="BM49" s="307"/>
    </row>
    <row r="50" spans="1:65" s="130" customFormat="1" x14ac:dyDescent="0.25">
      <c r="A50" s="130" t="s">
        <v>157</v>
      </c>
      <c r="C50" s="8"/>
      <c r="D50" s="318">
        <f>D16+E16</f>
        <v>1</v>
      </c>
      <c r="E50" s="263"/>
      <c r="F50" s="263"/>
      <c r="G50" s="263"/>
      <c r="H50" s="263"/>
      <c r="I50" s="263"/>
      <c r="J50" s="263"/>
      <c r="K50" s="263"/>
      <c r="L50" s="263"/>
      <c r="M50" s="263"/>
      <c r="N50" s="263"/>
      <c r="O50" s="263"/>
      <c r="P50" s="263"/>
      <c r="Q50" s="263"/>
      <c r="R50" s="263"/>
      <c r="S50" s="263"/>
      <c r="T50" s="263"/>
      <c r="V50" s="263"/>
      <c r="W50" s="263"/>
      <c r="X50" s="263"/>
      <c r="Y50" s="263"/>
      <c r="Z50" s="263"/>
      <c r="AA50" s="263"/>
      <c r="AB50" s="263"/>
      <c r="AC50" s="263"/>
      <c r="AD50" s="263"/>
      <c r="AE50" s="263"/>
      <c r="AF50" s="263"/>
      <c r="AG50" s="263"/>
      <c r="AH50" s="263"/>
      <c r="AI50" s="263"/>
      <c r="AJ50" s="263"/>
      <c r="AK50" s="263"/>
      <c r="AL50" s="263"/>
      <c r="AM50" s="263"/>
      <c r="AN50" s="263"/>
      <c r="AO50" s="263"/>
      <c r="AP50" s="263"/>
      <c r="AQ50" s="263"/>
      <c r="AR50" s="56"/>
      <c r="AS50" s="56"/>
      <c r="AT50" s="263"/>
      <c r="AU50" s="56"/>
      <c r="AV50" s="56"/>
      <c r="AW50" s="56"/>
      <c r="AX50" s="56"/>
      <c r="AY50" s="56"/>
      <c r="AZ50" s="56"/>
      <c r="BA50" s="263"/>
      <c r="BB50" s="56"/>
      <c r="BC50" s="263"/>
      <c r="BD50" s="56"/>
      <c r="BE50" s="263"/>
      <c r="BF50" s="263"/>
      <c r="BG50" s="263"/>
      <c r="BH50" s="56"/>
      <c r="BI50" s="56"/>
      <c r="BJ50" s="56"/>
      <c r="BK50" s="56"/>
      <c r="BL50" s="56"/>
      <c r="BM50" s="56"/>
    </row>
    <row r="51" spans="1:65" s="130" customFormat="1" x14ac:dyDescent="0.25">
      <c r="A51" s="130" t="s">
        <v>158</v>
      </c>
      <c r="C51" s="8"/>
      <c r="D51" s="263"/>
      <c r="E51" s="263"/>
      <c r="F51" s="263"/>
      <c r="G51" s="263"/>
      <c r="H51" s="263"/>
      <c r="I51" s="263"/>
      <c r="J51" s="263"/>
      <c r="K51" s="263"/>
      <c r="L51" s="263"/>
      <c r="M51" s="263"/>
      <c r="N51" s="263"/>
      <c r="O51" s="263"/>
      <c r="P51" s="263"/>
      <c r="Q51" s="263"/>
      <c r="R51" s="263"/>
      <c r="S51" s="263"/>
      <c r="T51" s="263"/>
      <c r="V51" s="263"/>
      <c r="W51" s="263"/>
      <c r="X51" s="263"/>
      <c r="Y51" s="263"/>
      <c r="Z51" s="263"/>
      <c r="AA51" s="263"/>
      <c r="AB51" s="263"/>
      <c r="AC51" s="263"/>
      <c r="AD51" s="263"/>
      <c r="AE51" s="263"/>
      <c r="AF51" s="263"/>
      <c r="AG51" s="263"/>
      <c r="AH51" s="263"/>
      <c r="AI51" s="263"/>
      <c r="AJ51" s="263"/>
      <c r="AK51" s="263"/>
      <c r="AL51" s="263"/>
      <c r="AM51" s="263"/>
      <c r="AN51" s="263"/>
      <c r="AO51" s="263"/>
      <c r="AP51" s="263"/>
      <c r="AQ51" s="263"/>
      <c r="AR51" s="56"/>
      <c r="AS51" s="56"/>
      <c r="AT51" s="263"/>
      <c r="AU51" s="56"/>
      <c r="AV51" s="56"/>
      <c r="AW51" s="56"/>
      <c r="AX51" s="56"/>
      <c r="AY51" s="56"/>
      <c r="AZ51" s="56"/>
      <c r="BA51" s="263"/>
      <c r="BB51" s="56"/>
      <c r="BC51" s="263"/>
      <c r="BD51" s="56"/>
      <c r="BE51" s="263"/>
      <c r="BF51" s="263"/>
      <c r="BG51" s="263"/>
      <c r="BH51" s="56"/>
      <c r="BI51" s="56"/>
      <c r="BJ51" s="56"/>
      <c r="BK51" s="56"/>
      <c r="BL51" s="56"/>
      <c r="BM51" s="56"/>
    </row>
    <row r="52" spans="1:65" x14ac:dyDescent="0.25">
      <c r="C52" s="8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6"/>
      <c r="AS52" s="56"/>
      <c r="AT52" s="56"/>
      <c r="AU52" s="56"/>
      <c r="AV52" s="56"/>
      <c r="AW52" s="56"/>
      <c r="AX52" s="56"/>
      <c r="AY52" s="56"/>
      <c r="AZ52" s="56"/>
      <c r="BA52" s="59"/>
      <c r="BB52" s="56"/>
      <c r="BC52" s="118"/>
      <c r="BD52" s="56"/>
      <c r="BE52" s="118"/>
      <c r="BF52" s="59"/>
      <c r="BG52" s="59"/>
      <c r="BH52" s="56"/>
      <c r="BI52" s="56"/>
      <c r="BJ52" s="56"/>
      <c r="BK52" s="56"/>
      <c r="BL52" s="56"/>
      <c r="BM52" s="56"/>
    </row>
    <row r="53" spans="1:65" x14ac:dyDescent="0.25">
      <c r="A53" s="58" t="s">
        <v>65</v>
      </c>
      <c r="B53" s="58"/>
      <c r="C53" s="58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0"/>
      <c r="AS53" s="60"/>
      <c r="AT53" s="60"/>
      <c r="AU53" s="60"/>
      <c r="AV53" s="60"/>
      <c r="AW53" s="60"/>
      <c r="AX53" s="60"/>
      <c r="AY53" s="60"/>
      <c r="AZ53" s="60"/>
      <c r="BA53" s="61"/>
      <c r="BB53" s="60"/>
      <c r="BC53" s="61"/>
      <c r="BD53" s="60"/>
      <c r="BE53" s="61"/>
      <c r="BF53" s="61"/>
      <c r="BG53" s="61"/>
      <c r="BH53" s="60"/>
      <c r="BI53" s="60"/>
      <c r="BJ53" s="60"/>
      <c r="BK53" s="60"/>
      <c r="BL53" s="60"/>
      <c r="BM53" s="60"/>
    </row>
    <row r="54" spans="1:65" x14ac:dyDescent="0.25">
      <c r="A54" t="s">
        <v>79</v>
      </c>
      <c r="C54" s="8"/>
      <c r="D54" s="59">
        <f>(D5+D12+D20)+2*(E5+E12+E20)</f>
        <v>57</v>
      </c>
      <c r="E54" s="59"/>
      <c r="F54" s="59">
        <f>(F5+F12+F20)+2*(G5+G12+G20)</f>
        <v>152</v>
      </c>
      <c r="G54" s="59"/>
      <c r="H54" s="59">
        <f>(H5+H12+H20)+2*(I5+I12+I20)</f>
        <v>142</v>
      </c>
      <c r="I54" s="59"/>
      <c r="J54" s="59">
        <f>(J5+J12+J20)+2*(K5+K12+K20)</f>
        <v>146</v>
      </c>
      <c r="K54" s="59"/>
      <c r="L54" s="59">
        <f>(L5+L12+L20)+2*(M5+M12+M20)</f>
        <v>146</v>
      </c>
      <c r="M54" s="59"/>
      <c r="N54" s="59">
        <f>(N5+N12+N20)+2*(O5+O12+O20)</f>
        <v>73</v>
      </c>
      <c r="O54" s="59"/>
      <c r="P54" s="59">
        <f>(P5+P12+P20)+2*(Q5+Q12+Q20)</f>
        <v>57</v>
      </c>
      <c r="Q54" s="59"/>
      <c r="R54" s="59">
        <f>(R5+R12+R20)+2*(S5+S12+S20)</f>
        <v>142</v>
      </c>
      <c r="S54" s="59"/>
      <c r="T54" s="59">
        <f>(T5+T12+T20)+2*(U5+U12+U20)</f>
        <v>136</v>
      </c>
      <c r="U54" s="59"/>
      <c r="V54" s="59">
        <f>(V5+V12+V20)+2*(W5+W12+W20)</f>
        <v>136</v>
      </c>
      <c r="W54" s="59"/>
      <c r="X54" s="59">
        <f>(X5+X12+X20)+2*(Y5+Y12+Y20)</f>
        <v>136</v>
      </c>
      <c r="Y54" s="59"/>
      <c r="Z54" s="122">
        <f>(Z5+Z12+Z20)+2*(AA5+AA12+AA20)</f>
        <v>136</v>
      </c>
      <c r="AA54" s="59"/>
      <c r="AB54" s="122">
        <f>(AB5+AB12+AB20)+2*(AC5+AC12+AC20)</f>
        <v>74</v>
      </c>
      <c r="AC54" s="59"/>
      <c r="AD54" s="59">
        <f>(AD5+AD12+AD20)+2*(AE5+AE12+AE20)</f>
        <v>57</v>
      </c>
      <c r="AE54" s="59"/>
      <c r="AF54" s="59">
        <f>(AF5+AF12+AF20)+2*(AG5+AG12+AG20)</f>
        <v>128</v>
      </c>
      <c r="AG54" s="59"/>
      <c r="AH54" s="59">
        <f>(AH5+AH12+AH20)+2*(AI5+AI12+AI20)</f>
        <v>126</v>
      </c>
      <c r="AI54" s="59"/>
      <c r="AJ54" s="59">
        <f>(AJ5+AJ12+AJ20)+2*(AK5+AK12+AK20)</f>
        <v>127</v>
      </c>
      <c r="AK54" s="59"/>
      <c r="AL54" s="59">
        <f>(AL5+AL12+AL20)+2*(AM5+AM12+AM20)</f>
        <v>127</v>
      </c>
      <c r="AM54" s="59"/>
      <c r="AN54" s="59">
        <f>(AN5+AN12+AN20)+2*(AO5+AO12+AO20)</f>
        <v>128</v>
      </c>
      <c r="AO54" s="59"/>
      <c r="AP54" s="59">
        <f>(AP5+AP12+AP20)+2*(AQ5+AQ12+AQ20)</f>
        <v>74</v>
      </c>
      <c r="AQ54" s="59"/>
      <c r="AR54" s="59">
        <f>(AR5+AR12+AR20)+2*(AS5+AS12+AS20)</f>
        <v>57</v>
      </c>
      <c r="AS54" s="59"/>
      <c r="AT54" s="266">
        <f>(AT5+AT12+AT20)+2*(AU5+AU12+AU20)</f>
        <v>119</v>
      </c>
      <c r="AU54" s="59"/>
      <c r="AV54" s="59">
        <f>(AV5+AV12+AV20)+2*(AW5+AW12+AW20)</f>
        <v>119</v>
      </c>
      <c r="AW54" s="59"/>
      <c r="AX54" s="59">
        <f>(AX5+AX12+AX20)+2*(AY5+AY12+AY20)</f>
        <v>120</v>
      </c>
      <c r="AY54" s="59"/>
      <c r="AZ54" s="59">
        <f>(AZ5+AZ12+AZ20)+2*(BA5+BA12+BA20)</f>
        <v>119</v>
      </c>
      <c r="BA54" s="122"/>
      <c r="BB54" s="118">
        <f>(BB5+BB12+BB20)+2*(BC5+BC12+BC20)</f>
        <v>83</v>
      </c>
      <c r="BC54" s="122"/>
      <c r="BD54" s="118">
        <f>(BD5+BD12+BD20)+2*(BE5+BE12+BE20)</f>
        <v>64</v>
      </c>
      <c r="BE54" s="122"/>
      <c r="BF54" s="59">
        <f>(BF5+BF12+BF20)+2*(BG5+BG12+BG20)</f>
        <v>56</v>
      </c>
      <c r="BG54" s="255"/>
      <c r="BH54" s="254">
        <f>(BH5+BH12+BH20)+2*(BI5+BI12+BI20)</f>
        <v>119</v>
      </c>
      <c r="BI54" s="254"/>
      <c r="BJ54" s="254">
        <f>(BJ5+BJ12+BJ20)+2*(BK5+BK12+BK20)</f>
        <v>118</v>
      </c>
      <c r="BK54" s="254"/>
      <c r="BL54" s="307">
        <f>(BL5+BL12+BL20)+2*(BM5+BM12+BM20)</f>
        <v>137</v>
      </c>
      <c r="BM54" s="307"/>
    </row>
    <row r="55" spans="1:65" x14ac:dyDescent="0.25">
      <c r="A55" t="s">
        <v>80</v>
      </c>
      <c r="C55" s="8"/>
      <c r="D55" s="59">
        <f>(D8+D15+D23)+2*(E8+E15+E23)</f>
        <v>59</v>
      </c>
      <c r="E55" s="59"/>
      <c r="F55" s="59">
        <f>(F8+F15+F23)+2*(G8+G15+G23)</f>
        <v>150</v>
      </c>
      <c r="G55" s="59"/>
      <c r="H55" s="59">
        <f>(H8+H15+H23)+2*(I8+I15+I23)</f>
        <v>141</v>
      </c>
      <c r="I55" s="59"/>
      <c r="J55" s="59">
        <f>(J8+J15+J23)+2*(K8+K15+K23)</f>
        <v>144</v>
      </c>
      <c r="K55" s="59"/>
      <c r="L55" s="59">
        <f>(L8+L15+L23)+2*(M8+M15+M23)</f>
        <v>144</v>
      </c>
      <c r="M55" s="59"/>
      <c r="N55" s="59">
        <f>(N8+N15+N23)+2*(O8+O15+O23)</f>
        <v>73</v>
      </c>
      <c r="O55" s="59"/>
      <c r="P55" s="59">
        <f>(P8+P15+P23)+2*(Q8+Q15+Q23)</f>
        <v>57</v>
      </c>
      <c r="Q55" s="59"/>
      <c r="R55" s="59">
        <f>(R8+R15+R23)+2*(S8+S15+S23)</f>
        <v>136</v>
      </c>
      <c r="S55" s="59"/>
      <c r="T55" s="59">
        <f>(T8+T15+T23)+2*(U8+U15+U23)</f>
        <v>133</v>
      </c>
      <c r="U55" s="59"/>
      <c r="V55" s="59">
        <f>(V8+V15+V23)+2*(W8+W15+W23)</f>
        <v>133</v>
      </c>
      <c r="W55" s="59"/>
      <c r="X55" s="59">
        <f>(X8+X15+X23)+2*(Y8+Y15+Y23)</f>
        <v>134</v>
      </c>
      <c r="Y55" s="59"/>
      <c r="Z55" s="122">
        <f>(Z8+Z15+Z23)+2*(AA8+AA15+AA23)</f>
        <v>134</v>
      </c>
      <c r="AA55" s="59"/>
      <c r="AB55" s="122">
        <f>(AB8+AB15+AB23)+2*(AC8+AC15+AC23)</f>
        <v>74</v>
      </c>
      <c r="AC55" s="59"/>
      <c r="AD55" s="59">
        <f>(AD8+AD15+AD23)+2*(AE8+AE15+AE23)</f>
        <v>57</v>
      </c>
      <c r="AE55" s="59"/>
      <c r="AF55" s="285">
        <f>(AF8+AF15+AF23)+2*(AG8+AG15+AG23)</f>
        <v>125</v>
      </c>
      <c r="AG55" s="59"/>
      <c r="AH55" s="59">
        <f>(AH8+AH15+AH23)+2*(AI8+AI15+AI23)</f>
        <v>124</v>
      </c>
      <c r="AI55" s="59"/>
      <c r="AJ55" s="59">
        <f>(AJ8+AJ15+AJ23)+2*(AK8+AK15+AK23)</f>
        <v>125</v>
      </c>
      <c r="AK55" s="59"/>
      <c r="AL55" s="288">
        <f>(AL8+AL15+AL23)+2*(AM8+AM15+AM23)</f>
        <v>124</v>
      </c>
      <c r="AM55" s="59"/>
      <c r="AN55" s="289">
        <f>(AN8+AN15+AN23)+2*(AO8+AO15+AO23)</f>
        <v>124</v>
      </c>
      <c r="AO55" s="59"/>
      <c r="AP55" s="59">
        <f>(AP8+AP15+AP23)+2*(AQ8+AQ15+AQ23)</f>
        <v>74</v>
      </c>
      <c r="AQ55" s="59"/>
      <c r="AR55" s="59">
        <f>(AR8+AR15+AR23)+2*(AS8+AS15+AS23)</f>
        <v>57</v>
      </c>
      <c r="AS55" s="59"/>
      <c r="AT55" s="266">
        <f>(AT8+AT15+AT23)+2*(AU8+AU15+AU23)</f>
        <v>117</v>
      </c>
      <c r="AU55" s="59"/>
      <c r="AV55" s="59">
        <f>(AV8+AV15+AV23)+2*(AW8+AW15+AW23)</f>
        <v>117</v>
      </c>
      <c r="AW55" s="59"/>
      <c r="AX55" s="291">
        <f>(AX8+AX15+AX23)+2*(AY8+AY15+AY23)</f>
        <v>117</v>
      </c>
      <c r="AY55" s="59"/>
      <c r="AZ55" s="292">
        <f>(AZ8+AZ15+AZ23)+2*(BA8+BA15+BA23)</f>
        <v>117</v>
      </c>
      <c r="BA55" s="122"/>
      <c r="BB55" s="293">
        <f>(BB8+BB15+BB23)+2*(BC8+BC15+BC23)</f>
        <v>80</v>
      </c>
      <c r="BC55" s="122"/>
      <c r="BD55" s="294">
        <f>(BD8+BD15+BD23)+2*(BE8+BE15+BE23)</f>
        <v>64</v>
      </c>
      <c r="BE55" s="122"/>
      <c r="BF55" s="59">
        <f>(BF8+BF15+BF23)+2*(BG8+BG15+BG23)</f>
        <v>58</v>
      </c>
      <c r="BG55" s="255"/>
      <c r="BH55" s="254">
        <f>(BH8+BH15+BH23)+2*(BI8+BI15+BI23)</f>
        <v>116</v>
      </c>
      <c r="BI55" s="254"/>
      <c r="BJ55" s="296">
        <f>(BJ8+BJ15+BJ23)+2*(BK8+BK15+BK23)</f>
        <v>116</v>
      </c>
      <c r="BK55" s="254"/>
      <c r="BL55" s="307">
        <f>(BL8+BL15+BL23)+2*(BM8+BM15+BM23)</f>
        <v>130</v>
      </c>
      <c r="BM55" s="307"/>
    </row>
    <row r="56" spans="1:65" x14ac:dyDescent="0.25">
      <c r="A56" t="s">
        <v>81</v>
      </c>
      <c r="C56" s="8"/>
      <c r="D56" s="59">
        <f>(D3+D10+D18)+2*(E3+E10+E18)</f>
        <v>0</v>
      </c>
      <c r="E56" s="59"/>
      <c r="F56" s="59">
        <f>(F3+F10+F18)+2*(G3+G10+G18)</f>
        <v>0</v>
      </c>
      <c r="G56" s="59"/>
      <c r="H56" s="59">
        <f>(H3+H10+H18)+2*(I3+I10+I18)</f>
        <v>0</v>
      </c>
      <c r="I56" s="59"/>
      <c r="J56" s="59">
        <f>(J3+J10+J18)+2*(K3+K10+K18)</f>
        <v>0</v>
      </c>
      <c r="K56" s="59"/>
      <c r="L56" s="59">
        <f>(L3+L10+L18)+2*(M3+M10+M18)</f>
        <v>0</v>
      </c>
      <c r="M56" s="59"/>
      <c r="N56" s="59">
        <f>(N3+N10+N18)+2*(O3+O10+O18)</f>
        <v>0</v>
      </c>
      <c r="O56" s="59"/>
      <c r="P56" s="59">
        <f>(P3+P10+P18)+2*(Q3+Q10+Q18)</f>
        <v>0</v>
      </c>
      <c r="Q56" s="59"/>
      <c r="R56" s="59">
        <f>(R3+R10+R18)+2*(S3+S10+S18)</f>
        <v>0</v>
      </c>
      <c r="S56" s="59"/>
      <c r="T56" s="59">
        <f>(T3+T10+T18)+2*(U3+U10+U18)</f>
        <v>0</v>
      </c>
      <c r="U56" s="59"/>
      <c r="V56" s="59">
        <f>(V3+V10+V18)+2*(W3+W10+W18)</f>
        <v>0</v>
      </c>
      <c r="W56" s="59"/>
      <c r="X56" s="59">
        <f>(X3+X10+X18)+2*(Y3+Y10+Y18)</f>
        <v>0</v>
      </c>
      <c r="Y56" s="59"/>
      <c r="Z56" s="122">
        <f>(Z3+Z10+Z18)+2*(AA3+AA10+AA18)</f>
        <v>0</v>
      </c>
      <c r="AA56" s="59"/>
      <c r="AB56" s="122">
        <f>(AB3+AB10+AB18)+2*(AC3+AC10+AC18)</f>
        <v>0</v>
      </c>
      <c r="AC56" s="59"/>
      <c r="AD56" s="59">
        <f>(AD3+AD10+AD18)+2*(AE3+AE10+AE18)</f>
        <v>0</v>
      </c>
      <c r="AE56" s="59"/>
      <c r="AF56" s="59">
        <f>(AF3+AF10+AF18)+2*(AG3+AG10+AG18)</f>
        <v>0</v>
      </c>
      <c r="AG56" s="59"/>
      <c r="AH56" s="59">
        <f>(AH3+AH10+AH18)+2*(AI3+AI10+AI18)</f>
        <v>0</v>
      </c>
      <c r="AI56" s="59"/>
      <c r="AJ56" s="59">
        <f>(AJ3+AJ10+AJ18)+2*(AK3+AK10+AK18)</f>
        <v>0</v>
      </c>
      <c r="AK56" s="59"/>
      <c r="AL56" s="59">
        <f>(AL3+AL10+AL18)+2*(AM3+AM10+AM18)</f>
        <v>0</v>
      </c>
      <c r="AM56" s="59"/>
      <c r="AN56" s="59">
        <f>(AN3+AN10+AN18)+2*(AO3+AO10+AO18)</f>
        <v>0</v>
      </c>
      <c r="AO56" s="59"/>
      <c r="AP56" s="59">
        <f>(AP3+AP10+AP18)+2*(AQ3+AQ10+AQ18)</f>
        <v>0</v>
      </c>
      <c r="AQ56" s="59"/>
      <c r="AR56" s="59">
        <f>(AR3+AR10+AR18)+2*(AS3+AS10+AS18)</f>
        <v>0</v>
      </c>
      <c r="AS56" s="59"/>
      <c r="AT56" s="59">
        <f>(AT3+AT10+AT18)+2*(AU3+AU10+AU18)</f>
        <v>0</v>
      </c>
      <c r="AU56" s="59"/>
      <c r="AV56" s="59">
        <f>(AV3+AV10+AV18)+2*(AW3+AW10+AW18)</f>
        <v>0</v>
      </c>
      <c r="AW56" s="59"/>
      <c r="AX56" s="59">
        <f>(AX3+AX10+AX18)+2*(AY3+AY10+AY18)</f>
        <v>0</v>
      </c>
      <c r="AY56" s="59"/>
      <c r="AZ56" s="59">
        <f>(AZ3+AZ10+AZ18)+2*(BA3+BA10+BA18)</f>
        <v>0</v>
      </c>
      <c r="BA56" s="122"/>
      <c r="BB56" s="118">
        <f>(BB3+BB10+BB18)+2*(BC3+BC10+BC18)</f>
        <v>0</v>
      </c>
      <c r="BC56" s="122"/>
      <c r="BD56" s="118">
        <f>(BD3+BD10+BD18)+2*(BE3+BE10+BE18)</f>
        <v>0</v>
      </c>
      <c r="BE56" s="122"/>
      <c r="BF56" s="59">
        <f>(BF3+BF10+BF18)+2*(BG3+BG10+BG18)</f>
        <v>0</v>
      </c>
      <c r="BG56" s="255"/>
      <c r="BH56" s="254">
        <f>(BH3+BH10+BH18)+2*(BI3+BI10+BI18)</f>
        <v>0</v>
      </c>
      <c r="BI56" s="254"/>
      <c r="BJ56" s="296">
        <f>(BJ3+BJ10+BJ18)+2*(BK3+BK10+BK18)</f>
        <v>0</v>
      </c>
      <c r="BK56" s="254"/>
      <c r="BL56" s="307">
        <f>(BL3+BL10+BL18)+2*(BM3+BM10+BM18)</f>
        <v>0</v>
      </c>
      <c r="BM56" s="307"/>
    </row>
    <row r="57" spans="1:65" x14ac:dyDescent="0.25">
      <c r="A57" t="s">
        <v>82</v>
      </c>
      <c r="C57" s="8"/>
      <c r="D57" s="59">
        <f>(D6+D13+D21)+2*(E6+E13+E21)</f>
        <v>0</v>
      </c>
      <c r="E57" s="59"/>
      <c r="F57" s="59">
        <f>(F6+F13+F21)+2*(G6+G13+G21)</f>
        <v>0</v>
      </c>
      <c r="G57" s="59"/>
      <c r="H57" s="59">
        <f>(H6+H13+H21)+2*(I6+I13+I21)</f>
        <v>0</v>
      </c>
      <c r="I57" s="59"/>
      <c r="J57" s="59">
        <f>(J6+J13+J21)+2*(K6+K13+K21)</f>
        <v>0</v>
      </c>
      <c r="K57" s="59"/>
      <c r="L57" s="59">
        <f>(L6+L13+L21)+2*(M6+M13+M21)</f>
        <v>0</v>
      </c>
      <c r="M57" s="59"/>
      <c r="N57" s="59">
        <f>(N6+N13+N21)+2*(O6+O13+O21)</f>
        <v>0</v>
      </c>
      <c r="O57" s="59"/>
      <c r="P57" s="59">
        <f>(P6+P13+P21)+2*(Q6+Q13+Q21)</f>
        <v>0</v>
      </c>
      <c r="Q57" s="59"/>
      <c r="R57" s="59">
        <f>(R6+R13+R21)+2*(S6+S13+S21)</f>
        <v>0</v>
      </c>
      <c r="S57" s="59"/>
      <c r="T57" s="59">
        <f>(T6+T13+T21)+2*(U6+U13+U21)</f>
        <v>0</v>
      </c>
      <c r="U57" s="59"/>
      <c r="V57" s="59">
        <f>(V6+V13+V21)+2*(W6+W13+W21)</f>
        <v>0</v>
      </c>
      <c r="W57" s="59"/>
      <c r="X57" s="59">
        <f>(X6+X13+X21)+2*(Y6+Y13+Y21)</f>
        <v>0</v>
      </c>
      <c r="Y57" s="59"/>
      <c r="Z57" s="122">
        <f>(Z6+Z13+Z21)+2*(AA6+AA13+AA21)</f>
        <v>0</v>
      </c>
      <c r="AA57" s="59"/>
      <c r="AB57" s="122">
        <f>(AB6+AB13+AB21)+2*(AC6+AC13+AC21)</f>
        <v>0</v>
      </c>
      <c r="AC57" s="59"/>
      <c r="AD57" s="59">
        <f>(AD6+AD13+AD21)+2*(AE6+AE13+AE21)</f>
        <v>0</v>
      </c>
      <c r="AE57" s="59"/>
      <c r="AF57" s="59">
        <f>(AF6+AF13+AF21)+2*(AG6+AG13+AG21)</f>
        <v>0</v>
      </c>
      <c r="AG57" s="59"/>
      <c r="AH57" s="59">
        <f>(AH6+AH13+AH21)+2*(AI6+AI13+AI21)</f>
        <v>0</v>
      </c>
      <c r="AI57" s="59"/>
      <c r="AJ57" s="59">
        <f>(AJ6+AJ13+AJ21)+2*(AK6+AK13+AK21)</f>
        <v>0</v>
      </c>
      <c r="AK57" s="59"/>
      <c r="AL57" s="59">
        <f>(AL6+AL13+AL21)+2*(AM6+AM13+AM21)</f>
        <v>0</v>
      </c>
      <c r="AM57" s="59"/>
      <c r="AN57" s="59">
        <f>(AN6+AN13+AN21)+2*(AO6+AO13+AO21)</f>
        <v>0</v>
      </c>
      <c r="AO57" s="59"/>
      <c r="AP57" s="59">
        <f>(AP6+AP13+AP21)+2*(AQ6+AQ13+AQ21)</f>
        <v>0</v>
      </c>
      <c r="AQ57" s="59"/>
      <c r="AR57" s="59">
        <f>(AR6+AR13+AR21)+2*(AS6+AS13+AS21)</f>
        <v>0</v>
      </c>
      <c r="AS57" s="59"/>
      <c r="AT57" s="59">
        <f>(AT6+AT13+AT21)+2*(AU6+AU13+AU21)</f>
        <v>0</v>
      </c>
      <c r="AU57" s="59"/>
      <c r="AV57" s="59">
        <f>(AV6+AV13+AV21)+2*(AW6+AW13+AW21)</f>
        <v>0</v>
      </c>
      <c r="AW57" s="59"/>
      <c r="AX57" s="59">
        <f>(AX6+AX13+AX21)+2*(AY6+AY13+AY21)</f>
        <v>0</v>
      </c>
      <c r="AY57" s="59"/>
      <c r="AZ57" s="59">
        <f>(AZ6+AZ13+AZ21)+2*(BA6+BA13+BA21)</f>
        <v>0</v>
      </c>
      <c r="BA57" s="122"/>
      <c r="BB57" s="118">
        <f>(BB6+BB13+BB21)+2*(BC6+BC13+BC21)</f>
        <v>0</v>
      </c>
      <c r="BC57" s="122"/>
      <c r="BD57" s="118">
        <f>(BD6+BD13+BD21)+2*(BE6+BE13+BE21)</f>
        <v>0</v>
      </c>
      <c r="BE57" s="122"/>
      <c r="BF57" s="59">
        <f>(BF6+BF13+BF21)+2*(BG6+BG13+BG21)</f>
        <v>0</v>
      </c>
      <c r="BG57" s="255"/>
      <c r="BH57" s="254">
        <f>(BH6+BH13+BH21)+2*(BI6+BI13+BI21)</f>
        <v>0</v>
      </c>
      <c r="BI57" s="254"/>
      <c r="BJ57" s="296">
        <f>(BJ6+BJ13+BJ21)+2*(BK6+BK13+BK21)</f>
        <v>0</v>
      </c>
      <c r="BK57" s="254"/>
      <c r="BL57" s="307">
        <f>(BL6+BL13+BL21)+2*(BM6+BM13+BM21)</f>
        <v>0</v>
      </c>
      <c r="BM57" s="307"/>
    </row>
    <row r="58" spans="1:65" s="130" customFormat="1" x14ac:dyDescent="0.25">
      <c r="A58" s="130" t="s">
        <v>122</v>
      </c>
      <c r="C58" s="8"/>
      <c r="D58" s="162">
        <f>(D4+D11+D19)+2*(E4+E11+E19)</f>
        <v>0</v>
      </c>
      <c r="E58" s="162"/>
      <c r="F58" s="162">
        <f>(F4+F11+F19)+2*(G4+G11+G19)</f>
        <v>0</v>
      </c>
      <c r="G58" s="162"/>
      <c r="H58" s="162">
        <f>(H4+H11+H19)+2*(I4+I11+I19)</f>
        <v>0</v>
      </c>
      <c r="I58" s="162"/>
      <c r="J58" s="162">
        <f>(J4+J11+J19)+2*(K4+K11+K19)</f>
        <v>0</v>
      </c>
      <c r="K58" s="162"/>
      <c r="L58" s="162">
        <f>(L4+L11+L19)+2*(M4+M11+M19)</f>
        <v>0</v>
      </c>
      <c r="M58" s="162"/>
      <c r="N58" s="162">
        <f>(N4+N11+N19)+2*(O4+O11+O19)</f>
        <v>0</v>
      </c>
      <c r="O58" s="162"/>
      <c r="P58" s="162">
        <f>(P4+P11+P19)+2*(Q4+Q11+Q19)</f>
        <v>0</v>
      </c>
      <c r="Q58" s="162"/>
      <c r="R58" s="162">
        <f>(R4+R11+R19)+2*(S4+S11+S19)</f>
        <v>0</v>
      </c>
      <c r="S58" s="162"/>
      <c r="T58" s="162">
        <f>(T4+T11+T19)+2*(U4+U11+U19)</f>
        <v>0</v>
      </c>
      <c r="U58" s="162"/>
      <c r="V58" s="162">
        <f>(V4+V11+V19)+2*(W4+W11+W19)</f>
        <v>0</v>
      </c>
      <c r="W58" s="162"/>
      <c r="X58" s="162">
        <f>(X4+X11+X19)+2*(Y4+Y11+Y19)</f>
        <v>0</v>
      </c>
      <c r="Y58" s="162"/>
      <c r="Z58" s="162">
        <f>(Z4+Z11+Z19)+2*(AA4+AA11+AA19)</f>
        <v>0</v>
      </c>
      <c r="AA58" s="162"/>
      <c r="AB58" s="162">
        <f>(AB4+AB11+AB19)+2*(AC4+AC11+AC19)</f>
        <v>0</v>
      </c>
      <c r="AC58" s="162"/>
      <c r="AD58" s="162">
        <f>(AD4+AD11+AD19)+2*(AE4+AE11+AE19)</f>
        <v>0</v>
      </c>
      <c r="AE58" s="162"/>
      <c r="AF58" s="162">
        <f>(AF4+AF11+AF19)+2*(AG4+AG11+AG19)</f>
        <v>0</v>
      </c>
      <c r="AG58" s="162"/>
      <c r="AH58" s="162">
        <f>(AH4+AH11+AH19)+2*(AI4+AI11+AI19)</f>
        <v>0</v>
      </c>
      <c r="AI58" s="162"/>
      <c r="AJ58" s="162">
        <f>(AJ4+AJ11+AJ19)+2*(AK4+AK11+AK19)</f>
        <v>0</v>
      </c>
      <c r="AK58" s="162"/>
      <c r="AL58" s="162">
        <f>(AL4+AL11+AL19)+2*(AM4+AM11+AM19)</f>
        <v>0</v>
      </c>
      <c r="AM58" s="162"/>
      <c r="AN58" s="162">
        <f>(AN4+AN11+AN19)+2*(AO4+AO11+AO19)</f>
        <v>0</v>
      </c>
      <c r="AO58" s="162"/>
      <c r="AP58" s="162">
        <f>(AP4+AP11+AP19)+2*(AQ4+AQ11+AQ19)</f>
        <v>0</v>
      </c>
      <c r="AQ58" s="162"/>
      <c r="AR58" s="162">
        <f>(AR4+AR11+AR19)+2*(AS4+AS11+AS19)</f>
        <v>0</v>
      </c>
      <c r="AS58" s="162"/>
      <c r="AT58" s="162">
        <f>(AT4+AT11+AT19)+2*(AU4+AU11+AU19)</f>
        <v>0</v>
      </c>
      <c r="AU58" s="162"/>
      <c r="AV58" s="162">
        <f>(AV4+AV11+AV19)+2*(AW4+AW11+AW19)</f>
        <v>0</v>
      </c>
      <c r="AW58" s="162"/>
      <c r="AX58" s="162">
        <f>(AX4+AX11+AX19)+2*(AY4+AY11+AY19)</f>
        <v>0</v>
      </c>
      <c r="AY58" s="162"/>
      <c r="AZ58" s="162">
        <f>(AZ4+AZ11+AZ19)+2*(BA4+BA11+BA19)</f>
        <v>0</v>
      </c>
      <c r="BA58" s="162"/>
      <c r="BB58" s="162">
        <f>(BB4+BB11+BB19)+2*(BC4+BC11+BC19)</f>
        <v>0</v>
      </c>
      <c r="BC58" s="162"/>
      <c r="BD58" s="162">
        <f>(BD4+BD11+BD19)+2*(BE4+BE11+BE19)</f>
        <v>0</v>
      </c>
      <c r="BE58" s="162"/>
      <c r="BF58" s="162">
        <f>(BF4+BF11+BF19)+2*(BG4+BG11+BG19)</f>
        <v>0</v>
      </c>
      <c r="BG58" s="218"/>
      <c r="BH58" s="254">
        <f>(BH4+BH11+BH19)+2*(BI4+BI11+BI19)</f>
        <v>0</v>
      </c>
      <c r="BI58" s="254"/>
      <c r="BJ58" s="296">
        <f>(BJ4+BJ11+BJ19)+2*(BK4+BK11+BK19)</f>
        <v>0</v>
      </c>
      <c r="BK58" s="254"/>
      <c r="BL58" s="307">
        <f>(BL4+BL11+BL19)+2*(BM4+BM11+BM19)</f>
        <v>0</v>
      </c>
      <c r="BM58" s="307"/>
    </row>
    <row r="59" spans="1:65" x14ac:dyDescent="0.25">
      <c r="A59" t="s">
        <v>35</v>
      </c>
      <c r="C59" s="8"/>
      <c r="D59" s="59">
        <f>(D7+D14+D22)+2*(E7+E14+E22)</f>
        <v>0</v>
      </c>
      <c r="E59" s="59"/>
      <c r="F59" s="59">
        <f>(F7+F14+F22)+2*(G7+G14+G22)</f>
        <v>2</v>
      </c>
      <c r="G59" s="59"/>
      <c r="H59" s="59">
        <f>(H7+H14+H22)+2*(I7+I14+I22)</f>
        <v>2</v>
      </c>
      <c r="I59" s="59"/>
      <c r="J59" s="59">
        <f>(J7+J14+J22)+2*(K7+K14+K22)</f>
        <v>2</v>
      </c>
      <c r="K59" s="59"/>
      <c r="L59" s="59">
        <f>(L7+L14+L22)+2*(M7+M14+M22)</f>
        <v>2</v>
      </c>
      <c r="M59" s="59"/>
      <c r="N59" s="59">
        <f>(N7+N14+N22)+2*(O7+O14+O22)</f>
        <v>0</v>
      </c>
      <c r="O59" s="59"/>
      <c r="P59" s="59">
        <f>(P7+P14+P22)+2*(Q7+Q14+Q22)</f>
        <v>0</v>
      </c>
      <c r="Q59" s="59"/>
      <c r="R59" s="59">
        <f>(R7+R14+R22)+2*(S7+S14+S22)</f>
        <v>2</v>
      </c>
      <c r="S59" s="59"/>
      <c r="T59" s="59">
        <f>(T7+T14+T22)+2*(U7+U14+U22)</f>
        <v>2</v>
      </c>
      <c r="U59" s="59"/>
      <c r="V59" s="59">
        <f>(V7+V14+V22)+2*(W7+W14+W22)</f>
        <v>2</v>
      </c>
      <c r="W59" s="59"/>
      <c r="X59" s="59">
        <f>(X7+X14+X22)+2*(Y7+Y14+Y22)</f>
        <v>2</v>
      </c>
      <c r="Y59" s="59"/>
      <c r="Z59" s="122">
        <f>(Z7+Z14+Z22)+2*(AA7+AA14+AA22)</f>
        <v>2</v>
      </c>
      <c r="AA59" s="59"/>
      <c r="AB59" s="122">
        <f>(AB7+AB14+AB22)+2*(AC7+AC14+AC22)</f>
        <v>0</v>
      </c>
      <c r="AC59" s="59"/>
      <c r="AD59" s="59">
        <f>(AD7+AD14+AD22)+2*(AE7+AE14+AE22)</f>
        <v>0</v>
      </c>
      <c r="AE59" s="59"/>
      <c r="AF59" s="285">
        <f>(AF7+AF14+AF22)+2*(AG7+AG14+AG22)</f>
        <v>3</v>
      </c>
      <c r="AG59" s="59"/>
      <c r="AH59" s="59">
        <f>(AH7+AH14+AH22)+2*(AI7+AI14+AI22)</f>
        <v>2</v>
      </c>
      <c r="AI59" s="59"/>
      <c r="AJ59" s="59">
        <f>(AJ7+AJ14+AJ22)+2*(AK7+AK14+AK22)</f>
        <v>2</v>
      </c>
      <c r="AK59" s="59"/>
      <c r="AL59" s="288">
        <f>(AL7+AL14+AL22)+2*(AM7+AM14+AM22)</f>
        <v>2</v>
      </c>
      <c r="AM59" s="59"/>
      <c r="AN59" s="289">
        <f>(AN7+AN14+AN22)+2*(AO7+AO14+AO22)</f>
        <v>2</v>
      </c>
      <c r="AO59" s="59"/>
      <c r="AP59" s="59">
        <f>(AP7+AP14+AP22)+2*(AQ7+AQ14+AQ22)</f>
        <v>0</v>
      </c>
      <c r="AQ59" s="59"/>
      <c r="AR59" s="59">
        <f>(AR7+AR14+AR22)+2*(AS7+AS14+AS22)</f>
        <v>0</v>
      </c>
      <c r="AS59" s="59"/>
      <c r="AT59" s="59">
        <f>(AT7+AT14+AT22)+2*(AU7+AU14+AU22)</f>
        <v>2</v>
      </c>
      <c r="AU59" s="59"/>
      <c r="AV59" s="59">
        <f>(AV7+AV14+AV22)+2*(AW7+AW14+AW22)</f>
        <v>2</v>
      </c>
      <c r="AW59" s="59"/>
      <c r="AX59" s="291">
        <f>(AX7+AX14+AX22)+2*(AY7+AY14+AY22)</f>
        <v>2</v>
      </c>
      <c r="AY59" s="59"/>
      <c r="AZ59" s="292">
        <f>(AZ7+AZ14+AZ22)+2*(BA7+BA14+BA22)</f>
        <v>2</v>
      </c>
      <c r="BA59" s="122"/>
      <c r="BB59" s="293">
        <f>(BB7+BB14+BB22)+2*(BC7+BC14+BC22)</f>
        <v>2</v>
      </c>
      <c r="BC59" s="122"/>
      <c r="BD59" s="294">
        <f>(BD7+BD14+BD22)+2*(BE7+BE14+BE22)</f>
        <v>0</v>
      </c>
      <c r="BE59" s="122"/>
      <c r="BF59" s="59">
        <f>(BF7+BF14+BF22)+2*(BG7+BG14+BG22)</f>
        <v>0</v>
      </c>
      <c r="BG59" s="255"/>
      <c r="BH59" s="254">
        <f>(BH7+BH14+BH22)+2*(BI7+BI14+BI22)</f>
        <v>2</v>
      </c>
      <c r="BI59" s="254"/>
      <c r="BJ59" s="296">
        <f>(BJ7+BJ14+BJ22)+2*(BK7+BK14+BK22)</f>
        <v>2</v>
      </c>
      <c r="BK59" s="254"/>
      <c r="BL59" s="307">
        <f>(BL7+BL14+BL22)+2*(BM7+BM14+BM22)</f>
        <v>2</v>
      </c>
      <c r="BM59" s="307"/>
    </row>
    <row r="60" spans="1:65" x14ac:dyDescent="0.25">
      <c r="A60" t="s">
        <v>157</v>
      </c>
      <c r="D60" s="318">
        <f>(D16)+2*(E16)</f>
        <v>2</v>
      </c>
    </row>
    <row r="65" spans="19:65" x14ac:dyDescent="0.25">
      <c r="AT65" s="130"/>
      <c r="AU65" s="130"/>
      <c r="AV65" s="130"/>
      <c r="AW65" s="130"/>
      <c r="AX65" s="130"/>
      <c r="AY65" s="130"/>
      <c r="AZ65" s="130"/>
      <c r="BA65" s="130"/>
      <c r="BB65" s="130"/>
      <c r="BC65" s="130"/>
      <c r="BD65" s="130"/>
      <c r="BE65" s="130"/>
      <c r="BF65" s="130"/>
      <c r="BG65" s="130"/>
      <c r="BH65" s="130"/>
      <c r="BI65" s="130"/>
      <c r="BJ65" s="130"/>
      <c r="BK65" s="130"/>
      <c r="BL65" s="130"/>
      <c r="BM65" s="130"/>
    </row>
    <row r="66" spans="19:65" x14ac:dyDescent="0.25">
      <c r="AT66" s="130"/>
      <c r="AU66" s="130"/>
      <c r="AV66" s="130"/>
      <c r="AW66" s="130"/>
      <c r="AX66" s="130"/>
      <c r="AY66" s="130"/>
      <c r="AZ66" s="130"/>
      <c r="BA66" s="130"/>
      <c r="BB66" s="130"/>
      <c r="BC66" s="130"/>
      <c r="BD66" s="130"/>
      <c r="BE66" s="130"/>
      <c r="BF66" s="130"/>
      <c r="BG66" s="130"/>
      <c r="BH66" s="130"/>
      <c r="BI66" s="130"/>
      <c r="BJ66" s="130"/>
      <c r="BK66" s="130"/>
      <c r="BL66" s="130"/>
      <c r="BM66" s="130"/>
    </row>
    <row r="67" spans="19:65" x14ac:dyDescent="0.25">
      <c r="AH67" s="309"/>
      <c r="AI67" s="309"/>
      <c r="AJ67" s="309"/>
      <c r="AK67" s="309"/>
      <c r="AL67" s="309"/>
      <c r="AM67" s="309"/>
      <c r="AN67" s="309"/>
      <c r="AO67" s="309"/>
      <c r="AP67" s="309"/>
      <c r="AQ67" s="309"/>
      <c r="AR67" s="309"/>
      <c r="AS67" s="309"/>
      <c r="AT67" s="309"/>
      <c r="AU67" s="309"/>
      <c r="AV67" s="309"/>
      <c r="AW67" s="309"/>
      <c r="AX67" s="309"/>
      <c r="AY67" s="309"/>
      <c r="AZ67" s="309"/>
      <c r="BA67" s="309"/>
      <c r="BB67" s="309"/>
      <c r="BC67" s="309"/>
      <c r="BD67" s="309"/>
      <c r="BE67" s="309"/>
      <c r="BF67" s="309"/>
      <c r="BG67" s="309"/>
      <c r="BH67" s="309"/>
      <c r="BI67" s="309"/>
    </row>
    <row r="68" spans="19:65" x14ac:dyDescent="0.25">
      <c r="AH68" s="309"/>
      <c r="AI68" s="309"/>
      <c r="AJ68" s="309"/>
      <c r="AK68" s="309"/>
      <c r="AL68" s="309"/>
      <c r="AM68" s="309"/>
      <c r="AN68" s="309"/>
      <c r="AO68" s="309"/>
      <c r="AP68" s="309"/>
      <c r="AQ68" s="309"/>
      <c r="AR68" s="309"/>
      <c r="AS68" s="309"/>
      <c r="AT68" s="309"/>
      <c r="AU68" s="309"/>
      <c r="AV68" s="309"/>
      <c r="AW68" s="309"/>
      <c r="AX68" s="309"/>
      <c r="AY68" s="309"/>
      <c r="AZ68" s="309"/>
      <c r="BA68" s="309"/>
      <c r="BB68" s="309"/>
      <c r="BC68" s="309"/>
      <c r="BD68" s="309"/>
      <c r="BE68" s="309"/>
      <c r="BF68" s="309"/>
      <c r="BG68" s="309"/>
      <c r="BH68" s="309"/>
      <c r="BI68" s="309"/>
    </row>
    <row r="69" spans="19:65" x14ac:dyDescent="0.25">
      <c r="AH69" s="309"/>
      <c r="AI69" s="309"/>
      <c r="AJ69" s="309"/>
      <c r="AK69" s="309"/>
      <c r="AL69" s="309"/>
      <c r="AM69" s="309"/>
      <c r="AN69" s="309"/>
      <c r="AO69" s="309"/>
      <c r="AP69" s="309"/>
      <c r="AQ69" s="309"/>
      <c r="AR69" s="309"/>
      <c r="AS69" s="309"/>
      <c r="AT69" s="309"/>
      <c r="AU69" s="309"/>
      <c r="AV69" s="309"/>
      <c r="AW69" s="309"/>
      <c r="AX69" s="309"/>
      <c r="AY69" s="309"/>
      <c r="AZ69" s="309"/>
      <c r="BA69" s="309"/>
      <c r="BB69" s="309"/>
      <c r="BC69" s="309"/>
      <c r="BD69" s="309"/>
      <c r="BE69" s="309"/>
      <c r="BF69" s="309"/>
      <c r="BG69" s="309"/>
      <c r="BH69" s="309"/>
      <c r="BI69" s="309"/>
    </row>
    <row r="70" spans="19:65" ht="15.75" thickBot="1" x14ac:dyDescent="0.3">
      <c r="AH70" s="309"/>
      <c r="AI70" s="309"/>
      <c r="AJ70" s="309"/>
      <c r="AK70" s="309"/>
      <c r="AL70" s="309"/>
      <c r="AM70" s="309"/>
      <c r="AN70" s="309"/>
      <c r="AO70" s="309"/>
      <c r="AP70" s="309"/>
      <c r="AQ70" s="309"/>
      <c r="AR70" s="309"/>
      <c r="AS70" s="309"/>
      <c r="AT70" s="309"/>
      <c r="AU70" s="309"/>
      <c r="AV70" s="309"/>
      <c r="AW70" s="309"/>
      <c r="AX70" s="309"/>
      <c r="AY70" s="309"/>
      <c r="AZ70" s="309"/>
      <c r="BA70" s="309"/>
      <c r="BB70" s="309"/>
      <c r="BC70" s="309"/>
      <c r="BD70" s="309"/>
      <c r="BE70" s="309"/>
      <c r="BF70" s="309"/>
      <c r="BG70" s="309"/>
      <c r="BH70" s="309"/>
      <c r="BI70" s="309"/>
    </row>
    <row r="71" spans="19:65" ht="15.75" thickBot="1" x14ac:dyDescent="0.3">
      <c r="AH71" s="309"/>
      <c r="AI71" s="309"/>
      <c r="AJ71" s="309"/>
      <c r="AK71" s="309"/>
      <c r="AL71" s="309"/>
      <c r="AM71" s="319">
        <v>0</v>
      </c>
      <c r="AN71" s="319">
        <v>0</v>
      </c>
      <c r="AO71" s="319">
        <v>2</v>
      </c>
      <c r="AP71" s="319">
        <v>0</v>
      </c>
      <c r="AQ71" s="319">
        <v>0</v>
      </c>
      <c r="AR71" s="319">
        <v>10</v>
      </c>
      <c r="AS71" s="320"/>
      <c r="AT71" s="320">
        <v>0</v>
      </c>
      <c r="AU71" s="320">
        <v>0</v>
      </c>
      <c r="AV71" s="320">
        <v>48</v>
      </c>
      <c r="AW71" s="320">
        <v>0</v>
      </c>
      <c r="AX71" s="320">
        <v>0</v>
      </c>
      <c r="AY71" s="320">
        <v>43</v>
      </c>
      <c r="AZ71" s="320"/>
      <c r="BA71" s="319">
        <v>0</v>
      </c>
      <c r="BB71" s="319">
        <v>0</v>
      </c>
      <c r="BC71" s="319">
        <v>3</v>
      </c>
      <c r="BD71" s="319">
        <v>0</v>
      </c>
      <c r="BE71" s="319">
        <v>0</v>
      </c>
      <c r="BF71" s="319">
        <v>7</v>
      </c>
      <c r="BG71" s="309"/>
      <c r="BH71" s="309"/>
      <c r="BI71" s="309"/>
    </row>
    <row r="72" spans="19:65" ht="15.75" thickBot="1" x14ac:dyDescent="0.3">
      <c r="AH72" s="309"/>
      <c r="AI72" s="309"/>
      <c r="AJ72" s="309"/>
      <c r="AK72" s="309"/>
      <c r="AL72" s="309"/>
      <c r="AM72" s="319">
        <v>0</v>
      </c>
      <c r="AN72" s="319">
        <v>0</v>
      </c>
      <c r="AO72" s="319">
        <v>13</v>
      </c>
      <c r="AP72" s="319">
        <v>0</v>
      </c>
      <c r="AQ72" s="319">
        <v>0</v>
      </c>
      <c r="AR72" s="319">
        <v>4</v>
      </c>
      <c r="AS72" s="320"/>
      <c r="AT72" s="320">
        <v>0</v>
      </c>
      <c r="AU72" s="320">
        <v>0</v>
      </c>
      <c r="AV72" s="320">
        <v>20</v>
      </c>
      <c r="AW72" s="320">
        <v>0</v>
      </c>
      <c r="AX72" s="320">
        <v>1</v>
      </c>
      <c r="AY72" s="320">
        <v>28</v>
      </c>
      <c r="AZ72" s="320"/>
      <c r="BA72" s="319">
        <v>0</v>
      </c>
      <c r="BB72" s="319">
        <v>0</v>
      </c>
      <c r="BC72" s="319">
        <v>9</v>
      </c>
      <c r="BD72" s="319">
        <v>0</v>
      </c>
      <c r="BE72" s="319">
        <v>0</v>
      </c>
      <c r="BF72" s="319">
        <v>3</v>
      </c>
      <c r="BG72" s="309"/>
      <c r="BH72" s="309"/>
      <c r="BI72" s="309"/>
    </row>
    <row r="73" spans="19:65" x14ac:dyDescent="0.25">
      <c r="AH73" s="309"/>
      <c r="AI73" s="309"/>
      <c r="AJ73" s="309"/>
      <c r="AK73" s="309"/>
      <c r="AL73" s="309"/>
      <c r="AM73" s="309"/>
      <c r="AN73" s="309"/>
      <c r="AO73" s="309"/>
      <c r="AP73" s="309"/>
      <c r="AQ73" s="309"/>
      <c r="AR73" s="309"/>
      <c r="AS73" s="309"/>
      <c r="AT73" s="309"/>
      <c r="AU73" s="309"/>
      <c r="AV73" s="309"/>
      <c r="AW73" s="309"/>
      <c r="AX73" s="309"/>
      <c r="AY73" s="309"/>
      <c r="AZ73" s="309"/>
      <c r="BA73" s="309"/>
      <c r="BB73" s="309"/>
      <c r="BC73" s="309"/>
      <c r="BD73" s="309"/>
      <c r="BE73" s="309"/>
      <c r="BF73" s="309"/>
      <c r="BG73" s="309"/>
      <c r="BH73" s="309"/>
      <c r="BI73" s="309"/>
    </row>
    <row r="74" spans="19:65" x14ac:dyDescent="0.25">
      <c r="AH74" s="309"/>
      <c r="AI74" s="309"/>
      <c r="AJ74" s="309"/>
      <c r="AK74" s="309"/>
      <c r="AL74" s="309"/>
      <c r="AM74" s="309"/>
      <c r="AN74" s="309"/>
      <c r="AO74" s="309"/>
      <c r="AP74" s="309"/>
      <c r="AQ74" s="309"/>
      <c r="AR74" s="309"/>
      <c r="AS74" s="309"/>
      <c r="AT74" s="309"/>
      <c r="AU74" s="309"/>
      <c r="AV74" s="309"/>
      <c r="AW74" s="309"/>
      <c r="AX74" s="309"/>
      <c r="AY74" s="309"/>
      <c r="AZ74" s="309"/>
      <c r="BA74" s="309"/>
      <c r="BB74" s="309"/>
      <c r="BC74" s="309"/>
      <c r="BD74" s="309"/>
      <c r="BE74" s="309"/>
      <c r="BF74" s="309"/>
      <c r="BG74" s="309"/>
      <c r="BH74" s="309"/>
      <c r="BI74" s="309"/>
    </row>
    <row r="75" spans="19:65" ht="15.75" thickBot="1" x14ac:dyDescent="0.3">
      <c r="AH75" s="309"/>
      <c r="AI75" s="309"/>
      <c r="AJ75" s="309"/>
      <c r="AK75" s="309"/>
      <c r="AL75" s="309"/>
      <c r="AM75" s="309"/>
      <c r="AN75" s="309"/>
      <c r="AO75" s="309"/>
      <c r="AP75" s="309"/>
      <c r="AQ75" s="309"/>
      <c r="AR75" s="309"/>
      <c r="AS75" s="309"/>
      <c r="AT75" s="309"/>
      <c r="AU75" s="309"/>
      <c r="AV75" s="309"/>
      <c r="AW75" s="309"/>
      <c r="AX75" s="309"/>
      <c r="AY75" s="309"/>
      <c r="AZ75" s="309"/>
      <c r="BA75" s="309"/>
      <c r="BB75" s="309"/>
      <c r="BC75" s="309"/>
      <c r="BD75" s="309"/>
      <c r="BE75" s="309"/>
      <c r="BF75" s="309"/>
      <c r="BG75" s="309"/>
      <c r="BH75" s="309"/>
      <c r="BI75" s="309"/>
    </row>
    <row r="76" spans="19:65" ht="15.75" thickBot="1" x14ac:dyDescent="0.3">
      <c r="S76" s="319"/>
      <c r="T76" s="319"/>
      <c r="U76" s="319"/>
      <c r="V76" s="319"/>
      <c r="W76" s="319"/>
      <c r="X76" s="319"/>
      <c r="Y76" s="320"/>
      <c r="Z76" s="320"/>
      <c r="AA76" s="320"/>
      <c r="AB76" s="320"/>
      <c r="AC76" s="320"/>
      <c r="AD76" s="320"/>
      <c r="AE76" s="320"/>
      <c r="AF76" s="320"/>
      <c r="AG76" s="319"/>
      <c r="AH76" s="319"/>
      <c r="AI76" s="319"/>
      <c r="AJ76" s="319"/>
      <c r="AK76" s="319"/>
      <c r="AL76" s="319"/>
      <c r="AM76" s="309"/>
      <c r="AN76" s="309"/>
      <c r="AO76" s="309"/>
      <c r="AP76" s="309"/>
      <c r="AQ76" s="309"/>
      <c r="AR76" s="309"/>
      <c r="AS76" s="309"/>
      <c r="AT76" s="309"/>
      <c r="AU76" s="309"/>
      <c r="AV76" s="309"/>
      <c r="AW76" s="309"/>
      <c r="AX76" s="309"/>
      <c r="AY76" s="309"/>
      <c r="AZ76" s="309"/>
      <c r="BA76" s="309"/>
      <c r="BB76" s="309"/>
      <c r="BC76" s="309"/>
      <c r="BD76" s="309"/>
      <c r="BE76" s="309"/>
      <c r="BF76" s="309"/>
      <c r="BG76" s="309"/>
      <c r="BH76" s="309"/>
      <c r="BI76" s="309"/>
    </row>
    <row r="77" spans="19:65" ht="15.75" thickBot="1" x14ac:dyDescent="0.3">
      <c r="S77" s="319"/>
      <c r="T77" s="319"/>
      <c r="U77" s="319"/>
      <c r="V77" s="319"/>
      <c r="W77" s="319"/>
      <c r="X77" s="319"/>
      <c r="Y77" s="320"/>
      <c r="Z77" s="320"/>
      <c r="AA77" s="320"/>
      <c r="AB77" s="320"/>
      <c r="AC77" s="320"/>
      <c r="AD77" s="320"/>
      <c r="AE77" s="320"/>
      <c r="AF77" s="320"/>
      <c r="AG77" s="319"/>
      <c r="AH77" s="319"/>
      <c r="AI77" s="319"/>
      <c r="AJ77" s="319"/>
      <c r="AK77" s="319"/>
      <c r="AL77" s="319"/>
      <c r="AM77" s="309"/>
      <c r="AN77" s="309"/>
      <c r="AO77" s="309"/>
      <c r="AP77" s="309"/>
      <c r="AQ77" s="309"/>
      <c r="AR77" s="309"/>
      <c r="AS77" s="309"/>
      <c r="AT77" s="309"/>
      <c r="AU77" s="309"/>
      <c r="AV77" s="309"/>
      <c r="AW77" s="309"/>
      <c r="AX77" s="309"/>
      <c r="AY77" s="309"/>
      <c r="AZ77" s="309"/>
      <c r="BA77" s="309"/>
      <c r="BB77" s="309"/>
      <c r="BC77" s="309"/>
      <c r="BD77" s="309"/>
      <c r="BE77" s="309"/>
      <c r="BF77" s="309"/>
      <c r="BG77" s="309"/>
      <c r="BH77" s="309"/>
      <c r="BI77" s="309"/>
    </row>
    <row r="78" spans="19:65" x14ac:dyDescent="0.25">
      <c r="AH78" s="309"/>
      <c r="AI78" s="309"/>
      <c r="AJ78" s="309"/>
      <c r="AK78" s="309"/>
      <c r="AL78" s="309"/>
      <c r="AM78" s="309"/>
      <c r="AN78" s="309"/>
      <c r="AO78" s="309"/>
      <c r="AP78" s="309"/>
      <c r="AQ78" s="309"/>
      <c r="AR78" s="309"/>
      <c r="AS78" s="309"/>
      <c r="AT78" s="309"/>
      <c r="AU78" s="309"/>
      <c r="AV78" s="309"/>
      <c r="AW78" s="309"/>
      <c r="AX78" s="309"/>
      <c r="AY78" s="309"/>
      <c r="AZ78" s="309"/>
      <c r="BA78" s="309"/>
      <c r="BB78" s="309"/>
      <c r="BC78" s="309"/>
      <c r="BD78" s="309"/>
      <c r="BE78" s="309"/>
      <c r="BF78" s="309"/>
      <c r="BG78" s="309"/>
      <c r="BH78" s="309"/>
      <c r="BI78" s="309"/>
    </row>
  </sheetData>
  <mergeCells count="32">
    <mergeCell ref="BB1:BC1"/>
    <mergeCell ref="AX1:AY1"/>
    <mergeCell ref="AV1:AW1"/>
    <mergeCell ref="A41:B41"/>
    <mergeCell ref="D1:E1"/>
    <mergeCell ref="F1:G1"/>
    <mergeCell ref="L1:M1"/>
    <mergeCell ref="H1:I1"/>
    <mergeCell ref="J1:K1"/>
    <mergeCell ref="N1:O1"/>
    <mergeCell ref="P1:Q1"/>
    <mergeCell ref="Z1:AA1"/>
    <mergeCell ref="V1:W1"/>
    <mergeCell ref="T1:U1"/>
    <mergeCell ref="R1:S1"/>
    <mergeCell ref="X1:Y1"/>
    <mergeCell ref="BL1:BM1"/>
    <mergeCell ref="AH1:AI1"/>
    <mergeCell ref="AB1:AC1"/>
    <mergeCell ref="AD1:AE1"/>
    <mergeCell ref="BH1:BI1"/>
    <mergeCell ref="AJ1:AK1"/>
    <mergeCell ref="AF1:AG1"/>
    <mergeCell ref="AL1:AM1"/>
    <mergeCell ref="BJ1:BK1"/>
    <mergeCell ref="BF1:BG1"/>
    <mergeCell ref="AT1:AU1"/>
    <mergeCell ref="AN1:AO1"/>
    <mergeCell ref="BD1:BE1"/>
    <mergeCell ref="AR1:AS1"/>
    <mergeCell ref="AP1:AQ1"/>
    <mergeCell ref="AZ1:BA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8"/>
  <sheetViews>
    <sheetView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46" sqref="F46"/>
    </sheetView>
  </sheetViews>
  <sheetFormatPr baseColWidth="10" defaultColWidth="11.42578125" defaultRowHeight="15" x14ac:dyDescent="0.25"/>
  <cols>
    <col min="1" max="2" width="11.42578125" style="130"/>
    <col min="3" max="3" width="19.140625" style="130" customWidth="1"/>
    <col min="4" max="4" width="11.42578125" style="130"/>
    <col min="5" max="5" width="18.42578125" style="130" customWidth="1"/>
    <col min="6" max="6" width="14.140625" style="130" customWidth="1"/>
    <col min="7" max="7" width="23.85546875" style="130" customWidth="1"/>
    <col min="8" max="8" width="22.7109375" style="130" customWidth="1"/>
    <col min="9" max="9" width="11.42578125" style="130"/>
    <col min="10" max="10" width="50.85546875" style="130" customWidth="1"/>
    <col min="11" max="11" width="18.5703125" style="130" customWidth="1"/>
    <col min="12" max="12" width="14.28515625" style="130" customWidth="1"/>
    <col min="13" max="13" width="25.5703125" style="130" customWidth="1"/>
    <col min="14" max="16384" width="11.42578125" style="130"/>
  </cols>
  <sheetData>
    <row r="1" spans="1:14" ht="44.25" x14ac:dyDescent="0.25">
      <c r="A1" s="358" t="s">
        <v>166</v>
      </c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</row>
    <row r="2" spans="1:14" x14ac:dyDescent="0.25">
      <c r="A2" s="166" t="s">
        <v>126</v>
      </c>
      <c r="B2" s="166" t="s">
        <v>3</v>
      </c>
      <c r="C2" s="166" t="s">
        <v>127</v>
      </c>
      <c r="D2" s="166" t="s">
        <v>128</v>
      </c>
      <c r="E2" s="167" t="s">
        <v>129</v>
      </c>
      <c r="F2" s="167" t="s">
        <v>130</v>
      </c>
      <c r="G2" s="167" t="s">
        <v>131</v>
      </c>
      <c r="H2" s="167" t="s">
        <v>132</v>
      </c>
      <c r="I2" s="167" t="s">
        <v>133</v>
      </c>
      <c r="J2" s="167" t="s">
        <v>134</v>
      </c>
      <c r="K2" s="167" t="s">
        <v>135</v>
      </c>
      <c r="L2" s="167" t="s">
        <v>136</v>
      </c>
      <c r="M2" s="167" t="s">
        <v>137</v>
      </c>
    </row>
    <row r="3" spans="1:14" x14ac:dyDescent="0.25">
      <c r="A3" s="168">
        <v>45292</v>
      </c>
      <c r="B3" s="12">
        <f>'KM-Servicio'!M12</f>
        <v>5487</v>
      </c>
      <c r="C3" s="12">
        <f>B3</f>
        <v>5487</v>
      </c>
      <c r="D3" s="12">
        <f>'KM-Servicio'!V12</f>
        <v>5074.5400000000009</v>
      </c>
      <c r="E3" s="12">
        <f>D3</f>
        <v>5074.5400000000009</v>
      </c>
      <c r="F3" s="174">
        <f>'KM-Servicio'!N12</f>
        <v>92.482959722981605</v>
      </c>
      <c r="G3" s="175">
        <f>SUM('KM-Servicio'!B12:C12)</f>
        <v>112</v>
      </c>
      <c r="H3" s="175">
        <f>SUM('KM-Servicio'!D12:E12)</f>
        <v>112</v>
      </c>
      <c r="I3" s="151"/>
      <c r="J3" s="151"/>
      <c r="K3" s="12">
        <f>'Oferta Diaria'!C35</f>
        <v>402411.022</v>
      </c>
      <c r="L3" s="183" t="s">
        <v>139</v>
      </c>
      <c r="M3" s="172"/>
      <c r="N3" s="170"/>
    </row>
    <row r="4" spans="1:14" x14ac:dyDescent="0.25">
      <c r="A4" s="168">
        <v>45293</v>
      </c>
      <c r="B4" s="12">
        <f>'KM-Servicio'!M19</f>
        <v>13622</v>
      </c>
      <c r="C4" s="12">
        <f>B4+C3</f>
        <v>19109</v>
      </c>
      <c r="D4" s="12">
        <f>'KM-Servicio'!V19</f>
        <v>13058.33</v>
      </c>
      <c r="E4" s="12">
        <f>D4+E3</f>
        <v>18132.870000000003</v>
      </c>
      <c r="F4" s="174">
        <f>'KM-Servicio'!N19</f>
        <v>95.862061371311114</v>
      </c>
      <c r="G4" s="175">
        <f>SUM('KM-Servicio'!B19:C19)</f>
        <v>164</v>
      </c>
      <c r="H4" s="175">
        <f>SUM('KM-Servicio'!D19:E19)</f>
        <v>164</v>
      </c>
      <c r="I4" s="151"/>
      <c r="J4" s="151"/>
      <c r="K4" s="12">
        <f>'Oferta Diaria'!D35</f>
        <v>1035525.5689999999</v>
      </c>
      <c r="L4" s="169" t="s">
        <v>140</v>
      </c>
      <c r="M4" s="172"/>
      <c r="N4" s="170"/>
    </row>
    <row r="5" spans="1:14" x14ac:dyDescent="0.25">
      <c r="A5" s="168">
        <v>45294</v>
      </c>
      <c r="B5" s="12">
        <f>'KM-Servicio'!M26</f>
        <v>12824</v>
      </c>
      <c r="C5" s="12">
        <f t="shared" ref="C5:C30" si="0">B5+C4</f>
        <v>31933</v>
      </c>
      <c r="D5" s="12">
        <f>'KM-Servicio'!V26</f>
        <v>12150.21</v>
      </c>
      <c r="E5" s="12">
        <f t="shared" ref="E5:E30" si="1">D5+E4</f>
        <v>30283.08</v>
      </c>
      <c r="F5" s="174">
        <f>'KM-Servicio'!N26</f>
        <v>94.745867124142222</v>
      </c>
      <c r="G5" s="175">
        <f>SUM('KM-Servicio'!B26:C26)</f>
        <v>164</v>
      </c>
      <c r="H5" s="175">
        <f>SUM('KM-Servicio'!D26:E26)</f>
        <v>164</v>
      </c>
      <c r="I5" s="151"/>
      <c r="J5" s="151"/>
      <c r="K5" s="12">
        <f>'Oferta Diaria'!E35</f>
        <v>963511.65300000005</v>
      </c>
      <c r="L5" s="169" t="s">
        <v>140</v>
      </c>
      <c r="M5" s="172"/>
      <c r="N5" s="170"/>
    </row>
    <row r="6" spans="1:14" x14ac:dyDescent="0.25">
      <c r="A6" s="168">
        <v>45295</v>
      </c>
      <c r="B6" s="12">
        <f>'KM-Servicio'!M33</f>
        <v>12902</v>
      </c>
      <c r="C6" s="12">
        <f t="shared" si="0"/>
        <v>44835</v>
      </c>
      <c r="D6" s="12">
        <f>'KM-Servicio'!V33</f>
        <v>12345.74</v>
      </c>
      <c r="E6" s="12">
        <f t="shared" si="1"/>
        <v>42628.82</v>
      </c>
      <c r="F6" s="174">
        <f>'KM-Servicio'!N33</f>
        <v>95.688575414664385</v>
      </c>
      <c r="G6" s="175">
        <f>SUM('KM-Servicio'!B33:C33)</f>
        <v>164</v>
      </c>
      <c r="H6" s="175">
        <f>SUM('KM-Servicio'!D33:E33)</f>
        <v>164</v>
      </c>
      <c r="I6" s="151"/>
      <c r="J6" s="151"/>
      <c r="K6" s="12">
        <f>'Oferta Diaria'!F35</f>
        <v>979017.18199999991</v>
      </c>
      <c r="L6" s="169" t="s">
        <v>140</v>
      </c>
      <c r="M6" s="172"/>
      <c r="N6" s="170"/>
    </row>
    <row r="7" spans="1:14" ht="16.5" customHeight="1" x14ac:dyDescent="0.25">
      <c r="A7" s="168">
        <v>45296</v>
      </c>
      <c r="B7" s="12">
        <f>'KM-Servicio'!M40</f>
        <v>12947</v>
      </c>
      <c r="C7" s="12">
        <f t="shared" si="0"/>
        <v>57782</v>
      </c>
      <c r="D7" s="12">
        <f>'KM-Servicio'!V40</f>
        <v>12469.85</v>
      </c>
      <c r="E7" s="12">
        <f t="shared" si="1"/>
        <v>55098.67</v>
      </c>
      <c r="F7" s="174">
        <f>'KM-Servicio'!N40</f>
        <v>96.314590252568166</v>
      </c>
      <c r="G7" s="175">
        <f>SUM('KM-Servicio'!B40:C40)</f>
        <v>164</v>
      </c>
      <c r="H7" s="175">
        <f>SUM('KM-Servicio'!D40:E40)</f>
        <v>164</v>
      </c>
      <c r="I7" s="151"/>
      <c r="J7" s="151"/>
      <c r="K7" s="12">
        <f>'Oferta Diaria'!G35</f>
        <v>988859.10499999998</v>
      </c>
      <c r="L7" s="169" t="s">
        <v>140</v>
      </c>
      <c r="M7" s="185"/>
      <c r="N7" s="170"/>
    </row>
    <row r="8" spans="1:14" x14ac:dyDescent="0.25">
      <c r="A8" s="168">
        <v>45297</v>
      </c>
      <c r="B8" s="12">
        <f>'KM-Servicio'!M47</f>
        <v>6373</v>
      </c>
      <c r="C8" s="12">
        <f t="shared" si="0"/>
        <v>64155</v>
      </c>
      <c r="D8" s="12">
        <f>'KM-Servicio'!V47</f>
        <v>6296.9800000000005</v>
      </c>
      <c r="E8" s="12">
        <f t="shared" si="1"/>
        <v>61395.65</v>
      </c>
      <c r="F8" s="174">
        <f>'KM-Servicio'!N47</f>
        <v>98.807155185940701</v>
      </c>
      <c r="G8" s="175">
        <f>SUM('KM-Servicio'!B47:C47)</f>
        <v>143</v>
      </c>
      <c r="H8" s="175">
        <f>SUM('KM-Servicio'!D47:E47)</f>
        <v>143</v>
      </c>
      <c r="I8" s="151"/>
      <c r="J8" s="151"/>
      <c r="K8" s="12">
        <f>'Oferta Diaria'!H35</f>
        <v>499350.51400000002</v>
      </c>
      <c r="L8" s="183" t="s">
        <v>141</v>
      </c>
      <c r="M8" s="172"/>
      <c r="N8" s="170"/>
    </row>
    <row r="9" spans="1:14" x14ac:dyDescent="0.25">
      <c r="A9" s="168">
        <v>45298</v>
      </c>
      <c r="B9" s="12">
        <f>'KM-Servicio'!M54</f>
        <v>4982</v>
      </c>
      <c r="C9" s="12">
        <f t="shared" si="0"/>
        <v>69137</v>
      </c>
      <c r="D9" s="12">
        <f>'KM-Servicio'!V54</f>
        <v>4916.8200000000006</v>
      </c>
      <c r="E9" s="12">
        <f t="shared" si="1"/>
        <v>66312.47</v>
      </c>
      <c r="F9" s="174">
        <f>'KM-Servicio'!N54</f>
        <v>98.691690084303502</v>
      </c>
      <c r="G9" s="175">
        <f>SUM('KM-Servicio'!B54:C54)</f>
        <v>111</v>
      </c>
      <c r="H9" s="175">
        <f>SUM('KM-Servicio'!D54:E54)</f>
        <v>111</v>
      </c>
      <c r="I9" s="151"/>
      <c r="J9" s="151"/>
      <c r="K9" s="12">
        <f>'Oferta Diaria'!I35</f>
        <v>389903.82600000006</v>
      </c>
      <c r="L9" s="183" t="s">
        <v>139</v>
      </c>
      <c r="M9" s="184"/>
      <c r="N9" s="170"/>
    </row>
    <row r="10" spans="1:14" x14ac:dyDescent="0.25">
      <c r="A10" s="168">
        <v>45299</v>
      </c>
      <c r="B10" s="12">
        <f>'KM-Servicio'!M61</f>
        <v>12276</v>
      </c>
      <c r="C10" s="12">
        <f t="shared" si="0"/>
        <v>81413</v>
      </c>
      <c r="D10" s="12">
        <f>'KM-Servicio'!V61</f>
        <v>11886.15</v>
      </c>
      <c r="E10" s="12">
        <f t="shared" si="1"/>
        <v>78198.62</v>
      </c>
      <c r="F10" s="174">
        <f>'KM-Servicio'!N61</f>
        <v>96.824291300097755</v>
      </c>
      <c r="G10" s="175">
        <f>SUM('KM-Servicio'!B61:C61)</f>
        <v>164</v>
      </c>
      <c r="H10" s="175">
        <f>SUM('KM-Servicio'!D61:E61)</f>
        <v>163</v>
      </c>
      <c r="I10" s="151"/>
      <c r="J10" s="151"/>
      <c r="K10" s="12">
        <f>'Oferta Diaria'!J35</f>
        <v>942571.69499999983</v>
      </c>
      <c r="L10" s="169" t="s">
        <v>140</v>
      </c>
      <c r="M10" s="172"/>
      <c r="N10" s="170"/>
    </row>
    <row r="11" spans="1:14" x14ac:dyDescent="0.25">
      <c r="A11" s="168">
        <v>45300</v>
      </c>
      <c r="B11" s="12">
        <f>'KM-Servicio'!M68</f>
        <v>12060</v>
      </c>
      <c r="C11" s="12">
        <f t="shared" si="0"/>
        <v>93473</v>
      </c>
      <c r="D11" s="12">
        <f>'KM-Servicio'!V68</f>
        <v>11546.39</v>
      </c>
      <c r="E11" s="12">
        <f t="shared" si="1"/>
        <v>89745.01</v>
      </c>
      <c r="F11" s="174">
        <f>'KM-Servicio'!N68</f>
        <v>95.741210613598668</v>
      </c>
      <c r="G11" s="175">
        <f>SUM('KM-Servicio'!B68:C68)</f>
        <v>164</v>
      </c>
      <c r="H11" s="175">
        <f>SUM('KM-Servicio'!D68:E68)</f>
        <v>164</v>
      </c>
      <c r="I11" s="151"/>
      <c r="J11" s="151"/>
      <c r="K11" s="12">
        <f>'Oferta Diaria'!K35</f>
        <v>915628.72700000007</v>
      </c>
      <c r="L11" s="169" t="s">
        <v>140</v>
      </c>
      <c r="M11" s="172"/>
      <c r="N11" s="170"/>
    </row>
    <row r="12" spans="1:14" x14ac:dyDescent="0.25">
      <c r="A12" s="168">
        <v>45301</v>
      </c>
      <c r="B12" s="12">
        <f>'KM-Servicio'!M75</f>
        <v>12051</v>
      </c>
      <c r="C12" s="12">
        <f t="shared" si="0"/>
        <v>105524</v>
      </c>
      <c r="D12" s="12">
        <f>'KM-Servicio'!V75</f>
        <v>11564.119999999999</v>
      </c>
      <c r="E12" s="12">
        <f t="shared" si="1"/>
        <v>101309.12999999999</v>
      </c>
      <c r="F12" s="174">
        <f>'KM-Servicio'!N75</f>
        <v>95.959837357895609</v>
      </c>
      <c r="G12" s="175">
        <f>SUM('KM-Servicio'!B75:C75)</f>
        <v>164</v>
      </c>
      <c r="H12" s="175">
        <f>SUM('KM-Servicio'!D75:E75)</f>
        <v>164</v>
      </c>
      <c r="I12" s="151"/>
      <c r="J12" s="151"/>
      <c r="K12" s="12">
        <f>'Oferta Diaria'!L35</f>
        <v>917034.71600000001</v>
      </c>
      <c r="L12" s="169" t="s">
        <v>140</v>
      </c>
      <c r="M12" s="172"/>
      <c r="N12" s="170"/>
    </row>
    <row r="13" spans="1:14" x14ac:dyDescent="0.25">
      <c r="A13" s="168">
        <v>45302</v>
      </c>
      <c r="B13" s="12">
        <f>'KM-Servicio'!M82</f>
        <v>12004</v>
      </c>
      <c r="C13" s="12">
        <f t="shared" si="0"/>
        <v>117528</v>
      </c>
      <c r="D13" s="12">
        <f>'KM-Servicio'!V82</f>
        <v>11624.98</v>
      </c>
      <c r="E13" s="12">
        <f t="shared" si="1"/>
        <v>112934.10999999999</v>
      </c>
      <c r="F13" s="174">
        <f>'KM-Servicio'!N82</f>
        <v>96.842552482505823</v>
      </c>
      <c r="G13" s="175">
        <f>SUM('KM-Servicio'!B82:C82)</f>
        <v>164</v>
      </c>
      <c r="H13" s="175">
        <f>SUM('KM-Servicio'!D82:E82)</f>
        <v>164</v>
      </c>
      <c r="I13" s="151"/>
      <c r="J13" s="151"/>
      <c r="K13" s="12">
        <f>'Oferta Diaria'!M35</f>
        <v>921860.91399999999</v>
      </c>
      <c r="L13" s="169" t="s">
        <v>140</v>
      </c>
      <c r="M13" s="172"/>
      <c r="N13" s="170"/>
    </row>
    <row r="14" spans="1:14" x14ac:dyDescent="0.25">
      <c r="A14" s="168">
        <v>45303</v>
      </c>
      <c r="B14" s="12">
        <f>'KM-Servicio'!M89</f>
        <v>12183</v>
      </c>
      <c r="C14" s="12">
        <f t="shared" si="0"/>
        <v>129711</v>
      </c>
      <c r="D14" s="12">
        <f>'KM-Servicio'!V89</f>
        <v>11624.98</v>
      </c>
      <c r="E14" s="12">
        <f t="shared" si="1"/>
        <v>124559.08999999998</v>
      </c>
      <c r="F14" s="174">
        <f>'KM-Servicio'!N89</f>
        <v>95.419683165066076</v>
      </c>
      <c r="G14" s="175">
        <f>SUM('KM-Servicio'!B89:C89)</f>
        <v>164</v>
      </c>
      <c r="H14" s="175">
        <f>SUM('KM-Servicio'!D89:E89)</f>
        <v>164</v>
      </c>
      <c r="I14" s="151"/>
      <c r="J14" s="151"/>
      <c r="K14" s="12">
        <f>'Oferta Diaria'!N35</f>
        <v>921860.91399999999</v>
      </c>
      <c r="L14" s="169" t="s">
        <v>140</v>
      </c>
      <c r="M14" s="172"/>
      <c r="N14" s="170"/>
    </row>
    <row r="15" spans="1:14" ht="16.5" customHeight="1" x14ac:dyDescent="0.25">
      <c r="A15" s="168">
        <v>45304</v>
      </c>
      <c r="B15" s="12">
        <f>'KM-Servicio'!M96</f>
        <v>6439</v>
      </c>
      <c r="C15" s="12">
        <f t="shared" si="0"/>
        <v>136150</v>
      </c>
      <c r="D15" s="12">
        <f>'KM-Servicio'!V96</f>
        <v>6383.2400000000007</v>
      </c>
      <c r="E15" s="12">
        <f t="shared" si="1"/>
        <v>130942.32999999999</v>
      </c>
      <c r="F15" s="174">
        <f>'KM-Servicio'!N96</f>
        <v>99.134027022829642</v>
      </c>
      <c r="G15" s="175">
        <f>SUM('KM-Servicio'!B96:C96)</f>
        <v>143</v>
      </c>
      <c r="H15" s="175">
        <f>SUM('KM-Servicio'!D96:E96)</f>
        <v>143</v>
      </c>
      <c r="I15" s="151"/>
      <c r="J15" s="151"/>
      <c r="K15" s="12">
        <f>'Oferta Diaria'!O35</f>
        <v>506190.93200000003</v>
      </c>
      <c r="L15" s="183" t="s">
        <v>141</v>
      </c>
      <c r="M15" s="172"/>
      <c r="N15" s="170"/>
    </row>
    <row r="16" spans="1:14" x14ac:dyDescent="0.25">
      <c r="A16" s="168">
        <v>45305</v>
      </c>
      <c r="B16" s="12">
        <f>'KM-Servicio'!M103</f>
        <v>4950</v>
      </c>
      <c r="C16" s="12">
        <f t="shared" si="0"/>
        <v>141100</v>
      </c>
      <c r="D16" s="12">
        <f>'KM-Servicio'!V103</f>
        <v>4916.8200000000006</v>
      </c>
      <c r="E16" s="12">
        <f t="shared" si="1"/>
        <v>135859.15</v>
      </c>
      <c r="F16" s="174">
        <f>'KM-Servicio'!N103</f>
        <v>99.329696969696982</v>
      </c>
      <c r="G16" s="175">
        <f>SUM('KM-Servicio'!B103:C103)</f>
        <v>111</v>
      </c>
      <c r="H16" s="175">
        <f>SUM('KM-Servicio'!D103:E103)</f>
        <v>111</v>
      </c>
      <c r="I16" s="151"/>
      <c r="J16" s="151"/>
      <c r="K16" s="12">
        <f>'Oferta Diaria'!P35</f>
        <v>389903.82600000006</v>
      </c>
      <c r="L16" s="183" t="s">
        <v>139</v>
      </c>
      <c r="M16" s="172"/>
      <c r="N16" s="170"/>
    </row>
    <row r="17" spans="1:16" x14ac:dyDescent="0.25">
      <c r="A17" s="168">
        <v>45306</v>
      </c>
      <c r="B17" s="12">
        <f>'KM-Servicio'!M110</f>
        <v>11512</v>
      </c>
      <c r="C17" s="12">
        <f t="shared" si="0"/>
        <v>152612</v>
      </c>
      <c r="D17" s="12">
        <f>'KM-Servicio'!V110</f>
        <v>10899.440000000002</v>
      </c>
      <c r="E17" s="12">
        <f t="shared" si="1"/>
        <v>146758.59</v>
      </c>
      <c r="F17" s="174">
        <f>'KM-Servicio'!N110</f>
        <v>94.678943710910374</v>
      </c>
      <c r="G17" s="175">
        <f>SUM('KM-Servicio'!B110:C110)</f>
        <v>164</v>
      </c>
      <c r="H17" s="175">
        <f>SUM('KM-Servicio'!D110:E110)</f>
        <v>165</v>
      </c>
      <c r="I17" s="151"/>
      <c r="J17" s="151"/>
      <c r="K17" s="12">
        <f>'Oferta Diaria'!Q35</f>
        <v>864325.59200000006</v>
      </c>
      <c r="L17" s="169" t="s">
        <v>140</v>
      </c>
      <c r="M17" s="172"/>
      <c r="N17" s="170"/>
    </row>
    <row r="18" spans="1:16" ht="14.25" customHeight="1" x14ac:dyDescent="0.25">
      <c r="A18" s="168">
        <v>45307</v>
      </c>
      <c r="B18" s="12">
        <f>'KM-Servicio'!$M$117</f>
        <v>11454</v>
      </c>
      <c r="C18" s="12">
        <f t="shared" si="0"/>
        <v>164066</v>
      </c>
      <c r="D18" s="12">
        <f>'KM-Servicio'!$V$117</f>
        <v>10815.57</v>
      </c>
      <c r="E18" s="12">
        <f t="shared" si="1"/>
        <v>157574.16</v>
      </c>
      <c r="F18" s="174">
        <f>'KM-Servicio'!N117</f>
        <v>94.426139339968557</v>
      </c>
      <c r="G18" s="175">
        <f>SUM('KM-Servicio'!B117:C117)</f>
        <v>164</v>
      </c>
      <c r="H18" s="175">
        <f>SUM('KM-Servicio'!D117:E117)</f>
        <v>164</v>
      </c>
      <c r="I18" s="151"/>
      <c r="J18" s="151"/>
      <c r="K18" s="12">
        <f>'Oferta Diaria'!R35</f>
        <v>857674.701</v>
      </c>
      <c r="L18" s="169" t="s">
        <v>140</v>
      </c>
      <c r="M18" s="151"/>
    </row>
    <row r="19" spans="1:16" x14ac:dyDescent="0.25">
      <c r="A19" s="168">
        <v>45308</v>
      </c>
      <c r="B19" s="12">
        <f>'KM-Servicio'!$M$124</f>
        <v>11237</v>
      </c>
      <c r="C19" s="12">
        <f t="shared" si="0"/>
        <v>175303</v>
      </c>
      <c r="D19" s="12">
        <f>'KM-Servicio'!$V$124</f>
        <v>10848.64</v>
      </c>
      <c r="E19" s="12">
        <f t="shared" si="1"/>
        <v>168422.8</v>
      </c>
      <c r="F19" s="174">
        <f>'KM-Servicio'!N124</f>
        <v>96.54391741568034</v>
      </c>
      <c r="G19" s="175">
        <f>SUM('KM-Servicio'!B124:C124)</f>
        <v>164</v>
      </c>
      <c r="H19" s="175">
        <f>SUM('KM-Servicio'!D124:E124)</f>
        <v>164</v>
      </c>
      <c r="I19" s="151"/>
      <c r="J19" s="151"/>
      <c r="K19" s="12">
        <f>'Oferta Diaria'!S35</f>
        <v>860297.15199999989</v>
      </c>
      <c r="L19" s="169" t="s">
        <v>140</v>
      </c>
      <c r="M19" s="172"/>
      <c r="N19" s="170"/>
    </row>
    <row r="20" spans="1:16" x14ac:dyDescent="0.25">
      <c r="A20" s="168">
        <v>45309</v>
      </c>
      <c r="B20" s="12">
        <f>'KM-Servicio'!M131</f>
        <v>11425</v>
      </c>
      <c r="C20" s="12">
        <f t="shared" si="0"/>
        <v>186728</v>
      </c>
      <c r="D20" s="12">
        <f>'KM-Servicio'!$V$131</f>
        <v>10823.24</v>
      </c>
      <c r="E20" s="12">
        <f t="shared" si="1"/>
        <v>179246.03999999998</v>
      </c>
      <c r="F20" s="174">
        <f>'KM-Servicio'!N131</f>
        <v>94.732954048140044</v>
      </c>
      <c r="G20" s="175">
        <f>SUM('KM-Servicio'!B131:C131)</f>
        <v>164</v>
      </c>
      <c r="H20" s="175">
        <f>SUM('KM-Servicio'!D131:E131)</f>
        <v>164</v>
      </c>
      <c r="I20" s="151"/>
      <c r="J20" s="151"/>
      <c r="K20" s="12">
        <f>'Oferta Diaria'!T35</f>
        <v>858282.93199999991</v>
      </c>
      <c r="L20" s="169" t="s">
        <v>140</v>
      </c>
      <c r="M20" s="172"/>
      <c r="N20" s="170"/>
    </row>
    <row r="21" spans="1:16" x14ac:dyDescent="0.25">
      <c r="A21" s="168">
        <v>45310</v>
      </c>
      <c r="B21" s="12">
        <f>'KM-Servicio'!M138</f>
        <v>11493</v>
      </c>
      <c r="C21" s="12">
        <f t="shared" si="0"/>
        <v>198221</v>
      </c>
      <c r="D21" s="12">
        <f>'KM-Servicio'!$V$138</f>
        <v>10876.43</v>
      </c>
      <c r="E21" s="12">
        <f t="shared" si="1"/>
        <v>190122.46999999997</v>
      </c>
      <c r="F21" s="179">
        <f>'KM-Servicio'!N138</f>
        <v>94.635256242930481</v>
      </c>
      <c r="G21" s="175">
        <f>SUM('KM-Servicio'!B138:C138)</f>
        <v>164</v>
      </c>
      <c r="H21" s="175">
        <f>SUM('KM-Servicio'!D138:E138)</f>
        <v>164</v>
      </c>
      <c r="I21" s="151"/>
      <c r="J21" s="151"/>
      <c r="K21" s="12">
        <f>'Oferta Diaria'!U35</f>
        <v>862500.89899999998</v>
      </c>
      <c r="L21" s="169" t="s">
        <v>140</v>
      </c>
      <c r="M21" s="172"/>
      <c r="N21" s="170"/>
    </row>
    <row r="22" spans="1:16" x14ac:dyDescent="0.25">
      <c r="A22" s="168">
        <v>45311</v>
      </c>
      <c r="B22" s="12">
        <f>'KM-Servicio'!M145</f>
        <v>6533</v>
      </c>
      <c r="C22" s="12">
        <f t="shared" si="0"/>
        <v>204754</v>
      </c>
      <c r="D22" s="12">
        <f>'KM-Servicio'!$V$145</f>
        <v>6383.2400000000007</v>
      </c>
      <c r="E22" s="12">
        <f t="shared" si="1"/>
        <v>196505.70999999996</v>
      </c>
      <c r="F22" s="179">
        <f>'KM-Servicio'!N145</f>
        <v>97.707638144803326</v>
      </c>
      <c r="G22" s="175">
        <f>SUM('KM-Servicio'!B145:C145)</f>
        <v>145</v>
      </c>
      <c r="H22" s="175">
        <f>SUM('KM-Servicio'!D145:E145)</f>
        <v>145</v>
      </c>
      <c r="I22" s="151"/>
      <c r="J22" s="151"/>
      <c r="K22" s="12">
        <f>'Oferta Diaria'!V35</f>
        <v>506190.93200000003</v>
      </c>
      <c r="L22" s="183" t="s">
        <v>141</v>
      </c>
      <c r="M22" s="172"/>
      <c r="N22" s="170"/>
    </row>
    <row r="23" spans="1:16" x14ac:dyDescent="0.25">
      <c r="A23" s="168">
        <v>45312</v>
      </c>
      <c r="B23" s="12">
        <f>'KM-Servicio'!M152</f>
        <v>5119</v>
      </c>
      <c r="C23" s="12">
        <f t="shared" si="0"/>
        <v>209873</v>
      </c>
      <c r="D23" s="12">
        <f>'KM-Servicio'!$V$152</f>
        <v>4916.8200000000006</v>
      </c>
      <c r="E23" s="12">
        <f t="shared" si="1"/>
        <v>201422.52999999997</v>
      </c>
      <c r="F23" s="174">
        <f>'KM-Servicio'!N152</f>
        <v>96.050400468841573</v>
      </c>
      <c r="G23" s="175">
        <f>SUM('KM-Servicio'!B152:C152)</f>
        <v>111</v>
      </c>
      <c r="H23" s="175">
        <f>SUM('KM-Servicio'!D152:E152)</f>
        <v>111</v>
      </c>
      <c r="I23" s="151"/>
      <c r="J23" s="151"/>
      <c r="K23" s="12">
        <f>'Oferta Diaria'!W35</f>
        <v>389903.82600000006</v>
      </c>
      <c r="L23" s="183" t="s">
        <v>139</v>
      </c>
      <c r="M23" s="172"/>
      <c r="N23" s="170"/>
    </row>
    <row r="24" spans="1:16" x14ac:dyDescent="0.25">
      <c r="A24" s="168">
        <v>45313</v>
      </c>
      <c r="B24" s="12">
        <f>'KM-Servicio'!M159</f>
        <v>10691</v>
      </c>
      <c r="C24" s="12">
        <f t="shared" si="0"/>
        <v>220564</v>
      </c>
      <c r="D24" s="12">
        <f>'KM-Servicio'!$V$159</f>
        <v>10211.75</v>
      </c>
      <c r="E24" s="12">
        <f t="shared" si="1"/>
        <v>211634.27999999997</v>
      </c>
      <c r="F24" s="174">
        <f>'KM-Servicio'!N159</f>
        <v>95.517257506313726</v>
      </c>
      <c r="G24" s="175">
        <f>SUM('KM-Servicio'!B159:C159)</f>
        <v>164</v>
      </c>
      <c r="H24" s="175">
        <f>SUM('KM-Servicio'!D159:E159)</f>
        <v>164</v>
      </c>
      <c r="I24" s="151"/>
      <c r="J24" s="151"/>
      <c r="K24" s="12">
        <f>'Oferta Diaria'!X35</f>
        <v>809791.77500000002</v>
      </c>
      <c r="L24" s="169" t="s">
        <v>140</v>
      </c>
      <c r="M24" s="172"/>
      <c r="N24" s="170"/>
    </row>
    <row r="25" spans="1:16" x14ac:dyDescent="0.25">
      <c r="A25" s="168">
        <v>45314</v>
      </c>
      <c r="B25" s="12">
        <f>'KM-Servicio'!M166</f>
        <v>10696</v>
      </c>
      <c r="C25" s="12">
        <f t="shared" si="0"/>
        <v>231260</v>
      </c>
      <c r="D25" s="12">
        <f>'KM-Servicio'!$V$166</f>
        <v>10211.75</v>
      </c>
      <c r="E25" s="12">
        <f t="shared" si="1"/>
        <v>221846.02999999997</v>
      </c>
      <c r="F25" s="174">
        <f>'KM-Servicio'!N166</f>
        <v>95.472606581899782</v>
      </c>
      <c r="G25" s="175">
        <f>SUM('KM-Servicio'!B166:C166)</f>
        <v>164</v>
      </c>
      <c r="H25" s="175">
        <f>SUM('KM-Servicio'!D166:E166)</f>
        <v>164</v>
      </c>
      <c r="I25" s="151"/>
      <c r="J25" s="151"/>
      <c r="K25" s="12">
        <f>'Oferta Diaria'!Y35</f>
        <v>809791.77500000002</v>
      </c>
      <c r="L25" s="183" t="s">
        <v>140</v>
      </c>
      <c r="M25" s="172"/>
      <c r="N25" s="170"/>
    </row>
    <row r="26" spans="1:16" x14ac:dyDescent="0.25">
      <c r="A26" s="168">
        <v>45315</v>
      </c>
      <c r="B26" s="12">
        <f>'KM-Servicio'!M173</f>
        <v>10714</v>
      </c>
      <c r="C26" s="12">
        <f t="shared" si="0"/>
        <v>241974</v>
      </c>
      <c r="D26" s="12">
        <f>'KM-Servicio'!$V$173</f>
        <v>10229.48</v>
      </c>
      <c r="E26" s="12">
        <f t="shared" si="1"/>
        <v>232075.50999999998</v>
      </c>
      <c r="F26" s="174">
        <f>'KM-Servicio'!N173</f>
        <v>95.477692738473024</v>
      </c>
      <c r="G26" s="175">
        <f>SUM('KM-Servicio'!B173:C173)</f>
        <v>164</v>
      </c>
      <c r="H26" s="175">
        <f>SUM('KM-Servicio'!D173:E173)</f>
        <v>164</v>
      </c>
      <c r="I26" s="151"/>
      <c r="J26" s="151"/>
      <c r="K26" s="12">
        <f>'Oferta Diaria'!Z35</f>
        <v>811197.76400000008</v>
      </c>
      <c r="L26" s="183" t="s">
        <v>140</v>
      </c>
      <c r="M26" s="172"/>
      <c r="N26" s="170"/>
    </row>
    <row r="27" spans="1:16" x14ac:dyDescent="0.25">
      <c r="A27" s="168">
        <v>45316</v>
      </c>
      <c r="B27" s="12">
        <f>'KM-Servicio'!M180</f>
        <v>10801</v>
      </c>
      <c r="C27" s="12">
        <f t="shared" si="0"/>
        <v>252775</v>
      </c>
      <c r="D27" s="12">
        <f>'KM-Servicio'!$V$180</f>
        <v>10211.75</v>
      </c>
      <c r="E27" s="12">
        <f t="shared" si="1"/>
        <v>242287.25999999998</v>
      </c>
      <c r="F27" s="174">
        <f>'KM-Servicio'!N180</f>
        <v>94.54448662160911</v>
      </c>
      <c r="G27" s="175">
        <f>SUM('KM-Servicio'!B180:C180)</f>
        <v>164</v>
      </c>
      <c r="H27" s="175">
        <f>SUM('KM-Servicio'!D180:E180)</f>
        <v>164</v>
      </c>
      <c r="I27" s="151"/>
      <c r="J27" s="151"/>
      <c r="K27" s="12">
        <f>'Oferta Diaria'!AA35</f>
        <v>809791.77500000002</v>
      </c>
      <c r="L27" s="183" t="s">
        <v>140</v>
      </c>
      <c r="M27" s="172"/>
      <c r="N27" s="170"/>
    </row>
    <row r="28" spans="1:16" x14ac:dyDescent="0.25">
      <c r="A28" s="168">
        <v>45317</v>
      </c>
      <c r="B28" s="12">
        <f>'KM-Servicio'!M187</f>
        <v>7448</v>
      </c>
      <c r="C28" s="12">
        <f t="shared" si="0"/>
        <v>260223</v>
      </c>
      <c r="D28" s="12">
        <f>'KM-Servicio'!$V$187</f>
        <v>6819.8600000000015</v>
      </c>
      <c r="E28" s="12">
        <f t="shared" si="1"/>
        <v>249107.12</v>
      </c>
      <c r="F28" s="174">
        <f>'KM-Servicio'!N187</f>
        <v>91.566326530612258</v>
      </c>
      <c r="G28" s="175">
        <f>SUM('KM-Servicio'!B187:C187)</f>
        <v>164</v>
      </c>
      <c r="H28" s="175">
        <f>SUM('KM-Servicio'!D187:E187)</f>
        <v>86</v>
      </c>
      <c r="I28" s="151"/>
      <c r="J28" s="151"/>
      <c r="K28" s="12">
        <f>'Oferta Diaria'!AB35</f>
        <v>540814.89800000004</v>
      </c>
      <c r="L28" s="169" t="s">
        <v>140</v>
      </c>
      <c r="M28" s="172"/>
      <c r="N28" s="170"/>
    </row>
    <row r="29" spans="1:16" x14ac:dyDescent="0.25">
      <c r="A29" s="168">
        <v>45318</v>
      </c>
      <c r="B29" s="12">
        <f>'KM-Servicio'!M194</f>
        <v>5603</v>
      </c>
      <c r="C29" s="12">
        <f t="shared" si="0"/>
        <v>265826</v>
      </c>
      <c r="D29" s="12">
        <f>'KM-Servicio'!$V$194</f>
        <v>5520.64</v>
      </c>
      <c r="E29" s="12">
        <f t="shared" si="1"/>
        <v>254627.76</v>
      </c>
      <c r="F29" s="174">
        <f>'KM-Servicio'!N194</f>
        <v>98.53007317508478</v>
      </c>
      <c r="G29" s="175">
        <f>SUM('KM-Servicio'!B194:C194)</f>
        <v>70</v>
      </c>
      <c r="H29" s="175">
        <f>SUM('KM-Servicio'!D194:E194)</f>
        <v>65</v>
      </c>
      <c r="I29" s="151"/>
      <c r="J29" s="151"/>
      <c r="K29" s="12">
        <f>'Oferta Diaria'!AC35</f>
        <v>437786.75200000004</v>
      </c>
      <c r="L29" s="183" t="s">
        <v>141</v>
      </c>
      <c r="M29" s="172"/>
      <c r="N29" s="170"/>
    </row>
    <row r="30" spans="1:16" x14ac:dyDescent="0.25">
      <c r="A30" s="168">
        <v>45319</v>
      </c>
      <c r="B30" s="12">
        <f>'KM-Servicio'!M201</f>
        <v>5100</v>
      </c>
      <c r="C30" s="12">
        <f t="shared" si="0"/>
        <v>270926</v>
      </c>
      <c r="D30" s="12">
        <f>'KM-Servicio'!$V$201</f>
        <v>4916.82</v>
      </c>
      <c r="E30" s="12">
        <f t="shared" si="1"/>
        <v>259544.58000000002</v>
      </c>
      <c r="F30" s="174">
        <f>'KM-Servicio'!N201</f>
        <v>96.408235294117645</v>
      </c>
      <c r="G30" s="175">
        <f>SUM('KM-Servicio'!B201:C201)</f>
        <v>57</v>
      </c>
      <c r="H30" s="175">
        <f>SUM('KM-Servicio'!D201:E201)</f>
        <v>57</v>
      </c>
      <c r="I30" s="151"/>
      <c r="J30" s="151"/>
      <c r="K30" s="12">
        <f>'Oferta Diaria'!AD35</f>
        <v>389903.82599999994</v>
      </c>
      <c r="L30" s="183" t="s">
        <v>139</v>
      </c>
      <c r="M30" s="172"/>
      <c r="N30" s="171"/>
    </row>
    <row r="31" spans="1:16" x14ac:dyDescent="0.25">
      <c r="A31" s="168">
        <v>45320</v>
      </c>
      <c r="B31" s="12">
        <f>'KM-Servicio'!M208</f>
        <v>10686</v>
      </c>
      <c r="C31" s="12">
        <f t="shared" ref="C31:C32" si="2">B31+C30</f>
        <v>281612</v>
      </c>
      <c r="D31" s="12">
        <f>'KM-Servicio'!$V$208</f>
        <v>10150.89</v>
      </c>
      <c r="E31" s="12">
        <f t="shared" ref="E31:E32" si="3">D31+E30</f>
        <v>269695.47000000003</v>
      </c>
      <c r="F31" s="174">
        <f>'KM-Servicio'!N208</f>
        <v>94.992419988770351</v>
      </c>
      <c r="G31" s="175">
        <f>SUM('KM-Servicio'!B208:C208)</f>
        <v>164</v>
      </c>
      <c r="H31" s="175">
        <f>SUM('KM-Servicio'!D208:E208)</f>
        <v>164</v>
      </c>
      <c r="I31" s="151"/>
      <c r="J31" s="151"/>
      <c r="K31" s="12">
        <f>'Oferta Diaria'!AE35</f>
        <v>804965.57699999993</v>
      </c>
      <c r="L31" s="169" t="s">
        <v>140</v>
      </c>
      <c r="M31" s="172"/>
      <c r="N31" s="171"/>
    </row>
    <row r="32" spans="1:16" x14ac:dyDescent="0.25">
      <c r="A32" s="168">
        <v>45321</v>
      </c>
      <c r="B32" s="12">
        <f>'KM-Servicio'!M215</f>
        <v>10755</v>
      </c>
      <c r="C32" s="12">
        <f t="shared" si="2"/>
        <v>292367</v>
      </c>
      <c r="D32" s="12">
        <f>'KM-Servicio'!$V$215</f>
        <v>10125.49</v>
      </c>
      <c r="E32" s="12">
        <f t="shared" si="3"/>
        <v>279820.96000000002</v>
      </c>
      <c r="F32" s="174">
        <f>'KM-Servicio'!N215</f>
        <v>94.146815434681542</v>
      </c>
      <c r="G32" s="175">
        <f>SUM('KM-Servicio'!B215:C215)</f>
        <v>164</v>
      </c>
      <c r="H32" s="175">
        <f>SUM('KM-Servicio'!D215:E215)</f>
        <v>164</v>
      </c>
      <c r="I32" s="151"/>
      <c r="J32" s="151"/>
      <c r="K32" s="12">
        <f>'Oferta Diaria'!AF35</f>
        <v>802951.35699999996</v>
      </c>
      <c r="L32" s="183" t="s">
        <v>140</v>
      </c>
      <c r="M32" s="172"/>
      <c r="N32" s="171"/>
      <c r="O32" s="276"/>
      <c r="P32" s="276"/>
    </row>
    <row r="33" spans="1:16" x14ac:dyDescent="0.25">
      <c r="A33" s="168">
        <v>45322</v>
      </c>
      <c r="B33" s="12">
        <f>'KM-Servicio'!M222</f>
        <v>12043</v>
      </c>
      <c r="C33" s="12">
        <f t="shared" ref="C33" si="4">B33+C32</f>
        <v>304410</v>
      </c>
      <c r="D33" s="12">
        <f>'KM-Servicio'!$V$222</f>
        <v>11439.51</v>
      </c>
      <c r="E33" s="12">
        <f t="shared" ref="E33" si="5">D33+E32</f>
        <v>291260.47000000003</v>
      </c>
      <c r="F33" s="174">
        <f>'KM-Servicio'!N222</f>
        <v>94.98887320435108</v>
      </c>
      <c r="G33" s="175">
        <f>SUM('KM-Servicio'!B222:C222)</f>
        <v>193</v>
      </c>
      <c r="H33" s="175">
        <f>SUM('KM-Servicio'!D222:E222)</f>
        <v>191</v>
      </c>
      <c r="I33" s="151"/>
      <c r="J33" s="151"/>
      <c r="K33" s="12">
        <f>'Oferta Diaria'!AG35</f>
        <v>907153.14300000004</v>
      </c>
      <c r="L33" s="183" t="s">
        <v>140</v>
      </c>
      <c r="M33" s="172"/>
      <c r="N33" s="277"/>
      <c r="O33" s="278"/>
      <c r="P33" s="279"/>
    </row>
    <row r="34" spans="1:16" x14ac:dyDescent="0.25">
      <c r="A34" s="176" t="s">
        <v>138</v>
      </c>
      <c r="B34" s="177">
        <f>SUM(B3:B33)</f>
        <v>304410</v>
      </c>
      <c r="C34" s="177">
        <f>SUM(C3:C33)</f>
        <v>5010831</v>
      </c>
      <c r="D34" s="177">
        <f>SUM(D3:D33)</f>
        <v>291260.47000000003</v>
      </c>
      <c r="E34" s="177">
        <f>SUM(E3:E33)</f>
        <v>4804425.2799999984</v>
      </c>
      <c r="F34" s="178">
        <f>AVERAGE(F3:F33)</f>
        <v>95.879491435960972</v>
      </c>
      <c r="G34" s="177">
        <f>SUM(G3:G33)</f>
        <v>4640</v>
      </c>
      <c r="H34" s="177">
        <f>SUM(H3:H33)</f>
        <v>4555</v>
      </c>
      <c r="I34" s="177">
        <f>SUM(I3:I32)</f>
        <v>0</v>
      </c>
      <c r="J34" s="177">
        <f>SUM(J3:J32)</f>
        <v>0</v>
      </c>
      <c r="K34" s="177">
        <f>SUM(K3:K33)</f>
        <v>23096955.270999998</v>
      </c>
      <c r="L34" s="169"/>
      <c r="M34" s="176"/>
      <c r="N34" s="276"/>
      <c r="O34" s="276"/>
      <c r="P34" s="276"/>
    </row>
    <row r="35" spans="1:16" x14ac:dyDescent="0.25">
      <c r="L35" s="217"/>
    </row>
    <row r="38" spans="1:16" x14ac:dyDescent="0.25">
      <c r="F38" s="170"/>
    </row>
  </sheetData>
  <mergeCells count="1">
    <mergeCell ref="A1:M1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74"/>
  <sheetViews>
    <sheetView workbookViewId="0">
      <selection activeCell="F39" sqref="F39"/>
    </sheetView>
  </sheetViews>
  <sheetFormatPr baseColWidth="10" defaultColWidth="11.5703125" defaultRowHeight="15" x14ac:dyDescent="0.25"/>
  <cols>
    <col min="1" max="1" width="22.140625" customWidth="1"/>
    <col min="2" max="2" width="18" customWidth="1"/>
    <col min="3" max="4" width="14.7109375" customWidth="1"/>
  </cols>
  <sheetData>
    <row r="2" spans="1:15" ht="15.75" thickBot="1" x14ac:dyDescent="0.3"/>
    <row r="3" spans="1:15" ht="15.75" thickBot="1" x14ac:dyDescent="0.3">
      <c r="A3" s="360" t="s">
        <v>98</v>
      </c>
      <c r="B3" s="361"/>
      <c r="C3" s="361"/>
      <c r="D3" s="362"/>
    </row>
    <row r="4" spans="1:15" x14ac:dyDescent="0.25">
      <c r="A4" s="99" t="s">
        <v>99</v>
      </c>
      <c r="B4" s="100" t="s">
        <v>100</v>
      </c>
      <c r="C4" s="101" t="s">
        <v>54</v>
      </c>
      <c r="D4" s="101" t="s">
        <v>101</v>
      </c>
    </row>
    <row r="5" spans="1:15" x14ac:dyDescent="0.25">
      <c r="A5" s="34" t="s">
        <v>102</v>
      </c>
      <c r="B5" s="135">
        <f>C5/30</f>
        <v>227.06666666666666</v>
      </c>
      <c r="C5" s="136">
        <f>'KM-Servicio'!I242</f>
        <v>6812</v>
      </c>
      <c r="D5" s="136">
        <f>'KM-Servicio'!C237</f>
        <v>6858</v>
      </c>
    </row>
    <row r="6" spans="1:15" x14ac:dyDescent="0.25">
      <c r="A6" s="34" t="s">
        <v>103</v>
      </c>
      <c r="B6" s="135">
        <f>C6/30</f>
        <v>151.83333333333334</v>
      </c>
      <c r="C6" s="136">
        <f>'KM-Servicio'!J235</f>
        <v>4555</v>
      </c>
      <c r="D6" s="136">
        <f>'KM-Servicio'!D235</f>
        <v>4640</v>
      </c>
    </row>
    <row r="7" spans="1:15" x14ac:dyDescent="0.25">
      <c r="A7" s="34" t="s">
        <v>66</v>
      </c>
      <c r="B7" s="135">
        <f>C7/30</f>
        <v>9766.2970000000005</v>
      </c>
      <c r="C7" s="136">
        <f>'KM-Servicio'!L235</f>
        <v>292988.91000000003</v>
      </c>
      <c r="D7" s="136">
        <f>'KM-Servicio'!F235</f>
        <v>295008.35000000003</v>
      </c>
    </row>
    <row r="8" spans="1:15" x14ac:dyDescent="0.25">
      <c r="A8" s="34" t="s">
        <v>104</v>
      </c>
      <c r="B8" s="135">
        <f>C8/30</f>
        <v>6534.7320000000018</v>
      </c>
      <c r="C8" s="136">
        <f>'KM-Servicio'!K235</f>
        <v>196041.96000000005</v>
      </c>
      <c r="D8" s="136">
        <f>'KM-Servicio'!E235</f>
        <v>199725.74000000002</v>
      </c>
    </row>
    <row r="9" spans="1:15" x14ac:dyDescent="0.25">
      <c r="A9" s="34" t="s">
        <v>105</v>
      </c>
      <c r="B9" s="135">
        <f>C9/30</f>
        <v>1015694.888</v>
      </c>
      <c r="C9" s="136">
        <f>'KM-Servicio'!M235</f>
        <v>30470846.640000001</v>
      </c>
      <c r="D9" s="136">
        <f>'KM-Servicio'!G235</f>
        <v>30680868.399999999</v>
      </c>
    </row>
    <row r="10" spans="1:15" x14ac:dyDescent="0.25">
      <c r="A10" s="34" t="s">
        <v>106</v>
      </c>
      <c r="B10" s="135"/>
      <c r="C10" s="137"/>
      <c r="J10" s="104"/>
    </row>
    <row r="11" spans="1:15" x14ac:dyDescent="0.25">
      <c r="A11" s="34" t="s">
        <v>107</v>
      </c>
      <c r="B11" s="135">
        <f>C11/30</f>
        <v>40531.73333333333</v>
      </c>
      <c r="C11" s="212">
        <v>1215952</v>
      </c>
      <c r="D11" s="138" t="s">
        <v>148</v>
      </c>
      <c r="E11" s="102"/>
      <c r="H11" s="104"/>
      <c r="I11" s="104"/>
      <c r="J11" s="104"/>
      <c r="K11" s="104"/>
      <c r="L11" s="107"/>
      <c r="M11" s="103"/>
      <c r="N11" s="103"/>
    </row>
    <row r="12" spans="1:15" ht="15.75" thickBot="1" x14ac:dyDescent="0.3">
      <c r="A12" s="34" t="s">
        <v>108</v>
      </c>
      <c r="B12" s="138"/>
      <c r="C12" s="135"/>
      <c r="D12" s="138"/>
      <c r="F12" s="103"/>
      <c r="G12" s="104"/>
      <c r="H12" s="104"/>
      <c r="I12" s="104"/>
      <c r="J12" s="104"/>
    </row>
    <row r="13" spans="1:15" ht="15.75" thickBot="1" x14ac:dyDescent="0.3">
      <c r="A13" s="363" t="s">
        <v>109</v>
      </c>
      <c r="B13" s="364"/>
      <c r="C13" s="364"/>
      <c r="D13" s="365"/>
      <c r="F13" s="147"/>
      <c r="G13" s="148"/>
      <c r="H13" s="148"/>
      <c r="I13" s="148"/>
      <c r="J13" s="148"/>
      <c r="K13" s="147"/>
      <c r="L13" s="148"/>
      <c r="M13" s="148"/>
      <c r="N13" s="44"/>
    </row>
    <row r="14" spans="1:15" x14ac:dyDescent="0.25">
      <c r="A14" s="105"/>
      <c r="B14" s="100"/>
      <c r="C14" s="101"/>
      <c r="D14" s="101"/>
      <c r="F14" s="149"/>
      <c r="G14" s="149"/>
      <c r="H14" s="147"/>
      <c r="I14" s="147"/>
      <c r="J14" s="147"/>
      <c r="K14" s="147"/>
      <c r="L14" s="147"/>
      <c r="M14" s="44"/>
      <c r="N14" s="44"/>
    </row>
    <row r="15" spans="1:15" x14ac:dyDescent="0.25">
      <c r="A15" s="108"/>
      <c r="B15" s="151"/>
      <c r="C15" s="151"/>
      <c r="D15" s="110"/>
      <c r="F15" s="147"/>
      <c r="G15" s="147"/>
      <c r="H15" s="147"/>
      <c r="I15" s="147"/>
      <c r="J15" s="147"/>
      <c r="K15" s="148"/>
      <c r="L15" s="148"/>
      <c r="M15" s="148"/>
      <c r="N15" s="148"/>
    </row>
    <row r="16" spans="1:15" x14ac:dyDescent="0.25">
      <c r="A16" s="108"/>
      <c r="B16" s="109"/>
      <c r="C16" s="109"/>
      <c r="D16" s="110"/>
      <c r="F16" s="147"/>
      <c r="G16" s="369"/>
      <c r="H16" s="369"/>
      <c r="I16" s="147"/>
      <c r="J16" s="147"/>
      <c r="K16" s="147"/>
      <c r="L16" s="148"/>
      <c r="M16" s="148"/>
      <c r="N16" s="148"/>
      <c r="O16" s="103"/>
    </row>
    <row r="17" spans="1:15" x14ac:dyDescent="0.25">
      <c r="A17" s="108"/>
      <c r="B17" s="109"/>
      <c r="C17" s="109"/>
      <c r="D17" s="110"/>
      <c r="F17" s="147"/>
      <c r="G17" s="369"/>
      <c r="H17" s="369"/>
      <c r="I17" s="147"/>
      <c r="J17" s="148"/>
      <c r="K17" s="148"/>
      <c r="L17" s="148"/>
      <c r="M17" s="148"/>
      <c r="N17" s="148"/>
      <c r="O17" s="104"/>
    </row>
    <row r="18" spans="1:15" x14ac:dyDescent="0.25">
      <c r="A18" s="108"/>
      <c r="B18" s="109"/>
      <c r="C18" s="109"/>
      <c r="D18" s="110"/>
      <c r="F18" s="147"/>
      <c r="G18" s="369"/>
      <c r="H18" s="369"/>
      <c r="I18" s="148"/>
      <c r="J18" s="148"/>
      <c r="K18" s="44"/>
      <c r="L18" s="44"/>
      <c r="M18" s="44"/>
      <c r="N18" s="44"/>
    </row>
    <row r="19" spans="1:15" x14ac:dyDescent="0.25">
      <c r="A19" s="108"/>
      <c r="B19" s="114"/>
      <c r="C19" s="114"/>
      <c r="D19" s="110"/>
      <c r="F19" s="147"/>
      <c r="G19" s="369"/>
      <c r="H19" s="369"/>
      <c r="I19" s="148"/>
      <c r="J19" s="148"/>
      <c r="K19" s="44"/>
      <c r="L19" s="44"/>
      <c r="M19" s="44"/>
      <c r="N19" s="44"/>
    </row>
    <row r="20" spans="1:15" x14ac:dyDescent="0.25">
      <c r="A20" s="108"/>
      <c r="B20" s="109"/>
      <c r="C20" s="109"/>
      <c r="D20" s="110"/>
      <c r="F20" s="147"/>
      <c r="G20" s="369"/>
      <c r="H20" s="369"/>
      <c r="I20" s="148"/>
      <c r="J20" s="148"/>
      <c r="K20" s="44"/>
      <c r="L20" s="44"/>
      <c r="M20" s="44"/>
      <c r="N20" s="44"/>
    </row>
    <row r="21" spans="1:15" x14ac:dyDescent="0.25">
      <c r="A21" s="108"/>
      <c r="B21" s="109"/>
      <c r="C21" s="109"/>
      <c r="D21" s="110"/>
      <c r="F21" s="147"/>
      <c r="G21" s="369"/>
      <c r="H21" s="369"/>
      <c r="I21" s="147"/>
      <c r="J21" s="44"/>
      <c r="K21" s="44"/>
      <c r="L21" s="44"/>
      <c r="M21" s="44"/>
      <c r="N21" s="44"/>
    </row>
    <row r="22" spans="1:15" x14ac:dyDescent="0.25">
      <c r="A22" s="108"/>
      <c r="B22" s="109"/>
      <c r="C22" s="109"/>
      <c r="D22" s="110"/>
      <c r="F22" s="147"/>
      <c r="G22" s="148"/>
      <c r="H22" s="148"/>
      <c r="I22" s="148"/>
      <c r="J22" s="148"/>
      <c r="K22" s="147"/>
      <c r="L22" s="149"/>
      <c r="M22" s="147"/>
      <c r="N22" s="44"/>
    </row>
    <row r="23" spans="1:15" ht="15.75" thickBot="1" x14ac:dyDescent="0.3">
      <c r="A23" s="111"/>
      <c r="B23" s="366"/>
      <c r="C23" s="367"/>
      <c r="D23" s="368"/>
      <c r="F23" s="150"/>
      <c r="G23" s="148"/>
      <c r="H23" s="148"/>
      <c r="I23" s="148"/>
      <c r="J23" s="44"/>
      <c r="K23" s="44"/>
      <c r="L23" s="44"/>
      <c r="M23" s="44"/>
      <c r="N23" s="44"/>
    </row>
    <row r="24" spans="1:15" ht="15.75" thickBot="1" x14ac:dyDescent="0.3">
      <c r="A24" s="363"/>
      <c r="B24" s="364"/>
      <c r="C24" s="364"/>
      <c r="D24" s="365"/>
      <c r="F24" s="148"/>
      <c r="G24" s="148"/>
      <c r="H24" s="148"/>
      <c r="I24" s="147"/>
      <c r="J24" s="149"/>
      <c r="K24" s="147"/>
      <c r="L24" s="148"/>
      <c r="M24" s="148"/>
      <c r="N24" s="44"/>
    </row>
    <row r="25" spans="1:15" x14ac:dyDescent="0.25">
      <c r="A25" s="105"/>
      <c r="B25" s="100"/>
      <c r="C25" s="101"/>
      <c r="D25" s="101"/>
      <c r="F25" s="147"/>
      <c r="G25" s="103"/>
      <c r="H25" s="103"/>
      <c r="I25" s="106"/>
      <c r="J25" s="103"/>
      <c r="K25" s="104"/>
      <c r="L25" s="104"/>
      <c r="M25" s="104"/>
    </row>
    <row r="26" spans="1:15" x14ac:dyDescent="0.25">
      <c r="A26" s="108"/>
      <c r="B26" s="30"/>
      <c r="C26" s="30"/>
      <c r="D26" s="110"/>
      <c r="F26" s="152"/>
      <c r="G26" s="106"/>
      <c r="H26" s="106"/>
      <c r="I26" s="103"/>
      <c r="J26" s="104"/>
      <c r="K26" s="104"/>
      <c r="L26" s="104"/>
      <c r="M26" s="104"/>
    </row>
    <row r="27" spans="1:15" x14ac:dyDescent="0.25">
      <c r="A27" s="108"/>
      <c r="B27" s="134"/>
      <c r="C27" s="134"/>
      <c r="D27" s="110"/>
      <c r="F27" s="152"/>
      <c r="G27" s="103"/>
      <c r="H27" s="103"/>
      <c r="I27" s="103"/>
      <c r="J27" s="103"/>
      <c r="K27" s="103"/>
      <c r="L27" s="103"/>
    </row>
    <row r="28" spans="1:15" x14ac:dyDescent="0.25">
      <c r="A28" s="108"/>
      <c r="B28" s="112"/>
      <c r="C28" s="112"/>
      <c r="D28" s="110"/>
      <c r="F28" s="152"/>
      <c r="G28" s="104"/>
      <c r="H28" s="104"/>
      <c r="I28" s="104"/>
      <c r="J28" s="104"/>
      <c r="K28" s="104"/>
      <c r="L28" s="104"/>
      <c r="M28" s="104"/>
    </row>
    <row r="29" spans="1:15" x14ac:dyDescent="0.25">
      <c r="A29" s="108"/>
      <c r="B29" s="112"/>
      <c r="C29" s="112"/>
      <c r="D29" s="110"/>
      <c r="F29" s="152"/>
      <c r="G29" s="104"/>
      <c r="I29" s="113"/>
    </row>
    <row r="30" spans="1:15" x14ac:dyDescent="0.25">
      <c r="A30" s="108"/>
      <c r="B30" s="114"/>
      <c r="C30" s="114"/>
      <c r="D30" s="110"/>
      <c r="F30" s="152"/>
      <c r="G30" s="104"/>
      <c r="I30" s="103"/>
    </row>
    <row r="31" spans="1:15" x14ac:dyDescent="0.25">
      <c r="A31" s="108"/>
      <c r="B31" s="134"/>
      <c r="C31" s="134"/>
      <c r="D31" s="110"/>
      <c r="F31" s="152"/>
      <c r="G31" s="104"/>
      <c r="I31" s="103"/>
    </row>
    <row r="32" spans="1:15" x14ac:dyDescent="0.25">
      <c r="A32" s="108"/>
      <c r="B32" s="112"/>
      <c r="C32" s="112"/>
      <c r="D32" s="110"/>
      <c r="F32" s="147"/>
      <c r="G32" s="104"/>
      <c r="I32" s="103"/>
    </row>
    <row r="33" spans="1:9" x14ac:dyDescent="0.25">
      <c r="A33" s="115"/>
      <c r="B33" s="112"/>
      <c r="C33" s="112"/>
      <c r="D33" s="116"/>
      <c r="F33" s="113"/>
      <c r="G33" s="104"/>
      <c r="I33" s="103"/>
    </row>
    <row r="34" spans="1:9" ht="15.75" thickBot="1" x14ac:dyDescent="0.3">
      <c r="A34" s="109"/>
      <c r="B34" s="366"/>
      <c r="C34" s="367"/>
      <c r="D34" s="368"/>
      <c r="F34" s="103"/>
      <c r="I34" s="113"/>
    </row>
    <row r="35" spans="1:9" x14ac:dyDescent="0.25">
      <c r="F35" s="103"/>
      <c r="I35" s="103"/>
    </row>
    <row r="36" spans="1:9" x14ac:dyDescent="0.25">
      <c r="F36" s="103"/>
      <c r="I36" s="103"/>
    </row>
    <row r="37" spans="1:9" x14ac:dyDescent="0.25">
      <c r="F37" s="59"/>
      <c r="I37" s="59"/>
    </row>
    <row r="38" spans="1:9" x14ac:dyDescent="0.25">
      <c r="F38" s="103"/>
      <c r="I38" s="103"/>
    </row>
    <row r="39" spans="1:9" x14ac:dyDescent="0.25">
      <c r="F39" s="103"/>
      <c r="I39" s="103"/>
    </row>
    <row r="40" spans="1:9" x14ac:dyDescent="0.25">
      <c r="F40" s="103"/>
      <c r="I40" s="113"/>
    </row>
    <row r="41" spans="1:9" x14ac:dyDescent="0.25">
      <c r="F41" s="103"/>
      <c r="I41" s="103"/>
    </row>
    <row r="42" spans="1:9" x14ac:dyDescent="0.25">
      <c r="F42" s="59"/>
      <c r="I42" s="103"/>
    </row>
    <row r="43" spans="1:9" x14ac:dyDescent="0.25">
      <c r="F43" s="59"/>
      <c r="I43" s="103"/>
    </row>
    <row r="44" spans="1:9" x14ac:dyDescent="0.25">
      <c r="F44" s="59"/>
      <c r="I44" s="103"/>
    </row>
    <row r="45" spans="1:9" x14ac:dyDescent="0.25">
      <c r="F45" s="113"/>
    </row>
    <row r="46" spans="1:9" x14ac:dyDescent="0.25">
      <c r="F46" s="103"/>
    </row>
    <row r="47" spans="1:9" x14ac:dyDescent="0.25">
      <c r="F47" s="103"/>
    </row>
    <row r="48" spans="1:9" x14ac:dyDescent="0.25">
      <c r="F48" s="103"/>
    </row>
    <row r="49" spans="6:6" x14ac:dyDescent="0.25">
      <c r="F49" s="103"/>
    </row>
    <row r="50" spans="6:6" x14ac:dyDescent="0.25">
      <c r="F50" s="103"/>
    </row>
    <row r="51" spans="6:6" x14ac:dyDescent="0.25">
      <c r="F51" s="103"/>
    </row>
    <row r="52" spans="6:6" x14ac:dyDescent="0.25">
      <c r="F52" s="113"/>
    </row>
    <row r="53" spans="6:6" x14ac:dyDescent="0.25">
      <c r="F53" s="103"/>
    </row>
    <row r="54" spans="6:6" x14ac:dyDescent="0.25">
      <c r="F54" s="103"/>
    </row>
    <row r="55" spans="6:6" x14ac:dyDescent="0.25">
      <c r="F55" s="103"/>
    </row>
    <row r="56" spans="6:6" x14ac:dyDescent="0.25">
      <c r="F56" s="59"/>
    </row>
    <row r="57" spans="6:6" x14ac:dyDescent="0.25">
      <c r="F57" s="103"/>
    </row>
    <row r="58" spans="6:6" x14ac:dyDescent="0.25">
      <c r="F58" s="103"/>
    </row>
    <row r="59" spans="6:6" x14ac:dyDescent="0.25">
      <c r="F59" s="103"/>
    </row>
    <row r="60" spans="6:6" x14ac:dyDescent="0.25">
      <c r="F60" s="103"/>
    </row>
    <row r="61" spans="6:6" x14ac:dyDescent="0.25">
      <c r="F61" s="59"/>
    </row>
    <row r="62" spans="6:6" x14ac:dyDescent="0.25">
      <c r="F62" s="59"/>
    </row>
    <row r="63" spans="6:6" x14ac:dyDescent="0.25">
      <c r="F63" s="59"/>
    </row>
    <row r="64" spans="6:6" x14ac:dyDescent="0.25">
      <c r="F64" s="113"/>
    </row>
    <row r="65" spans="6:6" x14ac:dyDescent="0.25">
      <c r="F65" s="103"/>
    </row>
    <row r="66" spans="6:6" x14ac:dyDescent="0.25">
      <c r="F66" s="103"/>
    </row>
    <row r="67" spans="6:6" x14ac:dyDescent="0.25">
      <c r="F67" s="103"/>
    </row>
    <row r="68" spans="6:6" x14ac:dyDescent="0.25">
      <c r="F68" s="103"/>
    </row>
    <row r="69" spans="6:6" x14ac:dyDescent="0.25">
      <c r="F69" s="103"/>
    </row>
    <row r="70" spans="6:6" x14ac:dyDescent="0.25">
      <c r="F70" s="103"/>
    </row>
    <row r="71" spans="6:6" x14ac:dyDescent="0.25">
      <c r="F71" s="59"/>
    </row>
    <row r="73" spans="6:6" x14ac:dyDescent="0.25">
      <c r="F73" s="59"/>
    </row>
    <row r="74" spans="6:6" x14ac:dyDescent="0.25">
      <c r="F74" s="59"/>
    </row>
  </sheetData>
  <mergeCells count="11">
    <mergeCell ref="G21:H21"/>
    <mergeCell ref="G16:H16"/>
    <mergeCell ref="G17:H17"/>
    <mergeCell ref="G18:H18"/>
    <mergeCell ref="G19:H19"/>
    <mergeCell ref="G20:H20"/>
    <mergeCell ref="A3:D3"/>
    <mergeCell ref="A13:D13"/>
    <mergeCell ref="A24:D24"/>
    <mergeCell ref="B23:D23"/>
    <mergeCell ref="B34:D3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DBFD03-B132-4782-A0DD-2D0C3A08CFAA}"/>
</file>

<file path=customXml/itemProps2.xml><?xml version="1.0" encoding="utf-8"?>
<ds:datastoreItem xmlns:ds="http://schemas.openxmlformats.org/officeDocument/2006/customXml" ds:itemID="{AF34F976-0C84-4A14-9A3C-75A52B7D4A1A}"/>
</file>

<file path=customXml/itemProps3.xml><?xml version="1.0" encoding="utf-8"?>
<ds:datastoreItem xmlns:ds="http://schemas.openxmlformats.org/officeDocument/2006/customXml" ds:itemID="{BE3ECD1C-F850-46A3-AD95-AD251FE278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Odometro-Kilometraje</vt:lpstr>
      <vt:lpstr>KM-Servicio</vt:lpstr>
      <vt:lpstr>Oferta Diaria</vt:lpstr>
      <vt:lpstr>Data Ocupacion</vt:lpstr>
      <vt:lpstr>UMR Resumen</vt:lpstr>
      <vt:lpstr>RESUMEN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2024-02-09T17:27:04Z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</Properties>
</file>